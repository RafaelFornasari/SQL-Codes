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gistro diário" sheetId="1" r:id="rId1"/>
    <sheet name="Consolidado semanal" sheetId="2" r:id="rId2"/>
    <sheet name="Consolidado mensal" sheetId="3" r:id="rId3"/>
  </sheets>
  <definedNames>
    <definedName name="_xlnm._FilterDatabase" localSheetId="2" hidden="1">'Consolidado mensal'!$A$11:$J$47</definedName>
    <definedName name="_xlnm._FilterDatabase" localSheetId="1" hidden="1">'Consolidado semanal'!$A$11:$J$168</definedName>
    <definedName name="_xlnm.Print_Area" localSheetId="2">'Consolidado mensal'!$A$1:$J$23</definedName>
    <definedName name="_xlnm.Print_Area" localSheetId="1">'Consolidado semanal'!$A$1:$J$23</definedName>
    <definedName name="_xlnm.Print_Area" localSheetId="0">'Registro diário'!$A$1:$L$31</definedName>
    <definedName name="_xlnm.Print_Titles" localSheetId="2">'Consolidado mensal'!$1:$11</definedName>
    <definedName name="_xlnm.Print_Titles" localSheetId="1">'Consolidado semanal'!$1:$11</definedName>
    <definedName name="_xlnm.Print_Titles" localSheetId="0">'Registro diário'!$1:$11</definedName>
  </definedNames>
  <calcPr calcId="124519" fullCalcOnLoad="1"/>
</workbook>
</file>

<file path=xl/sharedStrings.xml><?xml version="1.0" encoding="utf-8"?>
<sst xmlns="http://schemas.openxmlformats.org/spreadsheetml/2006/main" count="53" uniqueCount="38">
  <si>
    <t>Comercial &amp; Captação WPP | Registro diário</t>
  </si>
  <si>
    <t>Uma linha por CPF + data de entrada. Atualize a mesma linha com a data do agendamento e, depois, a conversa presencial executada. CPF é texto: preserve zeros à esquerda. Datas dos eventos não mudam a safra do lead.</t>
  </si>
  <si>
    <t>PREENCHIMENTO: azul = manual | verde claro = automático. Capacidade preparada: 5.000 registros.</t>
  </si>
  <si>
    <t>Tempo de resposta: informe manualmente em minutos (ex.: 2,5). Vazio = não medido; zero = resposta imediata.</t>
  </si>
  <si>
    <t>Semana: segunda a domingo. Todos os indicadores ficam na semana e no mês da entrada do lead.</t>
  </si>
  <si>
    <t>CPF + dia repetido gera alerta e conta duas vezes: resolva a duplicidade antes de analisar. O mesmo CPF em outro dia representa outro registro de entrada.</t>
  </si>
  <si>
    <t>Os eventos são datas reais. Uma conversa futura não deve ser lançada como executada. Alerta também indica evento anterior à entrada ou conversa sem agendamento.</t>
  </si>
  <si>
    <t>CPF</t>
  </si>
  <si>
    <t>Data de entrada</t>
  </si>
  <si>
    <t>Nome do lead</t>
  </si>
  <si>
    <t>Origem / campanha</t>
  </si>
  <si>
    <t>Data do agendamento</t>
  </si>
  <si>
    <t>Data da conversa presencial executada</t>
  </si>
  <si>
    <t>Tempo de resposta (min)</t>
  </si>
  <si>
    <t>Observações</t>
  </si>
  <si>
    <t>Safra semanal (segunda)</t>
  </si>
  <si>
    <t>Fim da semana (domingo)</t>
  </si>
  <si>
    <t>Safra mensal</t>
  </si>
  <si>
    <t>Conferência</t>
  </si>
  <si>
    <t>Comercial &amp; Captação WPP | Semanal</t>
  </si>
  <si>
    <t>Contagem por safra de entrada: agendamentos e conversas posteriores atualizam o período original. Tempo médio = média dos tempos manuais preenchidos, com o mesmo peso por registro.</t>
  </si>
  <si>
    <t>Ano inicial:</t>
  </si>
  <si>
    <t>Edite o ano inicial para consultar outro período. Cobertura: três anos.</t>
  </si>
  <si>
    <t>Leads = registros CPF + dia completos. Cada registro conta no máximo um agendamento e uma conversa.</t>
  </si>
  <si>
    <t>Taxas: agendamentos ÷ leads, conversas ÷ agendamentos e conversas ÷ leads. Vazio = sem base de cálculo.</t>
  </si>
  <si>
    <t>A cobertura do tempo mostra quantos registros têm medição. Revise os alertas na aba Registro diário.</t>
  </si>
  <si>
    <t>Início da semana</t>
  </si>
  <si>
    <t>Fim do período</t>
  </si>
  <si>
    <t>Leads (etapa 1)</t>
  </si>
  <si>
    <t>Agendamentos (etapa 2)</t>
  </si>
  <si>
    <t>Conversas presenciais (etapa 3)</t>
  </si>
  <si>
    <t>Tempo médio de resposta (min)</t>
  </si>
  <si>
    <t>Leads com tempo registrado</t>
  </si>
  <si>
    <t>Conversão E1 → E2</t>
  </si>
  <si>
    <t>Conversão E2 → E3</t>
  </si>
  <si>
    <t>Conversão E1 → E3</t>
  </si>
  <si>
    <t>Comercial &amp; Captação WPP | Mensal</t>
  </si>
  <si>
    <t>Mês da safra</t>
  </si>
</sst>
</file>

<file path=xl/styles.xml><?xml version="1.0" encoding="utf-8"?>
<styleSheet xmlns="http://schemas.openxmlformats.org/spreadsheetml/2006/main">
  <numFmts count="5">
    <numFmt numFmtId="164" formatCode="@"/>
    <numFmt numFmtId="165" formatCode="dd/mm/yyyy"/>
    <numFmt numFmtId="166" formatCode="0.0"/>
    <numFmt numFmtId="167" formatCode="mmm/yyyy"/>
    <numFmt numFmtId="168" formatCode="0.0%"/>
  </numFmts>
  <fonts count="7">
    <font>
      <sz val="11"/>
      <color theme="1"/>
      <name val="Calibri"/>
      <family val="2"/>
      <scheme val="minor"/>
    </font>
    <font>
      <sz val="11"/>
      <color rgb="FF1769AA"/>
      <name val="Calibri"/>
      <family val="2"/>
      <scheme val="minor"/>
    </font>
    <font>
      <sz val="11"/>
      <color rgb="FF17324D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0"/>
      <color rgb="FF17324D"/>
      <name val="Calibri"/>
      <family val="2"/>
      <scheme val="minor"/>
    </font>
    <font>
      <b/>
      <sz val="11"/>
      <color rgb="FF1769A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AF5F5"/>
        <bgColor indexed="64"/>
      </patternFill>
    </fill>
    <fill>
      <patternFill patternType="solid">
        <fgColor rgb="FF17324D"/>
        <bgColor indexed="64"/>
      </patternFill>
    </fill>
    <fill>
      <patternFill patternType="solid">
        <fgColor rgb="FFFFF1C5"/>
        <bgColor indexed="64"/>
      </patternFill>
    </fill>
    <fill>
      <patternFill patternType="solid">
        <fgColor rgb="FF007F8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0" fontId="1" fillId="0" borderId="0" xfId="0" applyFont="1"/>
    <xf numFmtId="166" fontId="1" fillId="0" borderId="0" xfId="0" applyNumberFormat="1" applyFont="1"/>
    <xf numFmtId="165" fontId="2" fillId="2" borderId="0" xfId="0" applyNumberFormat="1" applyFont="1" applyFill="1"/>
    <xf numFmtId="167" fontId="0" fillId="2" borderId="0" xfId="0" applyNumberFormat="1" applyFill="1"/>
    <xf numFmtId="0" fontId="2" fillId="2" borderId="0" xfId="0" applyFont="1" applyFill="1"/>
    <xf numFmtId="0" fontId="3" fillId="3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1" fontId="5" fillId="4" borderId="0" xfId="0" applyNumberFormat="1" applyFont="1" applyFill="1"/>
    <xf numFmtId="0" fontId="6" fillId="5" borderId="0" xfId="0" applyFont="1" applyFill="1" applyAlignment="1">
      <alignment vertical="center" wrapText="1"/>
    </xf>
    <xf numFmtId="1" fontId="0" fillId="2" borderId="0" xfId="0" applyNumberFormat="1" applyFill="1"/>
    <xf numFmtId="166" fontId="0" fillId="2" borderId="0" xfId="0" applyNumberFormat="1" applyFill="1"/>
    <xf numFmtId="168" fontId="0" fillId="2" borderId="0" xfId="0" applyNumberFormat="1" applyFill="1"/>
  </cellXfs>
  <cellStyles count="1">
    <cellStyle name="Normal" xfId="0" builtinId="0"/>
  </cellStyles>
  <dxfs count="8">
    <dxf>
      <font>
        <color rgb="FF1769AA"/>
      </font>
      <numFmt numFmtId="164" formatCode="@"/>
    </dxf>
    <dxf>
      <font>
        <color rgb="FF1769AA"/>
      </font>
      <numFmt numFmtId="165" formatCode="dd/mm/yyyy"/>
    </dxf>
    <dxf>
      <font>
        <color rgb="FF1769AA"/>
      </font>
    </dxf>
    <dxf>
      <font>
        <color rgb="FF1769AA"/>
      </font>
      <numFmt numFmtId="166" formatCode="0.0"/>
    </dxf>
    <dxf>
      <font>
        <color rgb="FF17324D"/>
      </font>
      <numFmt numFmtId="165" formatCode="dd/mm/yyyy"/>
      <fill>
        <patternFill>
          <bgColor rgb="FFEAF5F5"/>
        </patternFill>
      </fill>
    </dxf>
    <dxf>
      <numFmt numFmtId="167" formatCode="mmm/yyyy"/>
      <fill>
        <patternFill>
          <bgColor rgb="FFEAF5F5"/>
        </patternFill>
      </fill>
    </dxf>
    <dxf>
      <font>
        <color rgb="FF17324D"/>
      </font>
      <fill>
        <patternFill>
          <bgColor rgb="FFEAF5F5"/>
        </patternFill>
      </fill>
    </dxf>
    <dxf>
      <font>
        <color rgb="FF9C0006"/>
      </font>
      <fill>
        <patternFill>
          <bgColor rgb="FFFFE2E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Funil por safra — primeiros 12 períodos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'Consolidado semanal'!$C$11</c:f>
              <c:strCache>
                <c:ptCount val="1"/>
                <c:pt idx="0">
                  <c:v>Leads (etapa 1)</c:v>
                </c:pt>
              </c:strCache>
            </c:strRef>
          </c:tx>
          <c:cat>
            <c:numRef>
              <c:f>'Consolidado semanal'!$A$12:$A$23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semanal'!$C$12:$C$23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'Consolidado semanal'!$D$11</c:f>
              <c:strCache>
                <c:ptCount val="1"/>
                <c:pt idx="0">
                  <c:v>Agendamentos (etapa 2)</c:v>
                </c:pt>
              </c:strCache>
            </c:strRef>
          </c:tx>
          <c:cat>
            <c:numRef>
              <c:f>'Consolidado semanal'!$A$12:$A$23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semanal'!$D$12:$D$23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'Consolidado semanal'!$E$11</c:f>
              <c:strCache>
                <c:ptCount val="1"/>
                <c:pt idx="0">
                  <c:v>Conversas presenciais (etapa 3)</c:v>
                </c:pt>
              </c:strCache>
            </c:strRef>
          </c:tx>
          <c:cat>
            <c:numRef>
              <c:f>'Consolidado semanal'!$A$12:$A$23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semanal'!$E$12:$E$23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  <c:majorUnit val="1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Funil por safra — primeiros 12 períodos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'Consolidado mensal'!$C$11</c:f>
              <c:strCache>
                <c:ptCount val="1"/>
                <c:pt idx="0">
                  <c:v>Leads (etapa 1)</c:v>
                </c:pt>
              </c:strCache>
            </c:strRef>
          </c:tx>
          <c:cat>
            <c:numRef>
              <c:f>'Consolidado mensal'!$A$12:$A$23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mensal'!$C$12:$C$23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'Consolidado mensal'!$D$11</c:f>
              <c:strCache>
                <c:ptCount val="1"/>
                <c:pt idx="0">
                  <c:v>Agendamentos (etapa 2)</c:v>
                </c:pt>
              </c:strCache>
            </c:strRef>
          </c:tx>
          <c:cat>
            <c:numRef>
              <c:f>'Consolidado mensal'!$A$12:$A$23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mensal'!$D$12:$D$23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'Consolidado mensal'!$E$11</c:f>
              <c:strCache>
                <c:ptCount val="1"/>
                <c:pt idx="0">
                  <c:v>Conversas presenciais (etapa 3)</c:v>
                </c:pt>
              </c:strCache>
            </c:strRef>
          </c:tx>
          <c:cat>
            <c:numRef>
              <c:f>'Consolidado mensal'!$A$12:$A$23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'Consolidado mensal'!$E$12:$E$23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  <c:majorUnit val="1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23</xdr:col>
      <xdr:colOff>495300</xdr:colOff>
      <xdr:row>16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23</xdr:col>
      <xdr:colOff>495300</xdr:colOff>
      <xdr:row>16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Leads" displayName="Leads" ref="A11:L5011" totalsRowShown="0">
  <autoFilter ref="A11:L5011"/>
  <tableColumns count="12">
    <tableColumn id="1" name="CPF" dataDxfId="0"/>
    <tableColumn id="2" name="Data de entrada" dataDxfId="1"/>
    <tableColumn id="3" name="Nome do lead" dataDxfId="2"/>
    <tableColumn id="4" name="Origem / campanha" dataDxfId="2"/>
    <tableColumn id="5" name="Data do agendamento" dataDxfId="1"/>
    <tableColumn id="6" name="Data da conversa presencial executada" dataDxfId="1"/>
    <tableColumn id="7" name="Tempo de resposta (min)" dataDxfId="3"/>
    <tableColumn id="8" name="Observações" dataDxfId="2"/>
    <tableColumn id="9" name="Safra semanal (segunda)" dataDxfId="4">
      <calculatedColumnFormula>IF(OR([[#This Row],CPF]="",[[#This Row],[Data de entrada]]=""),"",[[#This Row],[Data de entrada]]-WEEKDAY([[#This Row],[Data de entrada]],2)+1)</calculatedColumnFormula>
    </tableColumn>
    <tableColumn id="10" name="Fim da semana (domingo)" dataDxfId="4">
      <calculatedColumnFormula>IF([[#This Row],[Safra semanal (segunda)]]="","",[[#This Row],[Safra semanal (segunda)]]+6)</calculatedColumnFormula>
    </tableColumn>
    <tableColumn id="11" name="Safra mensal" dataDxfId="5">
      <calculatedColumnFormula>IF(OR([[#This Row],CPF]="",[[#This Row],[Data de entrada]]=""),"",DATE(YEAR([[#This Row],[Data de entrada]]),MONTH([[#This Row],[Data de entrada]]),1))</calculatedColumnFormula>
    </tableColumn>
    <tableColumn id="12" name="Conferência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501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18.7109375" style="1" customWidth="1"/>
    <col min="2" max="2" width="16.7109375" style="2" customWidth="1"/>
    <col min="3" max="4" width="24.7109375" style="3" customWidth="1"/>
    <col min="5" max="5" width="18.7109375" style="2" customWidth="1"/>
    <col min="6" max="6" width="23.7109375" style="2" customWidth="1"/>
    <col min="7" max="7" width="20.7109375" style="4" customWidth="1"/>
    <col min="8" max="8" width="32.7109375" style="3" customWidth="1"/>
    <col min="9" max="10" width="20.7109375" style="5" customWidth="1"/>
    <col min="11" max="11" width="17.7109375" style="6" customWidth="1"/>
    <col min="12" max="12" width="34.7109375" style="7" customWidth="1"/>
  </cols>
  <sheetData>
    <row r="1" spans="1:12" ht="24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14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>
      <c r="A3" s="9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spans="1:1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</row>
    <row r="5" spans="1:12">
      <c r="A5" s="9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>
      <c r="A6" s="9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>
      <c r="A7" s="9" t="s">
        <v>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spans="1:12">
      <c r="A8" s="9" t="s">
        <v>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>
      <c r="A9" s="9" t="s">
        <v>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1" spans="1:12" ht="42" customHeight="1">
      <c r="A11" s="1" t="s">
        <v>7</v>
      </c>
      <c r="B11" s="2" t="s">
        <v>8</v>
      </c>
      <c r="C11" s="3" t="s">
        <v>9</v>
      </c>
      <c r="D11" s="3" t="s">
        <v>10</v>
      </c>
      <c r="E11" s="2" t="s">
        <v>11</v>
      </c>
      <c r="F11" s="2" t="s">
        <v>12</v>
      </c>
      <c r="G11" s="4" t="s">
        <v>13</v>
      </c>
      <c r="H11" s="3" t="s">
        <v>14</v>
      </c>
      <c r="I11" s="5" t="s">
        <v>15</v>
      </c>
      <c r="J11" s="5" t="s">
        <v>16</v>
      </c>
      <c r="K11" s="6" t="s">
        <v>17</v>
      </c>
      <c r="L11" s="7" t="s">
        <v>18</v>
      </c>
    </row>
    <row r="12" spans="1:12">
      <c r="I12" s="5">
        <f>IF(OR(A12="",B12=""),"",B12-WEEKDAY(B12,2)+1)</f>
        <v/>
      </c>
      <c r="J12" s="5">
        <f>IF(I12="","",I12+6)</f>
        <v/>
      </c>
      <c r="K12" s="6">
        <f>IF(OR(A12="",B12=""),"",DATE(YEAR(B12),MONTH(B12),1))</f>
        <v/>
      </c>
      <c r="L12" s="7">
        <f>IF(COUNTA(A12,B12)=0,"",IF(OR(A12="",B12=""),"Preencher CPF e entrada",IF(COUNTIFS($A$12:$A$5011,A12,$B$12:$B$5011,B12)&gt;1,"CPF + dia duplicado",IF(OR(AND(E12&lt;&gt;"",E12&lt;B12),AND(F12&lt;&gt;"",F12&lt;B12)),"Evento anterior à entrada",IF(AND(F12&lt;&gt;"",E12=""),"Conversa sem agendamento",IF(OR(E12&gt;TODAY(),F12&gt;TODAY()),"Verificar evento futuro","OK"))))))</f>
        <v/>
      </c>
    </row>
    <row r="13" spans="1:12">
      <c r="I13" s="5">
        <f>IF(OR(A13="",B13=""),"",B13-WEEKDAY(B13,2)+1)</f>
        <v/>
      </c>
      <c r="J13" s="5">
        <f>IF(I13="","",I13+6)</f>
        <v/>
      </c>
      <c r="K13" s="6">
        <f>IF(OR(A13="",B13=""),"",DATE(YEAR(B13),MONTH(B13),1))</f>
        <v/>
      </c>
      <c r="L13" s="7">
        <f>IF(COUNTA(A13,B13)=0,"",IF(OR(A13="",B13=""),"Preencher CPF e entrada",IF(COUNTIFS($A$12:$A$5011,A13,$B$12:$B$5011,B13)&gt;1,"CPF + dia duplicado",IF(OR(AND(E13&lt;&gt;"",E13&lt;B13),AND(F13&lt;&gt;"",F13&lt;B13)),"Evento anterior à entrada",IF(AND(F13&lt;&gt;"",E13=""),"Conversa sem agendamento",IF(OR(E13&gt;TODAY(),F13&gt;TODAY()),"Verificar evento futuro","OK"))))))</f>
        <v/>
      </c>
    </row>
    <row r="14" spans="1:12">
      <c r="I14" s="5">
        <f>IF(OR(A14="",B14=""),"",B14-WEEKDAY(B14,2)+1)</f>
        <v/>
      </c>
      <c r="J14" s="5">
        <f>IF(I14="","",I14+6)</f>
        <v/>
      </c>
      <c r="K14" s="6">
        <f>IF(OR(A14="",B14=""),"",DATE(YEAR(B14),MONTH(B14),1))</f>
        <v/>
      </c>
      <c r="L14" s="7">
        <f>IF(COUNTA(A14,B14)=0,"",IF(OR(A14="",B14=""),"Preencher CPF e entrada",IF(COUNTIFS($A$12:$A$5011,A14,$B$12:$B$5011,B14)&gt;1,"CPF + dia duplicado",IF(OR(AND(E14&lt;&gt;"",E14&lt;B14),AND(F14&lt;&gt;"",F14&lt;B14)),"Evento anterior à entrada",IF(AND(F14&lt;&gt;"",E14=""),"Conversa sem agendamento",IF(OR(E14&gt;TODAY(),F14&gt;TODAY()),"Verificar evento futuro","OK"))))))</f>
        <v/>
      </c>
    </row>
    <row r="15" spans="1:12">
      <c r="I15" s="5">
        <f>IF(OR(A15="",B15=""),"",B15-WEEKDAY(B15,2)+1)</f>
        <v/>
      </c>
      <c r="J15" s="5">
        <f>IF(I15="","",I15+6)</f>
        <v/>
      </c>
      <c r="K15" s="6">
        <f>IF(OR(A15="",B15=""),"",DATE(YEAR(B15),MONTH(B15),1))</f>
        <v/>
      </c>
      <c r="L15" s="7">
        <f>IF(COUNTA(A15,B15)=0,"",IF(OR(A15="",B15=""),"Preencher CPF e entrada",IF(COUNTIFS($A$12:$A$5011,A15,$B$12:$B$5011,B15)&gt;1,"CPF + dia duplicado",IF(OR(AND(E15&lt;&gt;"",E15&lt;B15),AND(F15&lt;&gt;"",F15&lt;B15)),"Evento anterior à entrada",IF(AND(F15&lt;&gt;"",E15=""),"Conversa sem agendamento",IF(OR(E15&gt;TODAY(),F15&gt;TODAY()),"Verificar evento futuro","OK"))))))</f>
        <v/>
      </c>
    </row>
    <row r="16" spans="1:12">
      <c r="I16" s="5">
        <f>IF(OR(A16="",B16=""),"",B16-WEEKDAY(B16,2)+1)</f>
        <v/>
      </c>
      <c r="J16" s="5">
        <f>IF(I16="","",I16+6)</f>
        <v/>
      </c>
      <c r="K16" s="6">
        <f>IF(OR(A16="",B16=""),"",DATE(YEAR(B16),MONTH(B16),1))</f>
        <v/>
      </c>
      <c r="L16" s="7">
        <f>IF(COUNTA(A16,B16)=0,"",IF(OR(A16="",B16=""),"Preencher CPF e entrada",IF(COUNTIFS($A$12:$A$5011,A16,$B$12:$B$5011,B16)&gt;1,"CPF + dia duplicado",IF(OR(AND(E16&lt;&gt;"",E16&lt;B16),AND(F16&lt;&gt;"",F16&lt;B16)),"Evento anterior à entrada",IF(AND(F16&lt;&gt;"",E16=""),"Conversa sem agendamento",IF(OR(E16&gt;TODAY(),F16&gt;TODAY()),"Verificar evento futuro","OK"))))))</f>
        <v/>
      </c>
    </row>
    <row r="17" spans="9:12">
      <c r="I17" s="5">
        <f>IF(OR(A17="",B17=""),"",B17-WEEKDAY(B17,2)+1)</f>
        <v/>
      </c>
      <c r="J17" s="5">
        <f>IF(I17="","",I17+6)</f>
        <v/>
      </c>
      <c r="K17" s="6">
        <f>IF(OR(A17="",B17=""),"",DATE(YEAR(B17),MONTH(B17),1))</f>
        <v/>
      </c>
      <c r="L17" s="7">
        <f>IF(COUNTA(A17,B17)=0,"",IF(OR(A17="",B17=""),"Preencher CPF e entrada",IF(COUNTIFS($A$12:$A$5011,A17,$B$12:$B$5011,B17)&gt;1,"CPF + dia duplicado",IF(OR(AND(E17&lt;&gt;"",E17&lt;B17),AND(F17&lt;&gt;"",F17&lt;B17)),"Evento anterior à entrada",IF(AND(F17&lt;&gt;"",E17=""),"Conversa sem agendamento",IF(OR(E17&gt;TODAY(),F17&gt;TODAY()),"Verificar evento futuro","OK"))))))</f>
        <v/>
      </c>
    </row>
    <row r="18" spans="9:12">
      <c r="I18" s="5">
        <f>IF(OR(A18="",B18=""),"",B18-WEEKDAY(B18,2)+1)</f>
        <v/>
      </c>
      <c r="J18" s="5">
        <f>IF(I18="","",I18+6)</f>
        <v/>
      </c>
      <c r="K18" s="6">
        <f>IF(OR(A18="",B18=""),"",DATE(YEAR(B18),MONTH(B18),1))</f>
        <v/>
      </c>
      <c r="L18" s="7">
        <f>IF(COUNTA(A18,B18)=0,"",IF(OR(A18="",B18=""),"Preencher CPF e entrada",IF(COUNTIFS($A$12:$A$5011,A18,$B$12:$B$5011,B18)&gt;1,"CPF + dia duplicado",IF(OR(AND(E18&lt;&gt;"",E18&lt;B18),AND(F18&lt;&gt;"",F18&lt;B18)),"Evento anterior à entrada",IF(AND(F18&lt;&gt;"",E18=""),"Conversa sem agendamento",IF(OR(E18&gt;TODAY(),F18&gt;TODAY()),"Verificar evento futuro","OK"))))))</f>
        <v/>
      </c>
    </row>
    <row r="19" spans="9:12">
      <c r="I19" s="5">
        <f>IF(OR(A19="",B19=""),"",B19-WEEKDAY(B19,2)+1)</f>
        <v/>
      </c>
      <c r="J19" s="5">
        <f>IF(I19="","",I19+6)</f>
        <v/>
      </c>
      <c r="K19" s="6">
        <f>IF(OR(A19="",B19=""),"",DATE(YEAR(B19),MONTH(B19),1))</f>
        <v/>
      </c>
      <c r="L19" s="7">
        <f>IF(COUNTA(A19,B19)=0,"",IF(OR(A19="",B19=""),"Preencher CPF e entrada",IF(COUNTIFS($A$12:$A$5011,A19,$B$12:$B$5011,B19)&gt;1,"CPF + dia duplicado",IF(OR(AND(E19&lt;&gt;"",E19&lt;B19),AND(F19&lt;&gt;"",F19&lt;B19)),"Evento anterior à entrada",IF(AND(F19&lt;&gt;"",E19=""),"Conversa sem agendamento",IF(OR(E19&gt;TODAY(),F19&gt;TODAY()),"Verificar evento futuro","OK"))))))</f>
        <v/>
      </c>
    </row>
    <row r="20" spans="9:12">
      <c r="I20" s="5">
        <f>IF(OR(A20="",B20=""),"",B20-WEEKDAY(B20,2)+1)</f>
        <v/>
      </c>
      <c r="J20" s="5">
        <f>IF(I20="","",I20+6)</f>
        <v/>
      </c>
      <c r="K20" s="6">
        <f>IF(OR(A20="",B20=""),"",DATE(YEAR(B20),MONTH(B20),1))</f>
        <v/>
      </c>
      <c r="L20" s="7">
        <f>IF(COUNTA(A20,B20)=0,"",IF(OR(A20="",B20=""),"Preencher CPF e entrada",IF(COUNTIFS($A$12:$A$5011,A20,$B$12:$B$5011,B20)&gt;1,"CPF + dia duplicado",IF(OR(AND(E20&lt;&gt;"",E20&lt;B20),AND(F20&lt;&gt;"",F20&lt;B20)),"Evento anterior à entrada",IF(AND(F20&lt;&gt;"",E20=""),"Conversa sem agendamento",IF(OR(E20&gt;TODAY(),F20&gt;TODAY()),"Verificar evento futuro","OK"))))))</f>
        <v/>
      </c>
    </row>
    <row r="21" spans="9:12">
      <c r="I21" s="5">
        <f>IF(OR(A21="",B21=""),"",B21-WEEKDAY(B21,2)+1)</f>
        <v/>
      </c>
      <c r="J21" s="5">
        <f>IF(I21="","",I21+6)</f>
        <v/>
      </c>
      <c r="K21" s="6">
        <f>IF(OR(A21="",B21=""),"",DATE(YEAR(B21),MONTH(B21),1))</f>
        <v/>
      </c>
      <c r="L21" s="7">
        <f>IF(COUNTA(A21,B21)=0,"",IF(OR(A21="",B21=""),"Preencher CPF e entrada",IF(COUNTIFS($A$12:$A$5011,A21,$B$12:$B$5011,B21)&gt;1,"CPF + dia duplicado",IF(OR(AND(E21&lt;&gt;"",E21&lt;B21),AND(F21&lt;&gt;"",F21&lt;B21)),"Evento anterior à entrada",IF(AND(F21&lt;&gt;"",E21=""),"Conversa sem agendamento",IF(OR(E21&gt;TODAY(),F21&gt;TODAY()),"Verificar evento futuro","OK"))))))</f>
        <v/>
      </c>
    </row>
    <row r="22" spans="9:12">
      <c r="I22" s="5">
        <f>IF(OR(A22="",B22=""),"",B22-WEEKDAY(B22,2)+1)</f>
        <v/>
      </c>
      <c r="J22" s="5">
        <f>IF(I22="","",I22+6)</f>
        <v/>
      </c>
      <c r="K22" s="6">
        <f>IF(OR(A22="",B22=""),"",DATE(YEAR(B22),MONTH(B22),1))</f>
        <v/>
      </c>
      <c r="L22" s="7">
        <f>IF(COUNTA(A22,B22)=0,"",IF(OR(A22="",B22=""),"Preencher CPF e entrada",IF(COUNTIFS($A$12:$A$5011,A22,$B$12:$B$5011,B22)&gt;1,"CPF + dia duplicado",IF(OR(AND(E22&lt;&gt;"",E22&lt;B22),AND(F22&lt;&gt;"",F22&lt;B22)),"Evento anterior à entrada",IF(AND(F22&lt;&gt;"",E22=""),"Conversa sem agendamento",IF(OR(E22&gt;TODAY(),F22&gt;TODAY()),"Verificar evento futuro","OK"))))))</f>
        <v/>
      </c>
    </row>
    <row r="23" spans="9:12">
      <c r="I23" s="5">
        <f>IF(OR(A23="",B23=""),"",B23-WEEKDAY(B23,2)+1)</f>
        <v/>
      </c>
      <c r="J23" s="5">
        <f>IF(I23="","",I23+6)</f>
        <v/>
      </c>
      <c r="K23" s="6">
        <f>IF(OR(A23="",B23=""),"",DATE(YEAR(B23),MONTH(B23),1))</f>
        <v/>
      </c>
      <c r="L23" s="7">
        <f>IF(COUNTA(A23,B23)=0,"",IF(OR(A23="",B23=""),"Preencher CPF e entrada",IF(COUNTIFS($A$12:$A$5011,A23,$B$12:$B$5011,B23)&gt;1,"CPF + dia duplicado",IF(OR(AND(E23&lt;&gt;"",E23&lt;B23),AND(F23&lt;&gt;"",F23&lt;B23)),"Evento anterior à entrada",IF(AND(F23&lt;&gt;"",E23=""),"Conversa sem agendamento",IF(OR(E23&gt;TODAY(),F23&gt;TODAY()),"Verificar evento futuro","OK"))))))</f>
        <v/>
      </c>
    </row>
    <row r="24" spans="9:12">
      <c r="I24" s="5">
        <f>IF(OR(A24="",B24=""),"",B24-WEEKDAY(B24,2)+1)</f>
        <v/>
      </c>
      <c r="J24" s="5">
        <f>IF(I24="","",I24+6)</f>
        <v/>
      </c>
      <c r="K24" s="6">
        <f>IF(OR(A24="",B24=""),"",DATE(YEAR(B24),MONTH(B24),1))</f>
        <v/>
      </c>
      <c r="L24" s="7">
        <f>IF(COUNTA(A24,B24)=0,"",IF(OR(A24="",B24=""),"Preencher CPF e entrada",IF(COUNTIFS($A$12:$A$5011,A24,$B$12:$B$5011,B24)&gt;1,"CPF + dia duplicado",IF(OR(AND(E24&lt;&gt;"",E24&lt;B24),AND(F24&lt;&gt;"",F24&lt;B24)),"Evento anterior à entrada",IF(AND(F24&lt;&gt;"",E24=""),"Conversa sem agendamento",IF(OR(E24&gt;TODAY(),F24&gt;TODAY()),"Verificar evento futuro","OK"))))))</f>
        <v/>
      </c>
    </row>
    <row r="25" spans="9:12">
      <c r="I25" s="5">
        <f>IF(OR(A25="",B25=""),"",B25-WEEKDAY(B25,2)+1)</f>
        <v/>
      </c>
      <c r="J25" s="5">
        <f>IF(I25="","",I25+6)</f>
        <v/>
      </c>
      <c r="K25" s="6">
        <f>IF(OR(A25="",B25=""),"",DATE(YEAR(B25),MONTH(B25),1))</f>
        <v/>
      </c>
      <c r="L25" s="7">
        <f>IF(COUNTA(A25,B25)=0,"",IF(OR(A25="",B25=""),"Preencher CPF e entrada",IF(COUNTIFS($A$12:$A$5011,A25,$B$12:$B$5011,B25)&gt;1,"CPF + dia duplicado",IF(OR(AND(E25&lt;&gt;"",E25&lt;B25),AND(F25&lt;&gt;"",F25&lt;B25)),"Evento anterior à entrada",IF(AND(F25&lt;&gt;"",E25=""),"Conversa sem agendamento",IF(OR(E25&gt;TODAY(),F25&gt;TODAY()),"Verificar evento futuro","OK"))))))</f>
        <v/>
      </c>
    </row>
    <row r="26" spans="9:12">
      <c r="I26" s="5">
        <f>IF(OR(A26="",B26=""),"",B26-WEEKDAY(B26,2)+1)</f>
        <v/>
      </c>
      <c r="J26" s="5">
        <f>IF(I26="","",I26+6)</f>
        <v/>
      </c>
      <c r="K26" s="6">
        <f>IF(OR(A26="",B26=""),"",DATE(YEAR(B26),MONTH(B26),1))</f>
        <v/>
      </c>
      <c r="L26" s="7">
        <f>IF(COUNTA(A26,B26)=0,"",IF(OR(A26="",B26=""),"Preencher CPF e entrada",IF(COUNTIFS($A$12:$A$5011,A26,$B$12:$B$5011,B26)&gt;1,"CPF + dia duplicado",IF(OR(AND(E26&lt;&gt;"",E26&lt;B26),AND(F26&lt;&gt;"",F26&lt;B26)),"Evento anterior à entrada",IF(AND(F26&lt;&gt;"",E26=""),"Conversa sem agendamento",IF(OR(E26&gt;TODAY(),F26&gt;TODAY()),"Verificar evento futuro","OK"))))))</f>
        <v/>
      </c>
    </row>
    <row r="27" spans="9:12">
      <c r="I27" s="5">
        <f>IF(OR(A27="",B27=""),"",B27-WEEKDAY(B27,2)+1)</f>
        <v/>
      </c>
      <c r="J27" s="5">
        <f>IF(I27="","",I27+6)</f>
        <v/>
      </c>
      <c r="K27" s="6">
        <f>IF(OR(A27="",B27=""),"",DATE(YEAR(B27),MONTH(B27),1))</f>
        <v/>
      </c>
      <c r="L27" s="7">
        <f>IF(COUNTA(A27,B27)=0,"",IF(OR(A27="",B27=""),"Preencher CPF e entrada",IF(COUNTIFS($A$12:$A$5011,A27,$B$12:$B$5011,B27)&gt;1,"CPF + dia duplicado",IF(OR(AND(E27&lt;&gt;"",E27&lt;B27),AND(F27&lt;&gt;"",F27&lt;B27)),"Evento anterior à entrada",IF(AND(F27&lt;&gt;"",E27=""),"Conversa sem agendamento",IF(OR(E27&gt;TODAY(),F27&gt;TODAY()),"Verificar evento futuro","OK"))))))</f>
        <v/>
      </c>
    </row>
    <row r="28" spans="9:12">
      <c r="I28" s="5">
        <f>IF(OR(A28="",B28=""),"",B28-WEEKDAY(B28,2)+1)</f>
        <v/>
      </c>
      <c r="J28" s="5">
        <f>IF(I28="","",I28+6)</f>
        <v/>
      </c>
      <c r="K28" s="6">
        <f>IF(OR(A28="",B28=""),"",DATE(YEAR(B28),MONTH(B28),1))</f>
        <v/>
      </c>
      <c r="L28" s="7">
        <f>IF(COUNTA(A28,B28)=0,"",IF(OR(A28="",B28=""),"Preencher CPF e entrada",IF(COUNTIFS($A$12:$A$5011,A28,$B$12:$B$5011,B28)&gt;1,"CPF + dia duplicado",IF(OR(AND(E28&lt;&gt;"",E28&lt;B28),AND(F28&lt;&gt;"",F28&lt;B28)),"Evento anterior à entrada",IF(AND(F28&lt;&gt;"",E28=""),"Conversa sem agendamento",IF(OR(E28&gt;TODAY(),F28&gt;TODAY()),"Verificar evento futuro","OK"))))))</f>
        <v/>
      </c>
    </row>
    <row r="29" spans="9:12">
      <c r="I29" s="5">
        <f>IF(OR(A29="",B29=""),"",B29-WEEKDAY(B29,2)+1)</f>
        <v/>
      </c>
      <c r="J29" s="5">
        <f>IF(I29="","",I29+6)</f>
        <v/>
      </c>
      <c r="K29" s="6">
        <f>IF(OR(A29="",B29=""),"",DATE(YEAR(B29),MONTH(B29),1))</f>
        <v/>
      </c>
      <c r="L29" s="7">
        <f>IF(COUNTA(A29,B29)=0,"",IF(OR(A29="",B29=""),"Preencher CPF e entrada",IF(COUNTIFS($A$12:$A$5011,A29,$B$12:$B$5011,B29)&gt;1,"CPF + dia duplicado",IF(OR(AND(E29&lt;&gt;"",E29&lt;B29),AND(F29&lt;&gt;"",F29&lt;B29)),"Evento anterior à entrada",IF(AND(F29&lt;&gt;"",E29=""),"Conversa sem agendamento",IF(OR(E29&gt;TODAY(),F29&gt;TODAY()),"Verificar evento futuro","OK"))))))</f>
        <v/>
      </c>
    </row>
    <row r="30" spans="9:12">
      <c r="I30" s="5">
        <f>IF(OR(A30="",B30=""),"",B30-WEEKDAY(B30,2)+1)</f>
        <v/>
      </c>
      <c r="J30" s="5">
        <f>IF(I30="","",I30+6)</f>
        <v/>
      </c>
      <c r="K30" s="6">
        <f>IF(OR(A30="",B30=""),"",DATE(YEAR(B30),MONTH(B30),1))</f>
        <v/>
      </c>
      <c r="L30" s="7">
        <f>IF(COUNTA(A30,B30)=0,"",IF(OR(A30="",B30=""),"Preencher CPF e entrada",IF(COUNTIFS($A$12:$A$5011,A30,$B$12:$B$5011,B30)&gt;1,"CPF + dia duplicado",IF(OR(AND(E30&lt;&gt;"",E30&lt;B30),AND(F30&lt;&gt;"",F30&lt;B30)),"Evento anterior à entrada",IF(AND(F30&lt;&gt;"",E30=""),"Conversa sem agendamento",IF(OR(E30&gt;TODAY(),F30&gt;TODAY()),"Verificar evento futuro","OK"))))))</f>
        <v/>
      </c>
    </row>
    <row r="31" spans="9:12">
      <c r="I31" s="5">
        <f>IF(OR(A31="",B31=""),"",B31-WEEKDAY(B31,2)+1)</f>
        <v/>
      </c>
      <c r="J31" s="5">
        <f>IF(I31="","",I31+6)</f>
        <v/>
      </c>
      <c r="K31" s="6">
        <f>IF(OR(A31="",B31=""),"",DATE(YEAR(B31),MONTH(B31),1))</f>
        <v/>
      </c>
      <c r="L31" s="7">
        <f>IF(COUNTA(A31,B31)=0,"",IF(OR(A31="",B31=""),"Preencher CPF e entrada",IF(COUNTIFS($A$12:$A$5011,A31,$B$12:$B$5011,B31)&gt;1,"CPF + dia duplicado",IF(OR(AND(E31&lt;&gt;"",E31&lt;B31),AND(F31&lt;&gt;"",F31&lt;B31)),"Evento anterior à entrada",IF(AND(F31&lt;&gt;"",E31=""),"Conversa sem agendamento",IF(OR(E31&gt;TODAY(),F31&gt;TODAY()),"Verificar evento futuro","OK"))))))</f>
        <v/>
      </c>
    </row>
    <row r="32" spans="9:12">
      <c r="I32" s="5">
        <f>IF(OR(A32="",B32=""),"",B32-WEEKDAY(B32,2)+1)</f>
        <v/>
      </c>
      <c r="J32" s="5">
        <f>IF(I32="","",I32+6)</f>
        <v/>
      </c>
      <c r="K32" s="6">
        <f>IF(OR(A32="",B32=""),"",DATE(YEAR(B32),MONTH(B32),1))</f>
        <v/>
      </c>
      <c r="L32" s="7">
        <f>IF(COUNTA(A32,B32)=0,"",IF(OR(A32="",B32=""),"Preencher CPF e entrada",IF(COUNTIFS($A$12:$A$5011,A32,$B$12:$B$5011,B32)&gt;1,"CPF + dia duplicado",IF(OR(AND(E32&lt;&gt;"",E32&lt;B32),AND(F32&lt;&gt;"",F32&lt;B32)),"Evento anterior à entrada",IF(AND(F32&lt;&gt;"",E32=""),"Conversa sem agendamento",IF(OR(E32&gt;TODAY(),F32&gt;TODAY()),"Verificar evento futuro","OK"))))))</f>
        <v/>
      </c>
    </row>
    <row r="33" spans="9:12">
      <c r="I33" s="5">
        <f>IF(OR(A33="",B33=""),"",B33-WEEKDAY(B33,2)+1)</f>
        <v/>
      </c>
      <c r="J33" s="5">
        <f>IF(I33="","",I33+6)</f>
        <v/>
      </c>
      <c r="K33" s="6">
        <f>IF(OR(A33="",B33=""),"",DATE(YEAR(B33),MONTH(B33),1))</f>
        <v/>
      </c>
      <c r="L33" s="7">
        <f>IF(COUNTA(A33,B33)=0,"",IF(OR(A33="",B33=""),"Preencher CPF e entrada",IF(COUNTIFS($A$12:$A$5011,A33,$B$12:$B$5011,B33)&gt;1,"CPF + dia duplicado",IF(OR(AND(E33&lt;&gt;"",E33&lt;B33),AND(F33&lt;&gt;"",F33&lt;B33)),"Evento anterior à entrada",IF(AND(F33&lt;&gt;"",E33=""),"Conversa sem agendamento",IF(OR(E33&gt;TODAY(),F33&gt;TODAY()),"Verificar evento futuro","OK"))))))</f>
        <v/>
      </c>
    </row>
    <row r="34" spans="9:12">
      <c r="I34" s="5">
        <f>IF(OR(A34="",B34=""),"",B34-WEEKDAY(B34,2)+1)</f>
        <v/>
      </c>
      <c r="J34" s="5">
        <f>IF(I34="","",I34+6)</f>
        <v/>
      </c>
      <c r="K34" s="6">
        <f>IF(OR(A34="",B34=""),"",DATE(YEAR(B34),MONTH(B34),1))</f>
        <v/>
      </c>
      <c r="L34" s="7">
        <f>IF(COUNTA(A34,B34)=0,"",IF(OR(A34="",B34=""),"Preencher CPF e entrada",IF(COUNTIFS($A$12:$A$5011,A34,$B$12:$B$5011,B34)&gt;1,"CPF + dia duplicado",IF(OR(AND(E34&lt;&gt;"",E34&lt;B34),AND(F34&lt;&gt;"",F34&lt;B34)),"Evento anterior à entrada",IF(AND(F34&lt;&gt;"",E34=""),"Conversa sem agendamento",IF(OR(E34&gt;TODAY(),F34&gt;TODAY()),"Verificar evento futuro","OK"))))))</f>
        <v/>
      </c>
    </row>
    <row r="35" spans="9:12">
      <c r="I35" s="5">
        <f>IF(OR(A35="",B35=""),"",B35-WEEKDAY(B35,2)+1)</f>
        <v/>
      </c>
      <c r="J35" s="5">
        <f>IF(I35="","",I35+6)</f>
        <v/>
      </c>
      <c r="K35" s="6">
        <f>IF(OR(A35="",B35=""),"",DATE(YEAR(B35),MONTH(B35),1))</f>
        <v/>
      </c>
      <c r="L35" s="7">
        <f>IF(COUNTA(A35,B35)=0,"",IF(OR(A35="",B35=""),"Preencher CPF e entrada",IF(COUNTIFS($A$12:$A$5011,A35,$B$12:$B$5011,B35)&gt;1,"CPF + dia duplicado",IF(OR(AND(E35&lt;&gt;"",E35&lt;B35),AND(F35&lt;&gt;"",F35&lt;B35)),"Evento anterior à entrada",IF(AND(F35&lt;&gt;"",E35=""),"Conversa sem agendamento",IF(OR(E35&gt;TODAY(),F35&gt;TODAY()),"Verificar evento futuro","OK"))))))</f>
        <v/>
      </c>
    </row>
    <row r="36" spans="9:12">
      <c r="I36" s="5">
        <f>IF(OR(A36="",B36=""),"",B36-WEEKDAY(B36,2)+1)</f>
        <v/>
      </c>
      <c r="J36" s="5">
        <f>IF(I36="","",I36+6)</f>
        <v/>
      </c>
      <c r="K36" s="6">
        <f>IF(OR(A36="",B36=""),"",DATE(YEAR(B36),MONTH(B36),1))</f>
        <v/>
      </c>
      <c r="L36" s="7">
        <f>IF(COUNTA(A36,B36)=0,"",IF(OR(A36="",B36=""),"Preencher CPF e entrada",IF(COUNTIFS($A$12:$A$5011,A36,$B$12:$B$5011,B36)&gt;1,"CPF + dia duplicado",IF(OR(AND(E36&lt;&gt;"",E36&lt;B36),AND(F36&lt;&gt;"",F36&lt;B36)),"Evento anterior à entrada",IF(AND(F36&lt;&gt;"",E36=""),"Conversa sem agendamento",IF(OR(E36&gt;TODAY(),F36&gt;TODAY()),"Verificar evento futuro","OK"))))))</f>
        <v/>
      </c>
    </row>
    <row r="37" spans="9:12">
      <c r="I37" s="5">
        <f>IF(OR(A37="",B37=""),"",B37-WEEKDAY(B37,2)+1)</f>
        <v/>
      </c>
      <c r="J37" s="5">
        <f>IF(I37="","",I37+6)</f>
        <v/>
      </c>
      <c r="K37" s="6">
        <f>IF(OR(A37="",B37=""),"",DATE(YEAR(B37),MONTH(B37),1))</f>
        <v/>
      </c>
      <c r="L37" s="7">
        <f>IF(COUNTA(A37,B37)=0,"",IF(OR(A37="",B37=""),"Preencher CPF e entrada",IF(COUNTIFS($A$12:$A$5011,A37,$B$12:$B$5011,B37)&gt;1,"CPF + dia duplicado",IF(OR(AND(E37&lt;&gt;"",E37&lt;B37),AND(F37&lt;&gt;"",F37&lt;B37)),"Evento anterior à entrada",IF(AND(F37&lt;&gt;"",E37=""),"Conversa sem agendamento",IF(OR(E37&gt;TODAY(),F37&gt;TODAY()),"Verificar evento futuro","OK"))))))</f>
        <v/>
      </c>
    </row>
    <row r="38" spans="9:12">
      <c r="I38" s="5">
        <f>IF(OR(A38="",B38=""),"",B38-WEEKDAY(B38,2)+1)</f>
        <v/>
      </c>
      <c r="J38" s="5">
        <f>IF(I38="","",I38+6)</f>
        <v/>
      </c>
      <c r="K38" s="6">
        <f>IF(OR(A38="",B38=""),"",DATE(YEAR(B38),MONTH(B38),1))</f>
        <v/>
      </c>
      <c r="L38" s="7">
        <f>IF(COUNTA(A38,B38)=0,"",IF(OR(A38="",B38=""),"Preencher CPF e entrada",IF(COUNTIFS($A$12:$A$5011,A38,$B$12:$B$5011,B38)&gt;1,"CPF + dia duplicado",IF(OR(AND(E38&lt;&gt;"",E38&lt;B38),AND(F38&lt;&gt;"",F38&lt;B38)),"Evento anterior à entrada",IF(AND(F38&lt;&gt;"",E38=""),"Conversa sem agendamento",IF(OR(E38&gt;TODAY(),F38&gt;TODAY()),"Verificar evento futuro","OK"))))))</f>
        <v/>
      </c>
    </row>
    <row r="39" spans="9:12">
      <c r="I39" s="5">
        <f>IF(OR(A39="",B39=""),"",B39-WEEKDAY(B39,2)+1)</f>
        <v/>
      </c>
      <c r="J39" s="5">
        <f>IF(I39="","",I39+6)</f>
        <v/>
      </c>
      <c r="K39" s="6">
        <f>IF(OR(A39="",B39=""),"",DATE(YEAR(B39),MONTH(B39),1))</f>
        <v/>
      </c>
      <c r="L39" s="7">
        <f>IF(COUNTA(A39,B39)=0,"",IF(OR(A39="",B39=""),"Preencher CPF e entrada",IF(COUNTIFS($A$12:$A$5011,A39,$B$12:$B$5011,B39)&gt;1,"CPF + dia duplicado",IF(OR(AND(E39&lt;&gt;"",E39&lt;B39),AND(F39&lt;&gt;"",F39&lt;B39)),"Evento anterior à entrada",IF(AND(F39&lt;&gt;"",E39=""),"Conversa sem agendamento",IF(OR(E39&gt;TODAY(),F39&gt;TODAY()),"Verificar evento futuro","OK"))))))</f>
        <v/>
      </c>
    </row>
    <row r="40" spans="9:12">
      <c r="I40" s="5">
        <f>IF(OR(A40="",B40=""),"",B40-WEEKDAY(B40,2)+1)</f>
        <v/>
      </c>
      <c r="J40" s="5">
        <f>IF(I40="","",I40+6)</f>
        <v/>
      </c>
      <c r="K40" s="6">
        <f>IF(OR(A40="",B40=""),"",DATE(YEAR(B40),MONTH(B40),1))</f>
        <v/>
      </c>
      <c r="L40" s="7">
        <f>IF(COUNTA(A40,B40)=0,"",IF(OR(A40="",B40=""),"Preencher CPF e entrada",IF(COUNTIFS($A$12:$A$5011,A40,$B$12:$B$5011,B40)&gt;1,"CPF + dia duplicado",IF(OR(AND(E40&lt;&gt;"",E40&lt;B40),AND(F40&lt;&gt;"",F40&lt;B40)),"Evento anterior à entrada",IF(AND(F40&lt;&gt;"",E40=""),"Conversa sem agendamento",IF(OR(E40&gt;TODAY(),F40&gt;TODAY()),"Verificar evento futuro","OK"))))))</f>
        <v/>
      </c>
    </row>
    <row r="41" spans="9:12">
      <c r="I41" s="5">
        <f>IF(OR(A41="",B41=""),"",B41-WEEKDAY(B41,2)+1)</f>
        <v/>
      </c>
      <c r="J41" s="5">
        <f>IF(I41="","",I41+6)</f>
        <v/>
      </c>
      <c r="K41" s="6">
        <f>IF(OR(A41="",B41=""),"",DATE(YEAR(B41),MONTH(B41),1))</f>
        <v/>
      </c>
      <c r="L41" s="7">
        <f>IF(COUNTA(A41,B41)=0,"",IF(OR(A41="",B41=""),"Preencher CPF e entrada",IF(COUNTIFS($A$12:$A$5011,A41,$B$12:$B$5011,B41)&gt;1,"CPF + dia duplicado",IF(OR(AND(E41&lt;&gt;"",E41&lt;B41),AND(F41&lt;&gt;"",F41&lt;B41)),"Evento anterior à entrada",IF(AND(F41&lt;&gt;"",E41=""),"Conversa sem agendamento",IF(OR(E41&gt;TODAY(),F41&gt;TODAY()),"Verificar evento futuro","OK"))))))</f>
        <v/>
      </c>
    </row>
    <row r="42" spans="9:12">
      <c r="I42" s="5">
        <f>IF(OR(A42="",B42=""),"",B42-WEEKDAY(B42,2)+1)</f>
        <v/>
      </c>
      <c r="J42" s="5">
        <f>IF(I42="","",I42+6)</f>
        <v/>
      </c>
      <c r="K42" s="6">
        <f>IF(OR(A42="",B42=""),"",DATE(YEAR(B42),MONTH(B42),1))</f>
        <v/>
      </c>
      <c r="L42" s="7">
        <f>IF(COUNTA(A42,B42)=0,"",IF(OR(A42="",B42=""),"Preencher CPF e entrada",IF(COUNTIFS($A$12:$A$5011,A42,$B$12:$B$5011,B42)&gt;1,"CPF + dia duplicado",IF(OR(AND(E42&lt;&gt;"",E42&lt;B42),AND(F42&lt;&gt;"",F42&lt;B42)),"Evento anterior à entrada",IF(AND(F42&lt;&gt;"",E42=""),"Conversa sem agendamento",IF(OR(E42&gt;TODAY(),F42&gt;TODAY()),"Verificar evento futuro","OK"))))))</f>
        <v/>
      </c>
    </row>
    <row r="43" spans="9:12">
      <c r="I43" s="5">
        <f>IF(OR(A43="",B43=""),"",B43-WEEKDAY(B43,2)+1)</f>
        <v/>
      </c>
      <c r="J43" s="5">
        <f>IF(I43="","",I43+6)</f>
        <v/>
      </c>
      <c r="K43" s="6">
        <f>IF(OR(A43="",B43=""),"",DATE(YEAR(B43),MONTH(B43),1))</f>
        <v/>
      </c>
      <c r="L43" s="7">
        <f>IF(COUNTA(A43,B43)=0,"",IF(OR(A43="",B43=""),"Preencher CPF e entrada",IF(COUNTIFS($A$12:$A$5011,A43,$B$12:$B$5011,B43)&gt;1,"CPF + dia duplicado",IF(OR(AND(E43&lt;&gt;"",E43&lt;B43),AND(F43&lt;&gt;"",F43&lt;B43)),"Evento anterior à entrada",IF(AND(F43&lt;&gt;"",E43=""),"Conversa sem agendamento",IF(OR(E43&gt;TODAY(),F43&gt;TODAY()),"Verificar evento futuro","OK"))))))</f>
        <v/>
      </c>
    </row>
    <row r="44" spans="9:12">
      <c r="I44" s="5">
        <f>IF(OR(A44="",B44=""),"",B44-WEEKDAY(B44,2)+1)</f>
        <v/>
      </c>
      <c r="J44" s="5">
        <f>IF(I44="","",I44+6)</f>
        <v/>
      </c>
      <c r="K44" s="6">
        <f>IF(OR(A44="",B44=""),"",DATE(YEAR(B44),MONTH(B44),1))</f>
        <v/>
      </c>
      <c r="L44" s="7">
        <f>IF(COUNTA(A44,B44)=0,"",IF(OR(A44="",B44=""),"Preencher CPF e entrada",IF(COUNTIFS($A$12:$A$5011,A44,$B$12:$B$5011,B44)&gt;1,"CPF + dia duplicado",IF(OR(AND(E44&lt;&gt;"",E44&lt;B44),AND(F44&lt;&gt;"",F44&lt;B44)),"Evento anterior à entrada",IF(AND(F44&lt;&gt;"",E44=""),"Conversa sem agendamento",IF(OR(E44&gt;TODAY(),F44&gt;TODAY()),"Verificar evento futuro","OK"))))))</f>
        <v/>
      </c>
    </row>
    <row r="45" spans="9:12">
      <c r="I45" s="5">
        <f>IF(OR(A45="",B45=""),"",B45-WEEKDAY(B45,2)+1)</f>
        <v/>
      </c>
      <c r="J45" s="5">
        <f>IF(I45="","",I45+6)</f>
        <v/>
      </c>
      <c r="K45" s="6">
        <f>IF(OR(A45="",B45=""),"",DATE(YEAR(B45),MONTH(B45),1))</f>
        <v/>
      </c>
      <c r="L45" s="7">
        <f>IF(COUNTA(A45,B45)=0,"",IF(OR(A45="",B45=""),"Preencher CPF e entrada",IF(COUNTIFS($A$12:$A$5011,A45,$B$12:$B$5011,B45)&gt;1,"CPF + dia duplicado",IF(OR(AND(E45&lt;&gt;"",E45&lt;B45),AND(F45&lt;&gt;"",F45&lt;B45)),"Evento anterior à entrada",IF(AND(F45&lt;&gt;"",E45=""),"Conversa sem agendamento",IF(OR(E45&gt;TODAY(),F45&gt;TODAY()),"Verificar evento futuro","OK"))))))</f>
        <v/>
      </c>
    </row>
    <row r="46" spans="9:12">
      <c r="I46" s="5">
        <f>IF(OR(A46="",B46=""),"",B46-WEEKDAY(B46,2)+1)</f>
        <v/>
      </c>
      <c r="J46" s="5">
        <f>IF(I46="","",I46+6)</f>
        <v/>
      </c>
      <c r="K46" s="6">
        <f>IF(OR(A46="",B46=""),"",DATE(YEAR(B46),MONTH(B46),1))</f>
        <v/>
      </c>
      <c r="L46" s="7">
        <f>IF(COUNTA(A46,B46)=0,"",IF(OR(A46="",B46=""),"Preencher CPF e entrada",IF(COUNTIFS($A$12:$A$5011,A46,$B$12:$B$5011,B46)&gt;1,"CPF + dia duplicado",IF(OR(AND(E46&lt;&gt;"",E46&lt;B46),AND(F46&lt;&gt;"",F46&lt;B46)),"Evento anterior à entrada",IF(AND(F46&lt;&gt;"",E46=""),"Conversa sem agendamento",IF(OR(E46&gt;TODAY(),F46&gt;TODAY()),"Verificar evento futuro","OK"))))))</f>
        <v/>
      </c>
    </row>
    <row r="47" spans="9:12">
      <c r="I47" s="5">
        <f>IF(OR(A47="",B47=""),"",B47-WEEKDAY(B47,2)+1)</f>
        <v/>
      </c>
      <c r="J47" s="5">
        <f>IF(I47="","",I47+6)</f>
        <v/>
      </c>
      <c r="K47" s="6">
        <f>IF(OR(A47="",B47=""),"",DATE(YEAR(B47),MONTH(B47),1))</f>
        <v/>
      </c>
      <c r="L47" s="7">
        <f>IF(COUNTA(A47,B47)=0,"",IF(OR(A47="",B47=""),"Preencher CPF e entrada",IF(COUNTIFS($A$12:$A$5011,A47,$B$12:$B$5011,B47)&gt;1,"CPF + dia duplicado",IF(OR(AND(E47&lt;&gt;"",E47&lt;B47),AND(F47&lt;&gt;"",F47&lt;B47)),"Evento anterior à entrada",IF(AND(F47&lt;&gt;"",E47=""),"Conversa sem agendamento",IF(OR(E47&gt;TODAY(),F47&gt;TODAY()),"Verificar evento futuro","OK"))))))</f>
        <v/>
      </c>
    </row>
    <row r="48" spans="9:12">
      <c r="I48" s="5">
        <f>IF(OR(A48="",B48=""),"",B48-WEEKDAY(B48,2)+1)</f>
        <v/>
      </c>
      <c r="J48" s="5">
        <f>IF(I48="","",I48+6)</f>
        <v/>
      </c>
      <c r="K48" s="6">
        <f>IF(OR(A48="",B48=""),"",DATE(YEAR(B48),MONTH(B48),1))</f>
        <v/>
      </c>
      <c r="L48" s="7">
        <f>IF(COUNTA(A48,B48)=0,"",IF(OR(A48="",B48=""),"Preencher CPF e entrada",IF(COUNTIFS($A$12:$A$5011,A48,$B$12:$B$5011,B48)&gt;1,"CPF + dia duplicado",IF(OR(AND(E48&lt;&gt;"",E48&lt;B48),AND(F48&lt;&gt;"",F48&lt;B48)),"Evento anterior à entrada",IF(AND(F48&lt;&gt;"",E48=""),"Conversa sem agendamento",IF(OR(E48&gt;TODAY(),F48&gt;TODAY()),"Verificar evento futuro","OK"))))))</f>
        <v/>
      </c>
    </row>
    <row r="49" spans="9:12">
      <c r="I49" s="5">
        <f>IF(OR(A49="",B49=""),"",B49-WEEKDAY(B49,2)+1)</f>
        <v/>
      </c>
      <c r="J49" s="5">
        <f>IF(I49="","",I49+6)</f>
        <v/>
      </c>
      <c r="K49" s="6">
        <f>IF(OR(A49="",B49=""),"",DATE(YEAR(B49),MONTH(B49),1))</f>
        <v/>
      </c>
      <c r="L49" s="7">
        <f>IF(COUNTA(A49,B49)=0,"",IF(OR(A49="",B49=""),"Preencher CPF e entrada",IF(COUNTIFS($A$12:$A$5011,A49,$B$12:$B$5011,B49)&gt;1,"CPF + dia duplicado",IF(OR(AND(E49&lt;&gt;"",E49&lt;B49),AND(F49&lt;&gt;"",F49&lt;B49)),"Evento anterior à entrada",IF(AND(F49&lt;&gt;"",E49=""),"Conversa sem agendamento",IF(OR(E49&gt;TODAY(),F49&gt;TODAY()),"Verificar evento futuro","OK"))))))</f>
        <v/>
      </c>
    </row>
    <row r="50" spans="9:12">
      <c r="I50" s="5">
        <f>IF(OR(A50="",B50=""),"",B50-WEEKDAY(B50,2)+1)</f>
        <v/>
      </c>
      <c r="J50" s="5">
        <f>IF(I50="","",I50+6)</f>
        <v/>
      </c>
      <c r="K50" s="6">
        <f>IF(OR(A50="",B50=""),"",DATE(YEAR(B50),MONTH(B50),1))</f>
        <v/>
      </c>
      <c r="L50" s="7">
        <f>IF(COUNTA(A50,B50)=0,"",IF(OR(A50="",B50=""),"Preencher CPF e entrada",IF(COUNTIFS($A$12:$A$5011,A50,$B$12:$B$5011,B50)&gt;1,"CPF + dia duplicado",IF(OR(AND(E50&lt;&gt;"",E50&lt;B50),AND(F50&lt;&gt;"",F50&lt;B50)),"Evento anterior à entrada",IF(AND(F50&lt;&gt;"",E50=""),"Conversa sem agendamento",IF(OR(E50&gt;TODAY(),F50&gt;TODAY()),"Verificar evento futuro","OK"))))))</f>
        <v/>
      </c>
    </row>
    <row r="51" spans="9:12">
      <c r="I51" s="5">
        <f>IF(OR(A51="",B51=""),"",B51-WEEKDAY(B51,2)+1)</f>
        <v/>
      </c>
      <c r="J51" s="5">
        <f>IF(I51="","",I51+6)</f>
        <v/>
      </c>
      <c r="K51" s="6">
        <f>IF(OR(A51="",B51=""),"",DATE(YEAR(B51),MONTH(B51),1))</f>
        <v/>
      </c>
      <c r="L51" s="7">
        <f>IF(COUNTA(A51,B51)=0,"",IF(OR(A51="",B51=""),"Preencher CPF e entrada",IF(COUNTIFS($A$12:$A$5011,A51,$B$12:$B$5011,B51)&gt;1,"CPF + dia duplicado",IF(OR(AND(E51&lt;&gt;"",E51&lt;B51),AND(F51&lt;&gt;"",F51&lt;B51)),"Evento anterior à entrada",IF(AND(F51&lt;&gt;"",E51=""),"Conversa sem agendamento",IF(OR(E51&gt;TODAY(),F51&gt;TODAY()),"Verificar evento futuro","OK"))))))</f>
        <v/>
      </c>
    </row>
    <row r="52" spans="9:12">
      <c r="I52" s="5">
        <f>IF(OR(A52="",B52=""),"",B52-WEEKDAY(B52,2)+1)</f>
        <v/>
      </c>
      <c r="J52" s="5">
        <f>IF(I52="","",I52+6)</f>
        <v/>
      </c>
      <c r="K52" s="6">
        <f>IF(OR(A52="",B52=""),"",DATE(YEAR(B52),MONTH(B52),1))</f>
        <v/>
      </c>
      <c r="L52" s="7">
        <f>IF(COUNTA(A52,B52)=0,"",IF(OR(A52="",B52=""),"Preencher CPF e entrada",IF(COUNTIFS($A$12:$A$5011,A52,$B$12:$B$5011,B52)&gt;1,"CPF + dia duplicado",IF(OR(AND(E52&lt;&gt;"",E52&lt;B52),AND(F52&lt;&gt;"",F52&lt;B52)),"Evento anterior à entrada",IF(AND(F52&lt;&gt;"",E52=""),"Conversa sem agendamento",IF(OR(E52&gt;TODAY(),F52&gt;TODAY()),"Verificar evento futuro","OK"))))))</f>
        <v/>
      </c>
    </row>
    <row r="53" spans="9:12">
      <c r="I53" s="5">
        <f>IF(OR(A53="",B53=""),"",B53-WEEKDAY(B53,2)+1)</f>
        <v/>
      </c>
      <c r="J53" s="5">
        <f>IF(I53="","",I53+6)</f>
        <v/>
      </c>
      <c r="K53" s="6">
        <f>IF(OR(A53="",B53=""),"",DATE(YEAR(B53),MONTH(B53),1))</f>
        <v/>
      </c>
      <c r="L53" s="7">
        <f>IF(COUNTA(A53,B53)=0,"",IF(OR(A53="",B53=""),"Preencher CPF e entrada",IF(COUNTIFS($A$12:$A$5011,A53,$B$12:$B$5011,B53)&gt;1,"CPF + dia duplicado",IF(OR(AND(E53&lt;&gt;"",E53&lt;B53),AND(F53&lt;&gt;"",F53&lt;B53)),"Evento anterior à entrada",IF(AND(F53&lt;&gt;"",E53=""),"Conversa sem agendamento",IF(OR(E53&gt;TODAY(),F53&gt;TODAY()),"Verificar evento futuro","OK"))))))</f>
        <v/>
      </c>
    </row>
    <row r="54" spans="9:12">
      <c r="I54" s="5">
        <f>IF(OR(A54="",B54=""),"",B54-WEEKDAY(B54,2)+1)</f>
        <v/>
      </c>
      <c r="J54" s="5">
        <f>IF(I54="","",I54+6)</f>
        <v/>
      </c>
      <c r="K54" s="6">
        <f>IF(OR(A54="",B54=""),"",DATE(YEAR(B54),MONTH(B54),1))</f>
        <v/>
      </c>
      <c r="L54" s="7">
        <f>IF(COUNTA(A54,B54)=0,"",IF(OR(A54="",B54=""),"Preencher CPF e entrada",IF(COUNTIFS($A$12:$A$5011,A54,$B$12:$B$5011,B54)&gt;1,"CPF + dia duplicado",IF(OR(AND(E54&lt;&gt;"",E54&lt;B54),AND(F54&lt;&gt;"",F54&lt;B54)),"Evento anterior à entrada",IF(AND(F54&lt;&gt;"",E54=""),"Conversa sem agendamento",IF(OR(E54&gt;TODAY(),F54&gt;TODAY()),"Verificar evento futuro","OK"))))))</f>
        <v/>
      </c>
    </row>
    <row r="55" spans="9:12">
      <c r="I55" s="5">
        <f>IF(OR(A55="",B55=""),"",B55-WEEKDAY(B55,2)+1)</f>
        <v/>
      </c>
      <c r="J55" s="5">
        <f>IF(I55="","",I55+6)</f>
        <v/>
      </c>
      <c r="K55" s="6">
        <f>IF(OR(A55="",B55=""),"",DATE(YEAR(B55),MONTH(B55),1))</f>
        <v/>
      </c>
      <c r="L55" s="7">
        <f>IF(COUNTA(A55,B55)=0,"",IF(OR(A55="",B55=""),"Preencher CPF e entrada",IF(COUNTIFS($A$12:$A$5011,A55,$B$12:$B$5011,B55)&gt;1,"CPF + dia duplicado",IF(OR(AND(E55&lt;&gt;"",E55&lt;B55),AND(F55&lt;&gt;"",F55&lt;B55)),"Evento anterior à entrada",IF(AND(F55&lt;&gt;"",E55=""),"Conversa sem agendamento",IF(OR(E55&gt;TODAY(),F55&gt;TODAY()),"Verificar evento futuro","OK"))))))</f>
        <v/>
      </c>
    </row>
    <row r="56" spans="9:12">
      <c r="I56" s="5">
        <f>IF(OR(A56="",B56=""),"",B56-WEEKDAY(B56,2)+1)</f>
        <v/>
      </c>
      <c r="J56" s="5">
        <f>IF(I56="","",I56+6)</f>
        <v/>
      </c>
      <c r="K56" s="6">
        <f>IF(OR(A56="",B56=""),"",DATE(YEAR(B56),MONTH(B56),1))</f>
        <v/>
      </c>
      <c r="L56" s="7">
        <f>IF(COUNTA(A56,B56)=0,"",IF(OR(A56="",B56=""),"Preencher CPF e entrada",IF(COUNTIFS($A$12:$A$5011,A56,$B$12:$B$5011,B56)&gt;1,"CPF + dia duplicado",IF(OR(AND(E56&lt;&gt;"",E56&lt;B56),AND(F56&lt;&gt;"",F56&lt;B56)),"Evento anterior à entrada",IF(AND(F56&lt;&gt;"",E56=""),"Conversa sem agendamento",IF(OR(E56&gt;TODAY(),F56&gt;TODAY()),"Verificar evento futuro","OK"))))))</f>
        <v/>
      </c>
    </row>
    <row r="57" spans="9:12">
      <c r="I57" s="5">
        <f>IF(OR(A57="",B57=""),"",B57-WEEKDAY(B57,2)+1)</f>
        <v/>
      </c>
      <c r="J57" s="5">
        <f>IF(I57="","",I57+6)</f>
        <v/>
      </c>
      <c r="K57" s="6">
        <f>IF(OR(A57="",B57=""),"",DATE(YEAR(B57),MONTH(B57),1))</f>
        <v/>
      </c>
      <c r="L57" s="7">
        <f>IF(COUNTA(A57,B57)=0,"",IF(OR(A57="",B57=""),"Preencher CPF e entrada",IF(COUNTIFS($A$12:$A$5011,A57,$B$12:$B$5011,B57)&gt;1,"CPF + dia duplicado",IF(OR(AND(E57&lt;&gt;"",E57&lt;B57),AND(F57&lt;&gt;"",F57&lt;B57)),"Evento anterior à entrada",IF(AND(F57&lt;&gt;"",E57=""),"Conversa sem agendamento",IF(OR(E57&gt;TODAY(),F57&gt;TODAY()),"Verificar evento futuro","OK"))))))</f>
        <v/>
      </c>
    </row>
    <row r="58" spans="9:12">
      <c r="I58" s="5">
        <f>IF(OR(A58="",B58=""),"",B58-WEEKDAY(B58,2)+1)</f>
        <v/>
      </c>
      <c r="J58" s="5">
        <f>IF(I58="","",I58+6)</f>
        <v/>
      </c>
      <c r="K58" s="6">
        <f>IF(OR(A58="",B58=""),"",DATE(YEAR(B58),MONTH(B58),1))</f>
        <v/>
      </c>
      <c r="L58" s="7">
        <f>IF(COUNTA(A58,B58)=0,"",IF(OR(A58="",B58=""),"Preencher CPF e entrada",IF(COUNTIFS($A$12:$A$5011,A58,$B$12:$B$5011,B58)&gt;1,"CPF + dia duplicado",IF(OR(AND(E58&lt;&gt;"",E58&lt;B58),AND(F58&lt;&gt;"",F58&lt;B58)),"Evento anterior à entrada",IF(AND(F58&lt;&gt;"",E58=""),"Conversa sem agendamento",IF(OR(E58&gt;TODAY(),F58&gt;TODAY()),"Verificar evento futuro","OK"))))))</f>
        <v/>
      </c>
    </row>
    <row r="59" spans="9:12">
      <c r="I59" s="5">
        <f>IF(OR(A59="",B59=""),"",B59-WEEKDAY(B59,2)+1)</f>
        <v/>
      </c>
      <c r="J59" s="5">
        <f>IF(I59="","",I59+6)</f>
        <v/>
      </c>
      <c r="K59" s="6">
        <f>IF(OR(A59="",B59=""),"",DATE(YEAR(B59),MONTH(B59),1))</f>
        <v/>
      </c>
      <c r="L59" s="7">
        <f>IF(COUNTA(A59,B59)=0,"",IF(OR(A59="",B59=""),"Preencher CPF e entrada",IF(COUNTIFS($A$12:$A$5011,A59,$B$12:$B$5011,B59)&gt;1,"CPF + dia duplicado",IF(OR(AND(E59&lt;&gt;"",E59&lt;B59),AND(F59&lt;&gt;"",F59&lt;B59)),"Evento anterior à entrada",IF(AND(F59&lt;&gt;"",E59=""),"Conversa sem agendamento",IF(OR(E59&gt;TODAY(),F59&gt;TODAY()),"Verificar evento futuro","OK"))))))</f>
        <v/>
      </c>
    </row>
    <row r="60" spans="9:12">
      <c r="I60" s="5">
        <f>IF(OR(A60="",B60=""),"",B60-WEEKDAY(B60,2)+1)</f>
        <v/>
      </c>
      <c r="J60" s="5">
        <f>IF(I60="","",I60+6)</f>
        <v/>
      </c>
      <c r="K60" s="6">
        <f>IF(OR(A60="",B60=""),"",DATE(YEAR(B60),MONTH(B60),1))</f>
        <v/>
      </c>
      <c r="L60" s="7">
        <f>IF(COUNTA(A60,B60)=0,"",IF(OR(A60="",B60=""),"Preencher CPF e entrada",IF(COUNTIFS($A$12:$A$5011,A60,$B$12:$B$5011,B60)&gt;1,"CPF + dia duplicado",IF(OR(AND(E60&lt;&gt;"",E60&lt;B60),AND(F60&lt;&gt;"",F60&lt;B60)),"Evento anterior à entrada",IF(AND(F60&lt;&gt;"",E60=""),"Conversa sem agendamento",IF(OR(E60&gt;TODAY(),F60&gt;TODAY()),"Verificar evento futuro","OK"))))))</f>
        <v/>
      </c>
    </row>
    <row r="61" spans="9:12">
      <c r="I61" s="5">
        <f>IF(OR(A61="",B61=""),"",B61-WEEKDAY(B61,2)+1)</f>
        <v/>
      </c>
      <c r="J61" s="5">
        <f>IF(I61="","",I61+6)</f>
        <v/>
      </c>
      <c r="K61" s="6">
        <f>IF(OR(A61="",B61=""),"",DATE(YEAR(B61),MONTH(B61),1))</f>
        <v/>
      </c>
      <c r="L61" s="7">
        <f>IF(COUNTA(A61,B61)=0,"",IF(OR(A61="",B61=""),"Preencher CPF e entrada",IF(COUNTIFS($A$12:$A$5011,A61,$B$12:$B$5011,B61)&gt;1,"CPF + dia duplicado",IF(OR(AND(E61&lt;&gt;"",E61&lt;B61),AND(F61&lt;&gt;"",F61&lt;B61)),"Evento anterior à entrada",IF(AND(F61&lt;&gt;"",E61=""),"Conversa sem agendamento",IF(OR(E61&gt;TODAY(),F61&gt;TODAY()),"Verificar evento futuro","OK"))))))</f>
        <v/>
      </c>
    </row>
    <row r="62" spans="9:12">
      <c r="I62" s="5">
        <f>IF(OR(A62="",B62=""),"",B62-WEEKDAY(B62,2)+1)</f>
        <v/>
      </c>
      <c r="J62" s="5">
        <f>IF(I62="","",I62+6)</f>
        <v/>
      </c>
      <c r="K62" s="6">
        <f>IF(OR(A62="",B62=""),"",DATE(YEAR(B62),MONTH(B62),1))</f>
        <v/>
      </c>
      <c r="L62" s="7">
        <f>IF(COUNTA(A62,B62)=0,"",IF(OR(A62="",B62=""),"Preencher CPF e entrada",IF(COUNTIFS($A$12:$A$5011,A62,$B$12:$B$5011,B62)&gt;1,"CPF + dia duplicado",IF(OR(AND(E62&lt;&gt;"",E62&lt;B62),AND(F62&lt;&gt;"",F62&lt;B62)),"Evento anterior à entrada",IF(AND(F62&lt;&gt;"",E62=""),"Conversa sem agendamento",IF(OR(E62&gt;TODAY(),F62&gt;TODAY()),"Verificar evento futuro","OK"))))))</f>
        <v/>
      </c>
    </row>
    <row r="63" spans="9:12">
      <c r="I63" s="5">
        <f>IF(OR(A63="",B63=""),"",B63-WEEKDAY(B63,2)+1)</f>
        <v/>
      </c>
      <c r="J63" s="5">
        <f>IF(I63="","",I63+6)</f>
        <v/>
      </c>
      <c r="K63" s="6">
        <f>IF(OR(A63="",B63=""),"",DATE(YEAR(B63),MONTH(B63),1))</f>
        <v/>
      </c>
      <c r="L63" s="7">
        <f>IF(COUNTA(A63,B63)=0,"",IF(OR(A63="",B63=""),"Preencher CPF e entrada",IF(COUNTIFS($A$12:$A$5011,A63,$B$12:$B$5011,B63)&gt;1,"CPF + dia duplicado",IF(OR(AND(E63&lt;&gt;"",E63&lt;B63),AND(F63&lt;&gt;"",F63&lt;B63)),"Evento anterior à entrada",IF(AND(F63&lt;&gt;"",E63=""),"Conversa sem agendamento",IF(OR(E63&gt;TODAY(),F63&gt;TODAY()),"Verificar evento futuro","OK"))))))</f>
        <v/>
      </c>
    </row>
    <row r="64" spans="9:12">
      <c r="I64" s="5">
        <f>IF(OR(A64="",B64=""),"",B64-WEEKDAY(B64,2)+1)</f>
        <v/>
      </c>
      <c r="J64" s="5">
        <f>IF(I64="","",I64+6)</f>
        <v/>
      </c>
      <c r="K64" s="6">
        <f>IF(OR(A64="",B64=""),"",DATE(YEAR(B64),MONTH(B64),1))</f>
        <v/>
      </c>
      <c r="L64" s="7">
        <f>IF(COUNTA(A64,B64)=0,"",IF(OR(A64="",B64=""),"Preencher CPF e entrada",IF(COUNTIFS($A$12:$A$5011,A64,$B$12:$B$5011,B64)&gt;1,"CPF + dia duplicado",IF(OR(AND(E64&lt;&gt;"",E64&lt;B64),AND(F64&lt;&gt;"",F64&lt;B64)),"Evento anterior à entrada",IF(AND(F64&lt;&gt;"",E64=""),"Conversa sem agendamento",IF(OR(E64&gt;TODAY(),F64&gt;TODAY()),"Verificar evento futuro","OK"))))))</f>
        <v/>
      </c>
    </row>
    <row r="65" spans="9:12">
      <c r="I65" s="5">
        <f>IF(OR(A65="",B65=""),"",B65-WEEKDAY(B65,2)+1)</f>
        <v/>
      </c>
      <c r="J65" s="5">
        <f>IF(I65="","",I65+6)</f>
        <v/>
      </c>
      <c r="K65" s="6">
        <f>IF(OR(A65="",B65=""),"",DATE(YEAR(B65),MONTH(B65),1))</f>
        <v/>
      </c>
      <c r="L65" s="7">
        <f>IF(COUNTA(A65,B65)=0,"",IF(OR(A65="",B65=""),"Preencher CPF e entrada",IF(COUNTIFS($A$12:$A$5011,A65,$B$12:$B$5011,B65)&gt;1,"CPF + dia duplicado",IF(OR(AND(E65&lt;&gt;"",E65&lt;B65),AND(F65&lt;&gt;"",F65&lt;B65)),"Evento anterior à entrada",IF(AND(F65&lt;&gt;"",E65=""),"Conversa sem agendamento",IF(OR(E65&gt;TODAY(),F65&gt;TODAY()),"Verificar evento futuro","OK"))))))</f>
        <v/>
      </c>
    </row>
    <row r="66" spans="9:12">
      <c r="I66" s="5">
        <f>IF(OR(A66="",B66=""),"",B66-WEEKDAY(B66,2)+1)</f>
        <v/>
      </c>
      <c r="J66" s="5">
        <f>IF(I66="","",I66+6)</f>
        <v/>
      </c>
      <c r="K66" s="6">
        <f>IF(OR(A66="",B66=""),"",DATE(YEAR(B66),MONTH(B66),1))</f>
        <v/>
      </c>
      <c r="L66" s="7">
        <f>IF(COUNTA(A66,B66)=0,"",IF(OR(A66="",B66=""),"Preencher CPF e entrada",IF(COUNTIFS($A$12:$A$5011,A66,$B$12:$B$5011,B66)&gt;1,"CPF + dia duplicado",IF(OR(AND(E66&lt;&gt;"",E66&lt;B66),AND(F66&lt;&gt;"",F66&lt;B66)),"Evento anterior à entrada",IF(AND(F66&lt;&gt;"",E66=""),"Conversa sem agendamento",IF(OR(E66&gt;TODAY(),F66&gt;TODAY()),"Verificar evento futuro","OK"))))))</f>
        <v/>
      </c>
    </row>
    <row r="67" spans="9:12">
      <c r="I67" s="5">
        <f>IF(OR(A67="",B67=""),"",B67-WEEKDAY(B67,2)+1)</f>
        <v/>
      </c>
      <c r="J67" s="5">
        <f>IF(I67="","",I67+6)</f>
        <v/>
      </c>
      <c r="K67" s="6">
        <f>IF(OR(A67="",B67=""),"",DATE(YEAR(B67),MONTH(B67),1))</f>
        <v/>
      </c>
      <c r="L67" s="7">
        <f>IF(COUNTA(A67,B67)=0,"",IF(OR(A67="",B67=""),"Preencher CPF e entrada",IF(COUNTIFS($A$12:$A$5011,A67,$B$12:$B$5011,B67)&gt;1,"CPF + dia duplicado",IF(OR(AND(E67&lt;&gt;"",E67&lt;B67),AND(F67&lt;&gt;"",F67&lt;B67)),"Evento anterior à entrada",IF(AND(F67&lt;&gt;"",E67=""),"Conversa sem agendamento",IF(OR(E67&gt;TODAY(),F67&gt;TODAY()),"Verificar evento futuro","OK"))))))</f>
        <v/>
      </c>
    </row>
    <row r="68" spans="9:12">
      <c r="I68" s="5">
        <f>IF(OR(A68="",B68=""),"",B68-WEEKDAY(B68,2)+1)</f>
        <v/>
      </c>
      <c r="J68" s="5">
        <f>IF(I68="","",I68+6)</f>
        <v/>
      </c>
      <c r="K68" s="6">
        <f>IF(OR(A68="",B68=""),"",DATE(YEAR(B68),MONTH(B68),1))</f>
        <v/>
      </c>
      <c r="L68" s="7">
        <f>IF(COUNTA(A68,B68)=0,"",IF(OR(A68="",B68=""),"Preencher CPF e entrada",IF(COUNTIFS($A$12:$A$5011,A68,$B$12:$B$5011,B68)&gt;1,"CPF + dia duplicado",IF(OR(AND(E68&lt;&gt;"",E68&lt;B68),AND(F68&lt;&gt;"",F68&lt;B68)),"Evento anterior à entrada",IF(AND(F68&lt;&gt;"",E68=""),"Conversa sem agendamento",IF(OR(E68&gt;TODAY(),F68&gt;TODAY()),"Verificar evento futuro","OK"))))))</f>
        <v/>
      </c>
    </row>
    <row r="69" spans="9:12">
      <c r="I69" s="5">
        <f>IF(OR(A69="",B69=""),"",B69-WEEKDAY(B69,2)+1)</f>
        <v/>
      </c>
      <c r="J69" s="5">
        <f>IF(I69="","",I69+6)</f>
        <v/>
      </c>
      <c r="K69" s="6">
        <f>IF(OR(A69="",B69=""),"",DATE(YEAR(B69),MONTH(B69),1))</f>
        <v/>
      </c>
      <c r="L69" s="7">
        <f>IF(COUNTA(A69,B69)=0,"",IF(OR(A69="",B69=""),"Preencher CPF e entrada",IF(COUNTIFS($A$12:$A$5011,A69,$B$12:$B$5011,B69)&gt;1,"CPF + dia duplicado",IF(OR(AND(E69&lt;&gt;"",E69&lt;B69),AND(F69&lt;&gt;"",F69&lt;B69)),"Evento anterior à entrada",IF(AND(F69&lt;&gt;"",E69=""),"Conversa sem agendamento",IF(OR(E69&gt;TODAY(),F69&gt;TODAY()),"Verificar evento futuro","OK"))))))</f>
        <v/>
      </c>
    </row>
    <row r="70" spans="9:12">
      <c r="I70" s="5">
        <f>IF(OR(A70="",B70=""),"",B70-WEEKDAY(B70,2)+1)</f>
        <v/>
      </c>
      <c r="J70" s="5">
        <f>IF(I70="","",I70+6)</f>
        <v/>
      </c>
      <c r="K70" s="6">
        <f>IF(OR(A70="",B70=""),"",DATE(YEAR(B70),MONTH(B70),1))</f>
        <v/>
      </c>
      <c r="L70" s="7">
        <f>IF(COUNTA(A70,B70)=0,"",IF(OR(A70="",B70=""),"Preencher CPF e entrada",IF(COUNTIFS($A$12:$A$5011,A70,$B$12:$B$5011,B70)&gt;1,"CPF + dia duplicado",IF(OR(AND(E70&lt;&gt;"",E70&lt;B70),AND(F70&lt;&gt;"",F70&lt;B70)),"Evento anterior à entrada",IF(AND(F70&lt;&gt;"",E70=""),"Conversa sem agendamento",IF(OR(E70&gt;TODAY(),F70&gt;TODAY()),"Verificar evento futuro","OK"))))))</f>
        <v/>
      </c>
    </row>
    <row r="71" spans="9:12">
      <c r="I71" s="5">
        <f>IF(OR(A71="",B71=""),"",B71-WEEKDAY(B71,2)+1)</f>
        <v/>
      </c>
      <c r="J71" s="5">
        <f>IF(I71="","",I71+6)</f>
        <v/>
      </c>
      <c r="K71" s="6">
        <f>IF(OR(A71="",B71=""),"",DATE(YEAR(B71),MONTH(B71),1))</f>
        <v/>
      </c>
      <c r="L71" s="7">
        <f>IF(COUNTA(A71,B71)=0,"",IF(OR(A71="",B71=""),"Preencher CPF e entrada",IF(COUNTIFS($A$12:$A$5011,A71,$B$12:$B$5011,B71)&gt;1,"CPF + dia duplicado",IF(OR(AND(E71&lt;&gt;"",E71&lt;B71),AND(F71&lt;&gt;"",F71&lt;B71)),"Evento anterior à entrada",IF(AND(F71&lt;&gt;"",E71=""),"Conversa sem agendamento",IF(OR(E71&gt;TODAY(),F71&gt;TODAY()),"Verificar evento futuro","OK"))))))</f>
        <v/>
      </c>
    </row>
    <row r="72" spans="9:12">
      <c r="I72" s="5">
        <f>IF(OR(A72="",B72=""),"",B72-WEEKDAY(B72,2)+1)</f>
        <v/>
      </c>
      <c r="J72" s="5">
        <f>IF(I72="","",I72+6)</f>
        <v/>
      </c>
      <c r="K72" s="6">
        <f>IF(OR(A72="",B72=""),"",DATE(YEAR(B72),MONTH(B72),1))</f>
        <v/>
      </c>
      <c r="L72" s="7">
        <f>IF(COUNTA(A72,B72)=0,"",IF(OR(A72="",B72=""),"Preencher CPF e entrada",IF(COUNTIFS($A$12:$A$5011,A72,$B$12:$B$5011,B72)&gt;1,"CPF + dia duplicado",IF(OR(AND(E72&lt;&gt;"",E72&lt;B72),AND(F72&lt;&gt;"",F72&lt;B72)),"Evento anterior à entrada",IF(AND(F72&lt;&gt;"",E72=""),"Conversa sem agendamento",IF(OR(E72&gt;TODAY(),F72&gt;TODAY()),"Verificar evento futuro","OK"))))))</f>
        <v/>
      </c>
    </row>
    <row r="73" spans="9:12">
      <c r="I73" s="5">
        <f>IF(OR(A73="",B73=""),"",B73-WEEKDAY(B73,2)+1)</f>
        <v/>
      </c>
      <c r="J73" s="5">
        <f>IF(I73="","",I73+6)</f>
        <v/>
      </c>
      <c r="K73" s="6">
        <f>IF(OR(A73="",B73=""),"",DATE(YEAR(B73),MONTH(B73),1))</f>
        <v/>
      </c>
      <c r="L73" s="7">
        <f>IF(COUNTA(A73,B73)=0,"",IF(OR(A73="",B73=""),"Preencher CPF e entrada",IF(COUNTIFS($A$12:$A$5011,A73,$B$12:$B$5011,B73)&gt;1,"CPF + dia duplicado",IF(OR(AND(E73&lt;&gt;"",E73&lt;B73),AND(F73&lt;&gt;"",F73&lt;B73)),"Evento anterior à entrada",IF(AND(F73&lt;&gt;"",E73=""),"Conversa sem agendamento",IF(OR(E73&gt;TODAY(),F73&gt;TODAY()),"Verificar evento futuro","OK"))))))</f>
        <v/>
      </c>
    </row>
    <row r="74" spans="9:12">
      <c r="I74" s="5">
        <f>IF(OR(A74="",B74=""),"",B74-WEEKDAY(B74,2)+1)</f>
        <v/>
      </c>
      <c r="J74" s="5">
        <f>IF(I74="","",I74+6)</f>
        <v/>
      </c>
      <c r="K74" s="6">
        <f>IF(OR(A74="",B74=""),"",DATE(YEAR(B74),MONTH(B74),1))</f>
        <v/>
      </c>
      <c r="L74" s="7">
        <f>IF(COUNTA(A74,B74)=0,"",IF(OR(A74="",B74=""),"Preencher CPF e entrada",IF(COUNTIFS($A$12:$A$5011,A74,$B$12:$B$5011,B74)&gt;1,"CPF + dia duplicado",IF(OR(AND(E74&lt;&gt;"",E74&lt;B74),AND(F74&lt;&gt;"",F74&lt;B74)),"Evento anterior à entrada",IF(AND(F74&lt;&gt;"",E74=""),"Conversa sem agendamento",IF(OR(E74&gt;TODAY(),F74&gt;TODAY()),"Verificar evento futuro","OK"))))))</f>
        <v/>
      </c>
    </row>
    <row r="75" spans="9:12">
      <c r="I75" s="5">
        <f>IF(OR(A75="",B75=""),"",B75-WEEKDAY(B75,2)+1)</f>
        <v/>
      </c>
      <c r="J75" s="5">
        <f>IF(I75="","",I75+6)</f>
        <v/>
      </c>
      <c r="K75" s="6">
        <f>IF(OR(A75="",B75=""),"",DATE(YEAR(B75),MONTH(B75),1))</f>
        <v/>
      </c>
      <c r="L75" s="7">
        <f>IF(COUNTA(A75,B75)=0,"",IF(OR(A75="",B75=""),"Preencher CPF e entrada",IF(COUNTIFS($A$12:$A$5011,A75,$B$12:$B$5011,B75)&gt;1,"CPF + dia duplicado",IF(OR(AND(E75&lt;&gt;"",E75&lt;B75),AND(F75&lt;&gt;"",F75&lt;B75)),"Evento anterior à entrada",IF(AND(F75&lt;&gt;"",E75=""),"Conversa sem agendamento",IF(OR(E75&gt;TODAY(),F75&gt;TODAY()),"Verificar evento futuro","OK"))))))</f>
        <v/>
      </c>
    </row>
    <row r="76" spans="9:12">
      <c r="I76" s="5">
        <f>IF(OR(A76="",B76=""),"",B76-WEEKDAY(B76,2)+1)</f>
        <v/>
      </c>
      <c r="J76" s="5">
        <f>IF(I76="","",I76+6)</f>
        <v/>
      </c>
      <c r="K76" s="6">
        <f>IF(OR(A76="",B76=""),"",DATE(YEAR(B76),MONTH(B76),1))</f>
        <v/>
      </c>
      <c r="L76" s="7">
        <f>IF(COUNTA(A76,B76)=0,"",IF(OR(A76="",B76=""),"Preencher CPF e entrada",IF(COUNTIFS($A$12:$A$5011,A76,$B$12:$B$5011,B76)&gt;1,"CPF + dia duplicado",IF(OR(AND(E76&lt;&gt;"",E76&lt;B76),AND(F76&lt;&gt;"",F76&lt;B76)),"Evento anterior à entrada",IF(AND(F76&lt;&gt;"",E76=""),"Conversa sem agendamento",IF(OR(E76&gt;TODAY(),F76&gt;TODAY()),"Verificar evento futuro","OK"))))))</f>
        <v/>
      </c>
    </row>
    <row r="77" spans="9:12">
      <c r="I77" s="5">
        <f>IF(OR(A77="",B77=""),"",B77-WEEKDAY(B77,2)+1)</f>
        <v/>
      </c>
      <c r="J77" s="5">
        <f>IF(I77="","",I77+6)</f>
        <v/>
      </c>
      <c r="K77" s="6">
        <f>IF(OR(A77="",B77=""),"",DATE(YEAR(B77),MONTH(B77),1))</f>
        <v/>
      </c>
      <c r="L77" s="7">
        <f>IF(COUNTA(A77,B77)=0,"",IF(OR(A77="",B77=""),"Preencher CPF e entrada",IF(COUNTIFS($A$12:$A$5011,A77,$B$12:$B$5011,B77)&gt;1,"CPF + dia duplicado",IF(OR(AND(E77&lt;&gt;"",E77&lt;B77),AND(F77&lt;&gt;"",F77&lt;B77)),"Evento anterior à entrada",IF(AND(F77&lt;&gt;"",E77=""),"Conversa sem agendamento",IF(OR(E77&gt;TODAY(),F77&gt;TODAY()),"Verificar evento futuro","OK"))))))</f>
        <v/>
      </c>
    </row>
    <row r="78" spans="9:12">
      <c r="I78" s="5">
        <f>IF(OR(A78="",B78=""),"",B78-WEEKDAY(B78,2)+1)</f>
        <v/>
      </c>
      <c r="J78" s="5">
        <f>IF(I78="","",I78+6)</f>
        <v/>
      </c>
      <c r="K78" s="6">
        <f>IF(OR(A78="",B78=""),"",DATE(YEAR(B78),MONTH(B78),1))</f>
        <v/>
      </c>
      <c r="L78" s="7">
        <f>IF(COUNTA(A78,B78)=0,"",IF(OR(A78="",B78=""),"Preencher CPF e entrada",IF(COUNTIFS($A$12:$A$5011,A78,$B$12:$B$5011,B78)&gt;1,"CPF + dia duplicado",IF(OR(AND(E78&lt;&gt;"",E78&lt;B78),AND(F78&lt;&gt;"",F78&lt;B78)),"Evento anterior à entrada",IF(AND(F78&lt;&gt;"",E78=""),"Conversa sem agendamento",IF(OR(E78&gt;TODAY(),F78&gt;TODAY()),"Verificar evento futuro","OK"))))))</f>
        <v/>
      </c>
    </row>
    <row r="79" spans="9:12">
      <c r="I79" s="5">
        <f>IF(OR(A79="",B79=""),"",B79-WEEKDAY(B79,2)+1)</f>
        <v/>
      </c>
      <c r="J79" s="5">
        <f>IF(I79="","",I79+6)</f>
        <v/>
      </c>
      <c r="K79" s="6">
        <f>IF(OR(A79="",B79=""),"",DATE(YEAR(B79),MONTH(B79),1))</f>
        <v/>
      </c>
      <c r="L79" s="7">
        <f>IF(COUNTA(A79,B79)=0,"",IF(OR(A79="",B79=""),"Preencher CPF e entrada",IF(COUNTIFS($A$12:$A$5011,A79,$B$12:$B$5011,B79)&gt;1,"CPF + dia duplicado",IF(OR(AND(E79&lt;&gt;"",E79&lt;B79),AND(F79&lt;&gt;"",F79&lt;B79)),"Evento anterior à entrada",IF(AND(F79&lt;&gt;"",E79=""),"Conversa sem agendamento",IF(OR(E79&gt;TODAY(),F79&gt;TODAY()),"Verificar evento futuro","OK"))))))</f>
        <v/>
      </c>
    </row>
    <row r="80" spans="9:12">
      <c r="I80" s="5">
        <f>IF(OR(A80="",B80=""),"",B80-WEEKDAY(B80,2)+1)</f>
        <v/>
      </c>
      <c r="J80" s="5">
        <f>IF(I80="","",I80+6)</f>
        <v/>
      </c>
      <c r="K80" s="6">
        <f>IF(OR(A80="",B80=""),"",DATE(YEAR(B80),MONTH(B80),1))</f>
        <v/>
      </c>
      <c r="L80" s="7">
        <f>IF(COUNTA(A80,B80)=0,"",IF(OR(A80="",B80=""),"Preencher CPF e entrada",IF(COUNTIFS($A$12:$A$5011,A80,$B$12:$B$5011,B80)&gt;1,"CPF + dia duplicado",IF(OR(AND(E80&lt;&gt;"",E80&lt;B80),AND(F80&lt;&gt;"",F80&lt;B80)),"Evento anterior à entrada",IF(AND(F80&lt;&gt;"",E80=""),"Conversa sem agendamento",IF(OR(E80&gt;TODAY(),F80&gt;TODAY()),"Verificar evento futuro","OK"))))))</f>
        <v/>
      </c>
    </row>
    <row r="81" spans="9:12">
      <c r="I81" s="5">
        <f>IF(OR(A81="",B81=""),"",B81-WEEKDAY(B81,2)+1)</f>
        <v/>
      </c>
      <c r="J81" s="5">
        <f>IF(I81="","",I81+6)</f>
        <v/>
      </c>
      <c r="K81" s="6">
        <f>IF(OR(A81="",B81=""),"",DATE(YEAR(B81),MONTH(B81),1))</f>
        <v/>
      </c>
      <c r="L81" s="7">
        <f>IF(COUNTA(A81,B81)=0,"",IF(OR(A81="",B81=""),"Preencher CPF e entrada",IF(COUNTIFS($A$12:$A$5011,A81,$B$12:$B$5011,B81)&gt;1,"CPF + dia duplicado",IF(OR(AND(E81&lt;&gt;"",E81&lt;B81),AND(F81&lt;&gt;"",F81&lt;B81)),"Evento anterior à entrada",IF(AND(F81&lt;&gt;"",E81=""),"Conversa sem agendamento",IF(OR(E81&gt;TODAY(),F81&gt;TODAY()),"Verificar evento futuro","OK"))))))</f>
        <v/>
      </c>
    </row>
    <row r="82" spans="9:12">
      <c r="I82" s="5">
        <f>IF(OR(A82="",B82=""),"",B82-WEEKDAY(B82,2)+1)</f>
        <v/>
      </c>
      <c r="J82" s="5">
        <f>IF(I82="","",I82+6)</f>
        <v/>
      </c>
      <c r="K82" s="6">
        <f>IF(OR(A82="",B82=""),"",DATE(YEAR(B82),MONTH(B82),1))</f>
        <v/>
      </c>
      <c r="L82" s="7">
        <f>IF(COUNTA(A82,B82)=0,"",IF(OR(A82="",B82=""),"Preencher CPF e entrada",IF(COUNTIFS($A$12:$A$5011,A82,$B$12:$B$5011,B82)&gt;1,"CPF + dia duplicado",IF(OR(AND(E82&lt;&gt;"",E82&lt;B82),AND(F82&lt;&gt;"",F82&lt;B82)),"Evento anterior à entrada",IF(AND(F82&lt;&gt;"",E82=""),"Conversa sem agendamento",IF(OR(E82&gt;TODAY(),F82&gt;TODAY()),"Verificar evento futuro","OK"))))))</f>
        <v/>
      </c>
    </row>
    <row r="83" spans="9:12">
      <c r="I83" s="5">
        <f>IF(OR(A83="",B83=""),"",B83-WEEKDAY(B83,2)+1)</f>
        <v/>
      </c>
      <c r="J83" s="5">
        <f>IF(I83="","",I83+6)</f>
        <v/>
      </c>
      <c r="K83" s="6">
        <f>IF(OR(A83="",B83=""),"",DATE(YEAR(B83),MONTH(B83),1))</f>
        <v/>
      </c>
      <c r="L83" s="7">
        <f>IF(COUNTA(A83,B83)=0,"",IF(OR(A83="",B83=""),"Preencher CPF e entrada",IF(COUNTIFS($A$12:$A$5011,A83,$B$12:$B$5011,B83)&gt;1,"CPF + dia duplicado",IF(OR(AND(E83&lt;&gt;"",E83&lt;B83),AND(F83&lt;&gt;"",F83&lt;B83)),"Evento anterior à entrada",IF(AND(F83&lt;&gt;"",E83=""),"Conversa sem agendamento",IF(OR(E83&gt;TODAY(),F83&gt;TODAY()),"Verificar evento futuro","OK"))))))</f>
        <v/>
      </c>
    </row>
    <row r="84" spans="9:12">
      <c r="I84" s="5">
        <f>IF(OR(A84="",B84=""),"",B84-WEEKDAY(B84,2)+1)</f>
        <v/>
      </c>
      <c r="J84" s="5">
        <f>IF(I84="","",I84+6)</f>
        <v/>
      </c>
      <c r="K84" s="6">
        <f>IF(OR(A84="",B84=""),"",DATE(YEAR(B84),MONTH(B84),1))</f>
        <v/>
      </c>
      <c r="L84" s="7">
        <f>IF(COUNTA(A84,B84)=0,"",IF(OR(A84="",B84=""),"Preencher CPF e entrada",IF(COUNTIFS($A$12:$A$5011,A84,$B$12:$B$5011,B84)&gt;1,"CPF + dia duplicado",IF(OR(AND(E84&lt;&gt;"",E84&lt;B84),AND(F84&lt;&gt;"",F84&lt;B84)),"Evento anterior à entrada",IF(AND(F84&lt;&gt;"",E84=""),"Conversa sem agendamento",IF(OR(E84&gt;TODAY(),F84&gt;TODAY()),"Verificar evento futuro","OK"))))))</f>
        <v/>
      </c>
    </row>
    <row r="85" spans="9:12">
      <c r="I85" s="5">
        <f>IF(OR(A85="",B85=""),"",B85-WEEKDAY(B85,2)+1)</f>
        <v/>
      </c>
      <c r="J85" s="5">
        <f>IF(I85="","",I85+6)</f>
        <v/>
      </c>
      <c r="K85" s="6">
        <f>IF(OR(A85="",B85=""),"",DATE(YEAR(B85),MONTH(B85),1))</f>
        <v/>
      </c>
      <c r="L85" s="7">
        <f>IF(COUNTA(A85,B85)=0,"",IF(OR(A85="",B85=""),"Preencher CPF e entrada",IF(COUNTIFS($A$12:$A$5011,A85,$B$12:$B$5011,B85)&gt;1,"CPF + dia duplicado",IF(OR(AND(E85&lt;&gt;"",E85&lt;B85),AND(F85&lt;&gt;"",F85&lt;B85)),"Evento anterior à entrada",IF(AND(F85&lt;&gt;"",E85=""),"Conversa sem agendamento",IF(OR(E85&gt;TODAY(),F85&gt;TODAY()),"Verificar evento futuro","OK"))))))</f>
        <v/>
      </c>
    </row>
    <row r="86" spans="9:12">
      <c r="I86" s="5">
        <f>IF(OR(A86="",B86=""),"",B86-WEEKDAY(B86,2)+1)</f>
        <v/>
      </c>
      <c r="J86" s="5">
        <f>IF(I86="","",I86+6)</f>
        <v/>
      </c>
      <c r="K86" s="6">
        <f>IF(OR(A86="",B86=""),"",DATE(YEAR(B86),MONTH(B86),1))</f>
        <v/>
      </c>
      <c r="L86" s="7">
        <f>IF(COUNTA(A86,B86)=0,"",IF(OR(A86="",B86=""),"Preencher CPF e entrada",IF(COUNTIFS($A$12:$A$5011,A86,$B$12:$B$5011,B86)&gt;1,"CPF + dia duplicado",IF(OR(AND(E86&lt;&gt;"",E86&lt;B86),AND(F86&lt;&gt;"",F86&lt;B86)),"Evento anterior à entrada",IF(AND(F86&lt;&gt;"",E86=""),"Conversa sem agendamento",IF(OR(E86&gt;TODAY(),F86&gt;TODAY()),"Verificar evento futuro","OK"))))))</f>
        <v/>
      </c>
    </row>
    <row r="87" spans="9:12">
      <c r="I87" s="5">
        <f>IF(OR(A87="",B87=""),"",B87-WEEKDAY(B87,2)+1)</f>
        <v/>
      </c>
      <c r="J87" s="5">
        <f>IF(I87="","",I87+6)</f>
        <v/>
      </c>
      <c r="K87" s="6">
        <f>IF(OR(A87="",B87=""),"",DATE(YEAR(B87),MONTH(B87),1))</f>
        <v/>
      </c>
      <c r="L87" s="7">
        <f>IF(COUNTA(A87,B87)=0,"",IF(OR(A87="",B87=""),"Preencher CPF e entrada",IF(COUNTIFS($A$12:$A$5011,A87,$B$12:$B$5011,B87)&gt;1,"CPF + dia duplicado",IF(OR(AND(E87&lt;&gt;"",E87&lt;B87),AND(F87&lt;&gt;"",F87&lt;B87)),"Evento anterior à entrada",IF(AND(F87&lt;&gt;"",E87=""),"Conversa sem agendamento",IF(OR(E87&gt;TODAY(),F87&gt;TODAY()),"Verificar evento futuro","OK"))))))</f>
        <v/>
      </c>
    </row>
    <row r="88" spans="9:12">
      <c r="I88" s="5">
        <f>IF(OR(A88="",B88=""),"",B88-WEEKDAY(B88,2)+1)</f>
        <v/>
      </c>
      <c r="J88" s="5">
        <f>IF(I88="","",I88+6)</f>
        <v/>
      </c>
      <c r="K88" s="6">
        <f>IF(OR(A88="",B88=""),"",DATE(YEAR(B88),MONTH(B88),1))</f>
        <v/>
      </c>
      <c r="L88" s="7">
        <f>IF(COUNTA(A88,B88)=0,"",IF(OR(A88="",B88=""),"Preencher CPF e entrada",IF(COUNTIFS($A$12:$A$5011,A88,$B$12:$B$5011,B88)&gt;1,"CPF + dia duplicado",IF(OR(AND(E88&lt;&gt;"",E88&lt;B88),AND(F88&lt;&gt;"",F88&lt;B88)),"Evento anterior à entrada",IF(AND(F88&lt;&gt;"",E88=""),"Conversa sem agendamento",IF(OR(E88&gt;TODAY(),F88&gt;TODAY()),"Verificar evento futuro","OK"))))))</f>
        <v/>
      </c>
    </row>
    <row r="89" spans="9:12">
      <c r="I89" s="5">
        <f>IF(OR(A89="",B89=""),"",B89-WEEKDAY(B89,2)+1)</f>
        <v/>
      </c>
      <c r="J89" s="5">
        <f>IF(I89="","",I89+6)</f>
        <v/>
      </c>
      <c r="K89" s="6">
        <f>IF(OR(A89="",B89=""),"",DATE(YEAR(B89),MONTH(B89),1))</f>
        <v/>
      </c>
      <c r="L89" s="7">
        <f>IF(COUNTA(A89,B89)=0,"",IF(OR(A89="",B89=""),"Preencher CPF e entrada",IF(COUNTIFS($A$12:$A$5011,A89,$B$12:$B$5011,B89)&gt;1,"CPF + dia duplicado",IF(OR(AND(E89&lt;&gt;"",E89&lt;B89),AND(F89&lt;&gt;"",F89&lt;B89)),"Evento anterior à entrada",IF(AND(F89&lt;&gt;"",E89=""),"Conversa sem agendamento",IF(OR(E89&gt;TODAY(),F89&gt;TODAY()),"Verificar evento futuro","OK"))))))</f>
        <v/>
      </c>
    </row>
    <row r="90" spans="9:12">
      <c r="I90" s="5">
        <f>IF(OR(A90="",B90=""),"",B90-WEEKDAY(B90,2)+1)</f>
        <v/>
      </c>
      <c r="J90" s="5">
        <f>IF(I90="","",I90+6)</f>
        <v/>
      </c>
      <c r="K90" s="6">
        <f>IF(OR(A90="",B90=""),"",DATE(YEAR(B90),MONTH(B90),1))</f>
        <v/>
      </c>
      <c r="L90" s="7">
        <f>IF(COUNTA(A90,B90)=0,"",IF(OR(A90="",B90=""),"Preencher CPF e entrada",IF(COUNTIFS($A$12:$A$5011,A90,$B$12:$B$5011,B90)&gt;1,"CPF + dia duplicado",IF(OR(AND(E90&lt;&gt;"",E90&lt;B90),AND(F90&lt;&gt;"",F90&lt;B90)),"Evento anterior à entrada",IF(AND(F90&lt;&gt;"",E90=""),"Conversa sem agendamento",IF(OR(E90&gt;TODAY(),F90&gt;TODAY()),"Verificar evento futuro","OK"))))))</f>
        <v/>
      </c>
    </row>
    <row r="91" spans="9:12">
      <c r="I91" s="5">
        <f>IF(OR(A91="",B91=""),"",B91-WEEKDAY(B91,2)+1)</f>
        <v/>
      </c>
      <c r="J91" s="5">
        <f>IF(I91="","",I91+6)</f>
        <v/>
      </c>
      <c r="K91" s="6">
        <f>IF(OR(A91="",B91=""),"",DATE(YEAR(B91),MONTH(B91),1))</f>
        <v/>
      </c>
      <c r="L91" s="7">
        <f>IF(COUNTA(A91,B91)=0,"",IF(OR(A91="",B91=""),"Preencher CPF e entrada",IF(COUNTIFS($A$12:$A$5011,A91,$B$12:$B$5011,B91)&gt;1,"CPF + dia duplicado",IF(OR(AND(E91&lt;&gt;"",E91&lt;B91),AND(F91&lt;&gt;"",F91&lt;B91)),"Evento anterior à entrada",IF(AND(F91&lt;&gt;"",E91=""),"Conversa sem agendamento",IF(OR(E91&gt;TODAY(),F91&gt;TODAY()),"Verificar evento futuro","OK"))))))</f>
        <v/>
      </c>
    </row>
    <row r="92" spans="9:12">
      <c r="I92" s="5">
        <f>IF(OR(A92="",B92=""),"",B92-WEEKDAY(B92,2)+1)</f>
        <v/>
      </c>
      <c r="J92" s="5">
        <f>IF(I92="","",I92+6)</f>
        <v/>
      </c>
      <c r="K92" s="6">
        <f>IF(OR(A92="",B92=""),"",DATE(YEAR(B92),MONTH(B92),1))</f>
        <v/>
      </c>
      <c r="L92" s="7">
        <f>IF(COUNTA(A92,B92)=0,"",IF(OR(A92="",B92=""),"Preencher CPF e entrada",IF(COUNTIFS($A$12:$A$5011,A92,$B$12:$B$5011,B92)&gt;1,"CPF + dia duplicado",IF(OR(AND(E92&lt;&gt;"",E92&lt;B92),AND(F92&lt;&gt;"",F92&lt;B92)),"Evento anterior à entrada",IF(AND(F92&lt;&gt;"",E92=""),"Conversa sem agendamento",IF(OR(E92&gt;TODAY(),F92&gt;TODAY()),"Verificar evento futuro","OK"))))))</f>
        <v/>
      </c>
    </row>
    <row r="93" spans="9:12">
      <c r="I93" s="5">
        <f>IF(OR(A93="",B93=""),"",B93-WEEKDAY(B93,2)+1)</f>
        <v/>
      </c>
      <c r="J93" s="5">
        <f>IF(I93="","",I93+6)</f>
        <v/>
      </c>
      <c r="K93" s="6">
        <f>IF(OR(A93="",B93=""),"",DATE(YEAR(B93),MONTH(B93),1))</f>
        <v/>
      </c>
      <c r="L93" s="7">
        <f>IF(COUNTA(A93,B93)=0,"",IF(OR(A93="",B93=""),"Preencher CPF e entrada",IF(COUNTIFS($A$12:$A$5011,A93,$B$12:$B$5011,B93)&gt;1,"CPF + dia duplicado",IF(OR(AND(E93&lt;&gt;"",E93&lt;B93),AND(F93&lt;&gt;"",F93&lt;B93)),"Evento anterior à entrada",IF(AND(F93&lt;&gt;"",E93=""),"Conversa sem agendamento",IF(OR(E93&gt;TODAY(),F93&gt;TODAY()),"Verificar evento futuro","OK"))))))</f>
        <v/>
      </c>
    </row>
    <row r="94" spans="9:12">
      <c r="I94" s="5">
        <f>IF(OR(A94="",B94=""),"",B94-WEEKDAY(B94,2)+1)</f>
        <v/>
      </c>
      <c r="J94" s="5">
        <f>IF(I94="","",I94+6)</f>
        <v/>
      </c>
      <c r="K94" s="6">
        <f>IF(OR(A94="",B94=""),"",DATE(YEAR(B94),MONTH(B94),1))</f>
        <v/>
      </c>
      <c r="L94" s="7">
        <f>IF(COUNTA(A94,B94)=0,"",IF(OR(A94="",B94=""),"Preencher CPF e entrada",IF(COUNTIFS($A$12:$A$5011,A94,$B$12:$B$5011,B94)&gt;1,"CPF + dia duplicado",IF(OR(AND(E94&lt;&gt;"",E94&lt;B94),AND(F94&lt;&gt;"",F94&lt;B94)),"Evento anterior à entrada",IF(AND(F94&lt;&gt;"",E94=""),"Conversa sem agendamento",IF(OR(E94&gt;TODAY(),F94&gt;TODAY()),"Verificar evento futuro","OK"))))))</f>
        <v/>
      </c>
    </row>
    <row r="95" spans="9:12">
      <c r="I95" s="5">
        <f>IF(OR(A95="",B95=""),"",B95-WEEKDAY(B95,2)+1)</f>
        <v/>
      </c>
      <c r="J95" s="5">
        <f>IF(I95="","",I95+6)</f>
        <v/>
      </c>
      <c r="K95" s="6">
        <f>IF(OR(A95="",B95=""),"",DATE(YEAR(B95),MONTH(B95),1))</f>
        <v/>
      </c>
      <c r="L95" s="7">
        <f>IF(COUNTA(A95,B95)=0,"",IF(OR(A95="",B95=""),"Preencher CPF e entrada",IF(COUNTIFS($A$12:$A$5011,A95,$B$12:$B$5011,B95)&gt;1,"CPF + dia duplicado",IF(OR(AND(E95&lt;&gt;"",E95&lt;B95),AND(F95&lt;&gt;"",F95&lt;B95)),"Evento anterior à entrada",IF(AND(F95&lt;&gt;"",E95=""),"Conversa sem agendamento",IF(OR(E95&gt;TODAY(),F95&gt;TODAY()),"Verificar evento futuro","OK"))))))</f>
        <v/>
      </c>
    </row>
    <row r="96" spans="9:12">
      <c r="I96" s="5">
        <f>IF(OR(A96="",B96=""),"",B96-WEEKDAY(B96,2)+1)</f>
        <v/>
      </c>
      <c r="J96" s="5">
        <f>IF(I96="","",I96+6)</f>
        <v/>
      </c>
      <c r="K96" s="6">
        <f>IF(OR(A96="",B96=""),"",DATE(YEAR(B96),MONTH(B96),1))</f>
        <v/>
      </c>
      <c r="L96" s="7">
        <f>IF(COUNTA(A96,B96)=0,"",IF(OR(A96="",B96=""),"Preencher CPF e entrada",IF(COUNTIFS($A$12:$A$5011,A96,$B$12:$B$5011,B96)&gt;1,"CPF + dia duplicado",IF(OR(AND(E96&lt;&gt;"",E96&lt;B96),AND(F96&lt;&gt;"",F96&lt;B96)),"Evento anterior à entrada",IF(AND(F96&lt;&gt;"",E96=""),"Conversa sem agendamento",IF(OR(E96&gt;TODAY(),F96&gt;TODAY()),"Verificar evento futuro","OK"))))))</f>
        <v/>
      </c>
    </row>
    <row r="97" spans="9:12">
      <c r="I97" s="5">
        <f>IF(OR(A97="",B97=""),"",B97-WEEKDAY(B97,2)+1)</f>
        <v/>
      </c>
      <c r="J97" s="5">
        <f>IF(I97="","",I97+6)</f>
        <v/>
      </c>
      <c r="K97" s="6">
        <f>IF(OR(A97="",B97=""),"",DATE(YEAR(B97),MONTH(B97),1))</f>
        <v/>
      </c>
      <c r="L97" s="7">
        <f>IF(COUNTA(A97,B97)=0,"",IF(OR(A97="",B97=""),"Preencher CPF e entrada",IF(COUNTIFS($A$12:$A$5011,A97,$B$12:$B$5011,B97)&gt;1,"CPF + dia duplicado",IF(OR(AND(E97&lt;&gt;"",E97&lt;B97),AND(F97&lt;&gt;"",F97&lt;B97)),"Evento anterior à entrada",IF(AND(F97&lt;&gt;"",E97=""),"Conversa sem agendamento",IF(OR(E97&gt;TODAY(),F97&gt;TODAY()),"Verificar evento futuro","OK"))))))</f>
        <v/>
      </c>
    </row>
    <row r="98" spans="9:12">
      <c r="I98" s="5">
        <f>IF(OR(A98="",B98=""),"",B98-WEEKDAY(B98,2)+1)</f>
        <v/>
      </c>
      <c r="J98" s="5">
        <f>IF(I98="","",I98+6)</f>
        <v/>
      </c>
      <c r="K98" s="6">
        <f>IF(OR(A98="",B98=""),"",DATE(YEAR(B98),MONTH(B98),1))</f>
        <v/>
      </c>
      <c r="L98" s="7">
        <f>IF(COUNTA(A98,B98)=0,"",IF(OR(A98="",B98=""),"Preencher CPF e entrada",IF(COUNTIFS($A$12:$A$5011,A98,$B$12:$B$5011,B98)&gt;1,"CPF + dia duplicado",IF(OR(AND(E98&lt;&gt;"",E98&lt;B98),AND(F98&lt;&gt;"",F98&lt;B98)),"Evento anterior à entrada",IF(AND(F98&lt;&gt;"",E98=""),"Conversa sem agendamento",IF(OR(E98&gt;TODAY(),F98&gt;TODAY()),"Verificar evento futuro","OK"))))))</f>
        <v/>
      </c>
    </row>
    <row r="99" spans="9:12">
      <c r="I99" s="5">
        <f>IF(OR(A99="",B99=""),"",B99-WEEKDAY(B99,2)+1)</f>
        <v/>
      </c>
      <c r="J99" s="5">
        <f>IF(I99="","",I99+6)</f>
        <v/>
      </c>
      <c r="K99" s="6">
        <f>IF(OR(A99="",B99=""),"",DATE(YEAR(B99),MONTH(B99),1))</f>
        <v/>
      </c>
      <c r="L99" s="7">
        <f>IF(COUNTA(A99,B99)=0,"",IF(OR(A99="",B99=""),"Preencher CPF e entrada",IF(COUNTIFS($A$12:$A$5011,A99,$B$12:$B$5011,B99)&gt;1,"CPF + dia duplicado",IF(OR(AND(E99&lt;&gt;"",E99&lt;B99),AND(F99&lt;&gt;"",F99&lt;B99)),"Evento anterior à entrada",IF(AND(F99&lt;&gt;"",E99=""),"Conversa sem agendamento",IF(OR(E99&gt;TODAY(),F99&gt;TODAY()),"Verificar evento futuro","OK"))))))</f>
        <v/>
      </c>
    </row>
    <row r="100" spans="9:12">
      <c r="I100" s="5">
        <f>IF(OR(A100="",B100=""),"",B100-WEEKDAY(B100,2)+1)</f>
        <v/>
      </c>
      <c r="J100" s="5">
        <f>IF(I100="","",I100+6)</f>
        <v/>
      </c>
      <c r="K100" s="6">
        <f>IF(OR(A100="",B100=""),"",DATE(YEAR(B100),MONTH(B100),1))</f>
        <v/>
      </c>
      <c r="L100" s="7">
        <f>IF(COUNTA(A100,B100)=0,"",IF(OR(A100="",B100=""),"Preencher CPF e entrada",IF(COUNTIFS($A$12:$A$5011,A100,$B$12:$B$5011,B100)&gt;1,"CPF + dia duplicado",IF(OR(AND(E100&lt;&gt;"",E100&lt;B100),AND(F100&lt;&gt;"",F100&lt;B100)),"Evento anterior à entrada",IF(AND(F100&lt;&gt;"",E100=""),"Conversa sem agendamento",IF(OR(E100&gt;TODAY(),F100&gt;TODAY()),"Verificar evento futuro","OK"))))))</f>
        <v/>
      </c>
    </row>
    <row r="101" spans="9:12">
      <c r="I101" s="5">
        <f>IF(OR(A101="",B101=""),"",B101-WEEKDAY(B101,2)+1)</f>
        <v/>
      </c>
      <c r="J101" s="5">
        <f>IF(I101="","",I101+6)</f>
        <v/>
      </c>
      <c r="K101" s="6">
        <f>IF(OR(A101="",B101=""),"",DATE(YEAR(B101),MONTH(B101),1))</f>
        <v/>
      </c>
      <c r="L101" s="7">
        <f>IF(COUNTA(A101,B101)=0,"",IF(OR(A101="",B101=""),"Preencher CPF e entrada",IF(COUNTIFS($A$12:$A$5011,A101,$B$12:$B$5011,B101)&gt;1,"CPF + dia duplicado",IF(OR(AND(E101&lt;&gt;"",E101&lt;B101),AND(F101&lt;&gt;"",F101&lt;B101)),"Evento anterior à entrada",IF(AND(F101&lt;&gt;"",E101=""),"Conversa sem agendamento",IF(OR(E101&gt;TODAY(),F101&gt;TODAY()),"Verificar evento futuro","OK"))))))</f>
        <v/>
      </c>
    </row>
    <row r="102" spans="9:12">
      <c r="I102" s="5">
        <f>IF(OR(A102="",B102=""),"",B102-WEEKDAY(B102,2)+1)</f>
        <v/>
      </c>
      <c r="J102" s="5">
        <f>IF(I102="","",I102+6)</f>
        <v/>
      </c>
      <c r="K102" s="6">
        <f>IF(OR(A102="",B102=""),"",DATE(YEAR(B102),MONTH(B102),1))</f>
        <v/>
      </c>
      <c r="L102" s="7">
        <f>IF(COUNTA(A102,B102)=0,"",IF(OR(A102="",B102=""),"Preencher CPF e entrada",IF(COUNTIFS($A$12:$A$5011,A102,$B$12:$B$5011,B102)&gt;1,"CPF + dia duplicado",IF(OR(AND(E102&lt;&gt;"",E102&lt;B102),AND(F102&lt;&gt;"",F102&lt;B102)),"Evento anterior à entrada",IF(AND(F102&lt;&gt;"",E102=""),"Conversa sem agendamento",IF(OR(E102&gt;TODAY(),F102&gt;TODAY()),"Verificar evento futuro","OK"))))))</f>
        <v/>
      </c>
    </row>
    <row r="103" spans="9:12">
      <c r="I103" s="5">
        <f>IF(OR(A103="",B103=""),"",B103-WEEKDAY(B103,2)+1)</f>
        <v/>
      </c>
      <c r="J103" s="5">
        <f>IF(I103="","",I103+6)</f>
        <v/>
      </c>
      <c r="K103" s="6">
        <f>IF(OR(A103="",B103=""),"",DATE(YEAR(B103),MONTH(B103),1))</f>
        <v/>
      </c>
      <c r="L103" s="7">
        <f>IF(COUNTA(A103,B103)=0,"",IF(OR(A103="",B103=""),"Preencher CPF e entrada",IF(COUNTIFS($A$12:$A$5011,A103,$B$12:$B$5011,B103)&gt;1,"CPF + dia duplicado",IF(OR(AND(E103&lt;&gt;"",E103&lt;B103),AND(F103&lt;&gt;"",F103&lt;B103)),"Evento anterior à entrada",IF(AND(F103&lt;&gt;"",E103=""),"Conversa sem agendamento",IF(OR(E103&gt;TODAY(),F103&gt;TODAY()),"Verificar evento futuro","OK"))))))</f>
        <v/>
      </c>
    </row>
    <row r="104" spans="9:12">
      <c r="I104" s="5">
        <f>IF(OR(A104="",B104=""),"",B104-WEEKDAY(B104,2)+1)</f>
        <v/>
      </c>
      <c r="J104" s="5">
        <f>IF(I104="","",I104+6)</f>
        <v/>
      </c>
      <c r="K104" s="6">
        <f>IF(OR(A104="",B104=""),"",DATE(YEAR(B104),MONTH(B104),1))</f>
        <v/>
      </c>
      <c r="L104" s="7">
        <f>IF(COUNTA(A104,B104)=0,"",IF(OR(A104="",B104=""),"Preencher CPF e entrada",IF(COUNTIFS($A$12:$A$5011,A104,$B$12:$B$5011,B104)&gt;1,"CPF + dia duplicado",IF(OR(AND(E104&lt;&gt;"",E104&lt;B104),AND(F104&lt;&gt;"",F104&lt;B104)),"Evento anterior à entrada",IF(AND(F104&lt;&gt;"",E104=""),"Conversa sem agendamento",IF(OR(E104&gt;TODAY(),F104&gt;TODAY()),"Verificar evento futuro","OK"))))))</f>
        <v/>
      </c>
    </row>
    <row r="105" spans="9:12">
      <c r="I105" s="5">
        <f>IF(OR(A105="",B105=""),"",B105-WEEKDAY(B105,2)+1)</f>
        <v/>
      </c>
      <c r="J105" s="5">
        <f>IF(I105="","",I105+6)</f>
        <v/>
      </c>
      <c r="K105" s="6">
        <f>IF(OR(A105="",B105=""),"",DATE(YEAR(B105),MONTH(B105),1))</f>
        <v/>
      </c>
      <c r="L105" s="7">
        <f>IF(COUNTA(A105,B105)=0,"",IF(OR(A105="",B105=""),"Preencher CPF e entrada",IF(COUNTIFS($A$12:$A$5011,A105,$B$12:$B$5011,B105)&gt;1,"CPF + dia duplicado",IF(OR(AND(E105&lt;&gt;"",E105&lt;B105),AND(F105&lt;&gt;"",F105&lt;B105)),"Evento anterior à entrada",IF(AND(F105&lt;&gt;"",E105=""),"Conversa sem agendamento",IF(OR(E105&gt;TODAY(),F105&gt;TODAY()),"Verificar evento futuro","OK"))))))</f>
        <v/>
      </c>
    </row>
    <row r="106" spans="9:12">
      <c r="I106" s="5">
        <f>IF(OR(A106="",B106=""),"",B106-WEEKDAY(B106,2)+1)</f>
        <v/>
      </c>
      <c r="J106" s="5">
        <f>IF(I106="","",I106+6)</f>
        <v/>
      </c>
      <c r="K106" s="6">
        <f>IF(OR(A106="",B106=""),"",DATE(YEAR(B106),MONTH(B106),1))</f>
        <v/>
      </c>
      <c r="L106" s="7">
        <f>IF(COUNTA(A106,B106)=0,"",IF(OR(A106="",B106=""),"Preencher CPF e entrada",IF(COUNTIFS($A$12:$A$5011,A106,$B$12:$B$5011,B106)&gt;1,"CPF + dia duplicado",IF(OR(AND(E106&lt;&gt;"",E106&lt;B106),AND(F106&lt;&gt;"",F106&lt;B106)),"Evento anterior à entrada",IF(AND(F106&lt;&gt;"",E106=""),"Conversa sem agendamento",IF(OR(E106&gt;TODAY(),F106&gt;TODAY()),"Verificar evento futuro","OK"))))))</f>
        <v/>
      </c>
    </row>
    <row r="107" spans="9:12">
      <c r="I107" s="5">
        <f>IF(OR(A107="",B107=""),"",B107-WEEKDAY(B107,2)+1)</f>
        <v/>
      </c>
      <c r="J107" s="5">
        <f>IF(I107="","",I107+6)</f>
        <v/>
      </c>
      <c r="K107" s="6">
        <f>IF(OR(A107="",B107=""),"",DATE(YEAR(B107),MONTH(B107),1))</f>
        <v/>
      </c>
      <c r="L107" s="7">
        <f>IF(COUNTA(A107,B107)=0,"",IF(OR(A107="",B107=""),"Preencher CPF e entrada",IF(COUNTIFS($A$12:$A$5011,A107,$B$12:$B$5011,B107)&gt;1,"CPF + dia duplicado",IF(OR(AND(E107&lt;&gt;"",E107&lt;B107),AND(F107&lt;&gt;"",F107&lt;B107)),"Evento anterior à entrada",IF(AND(F107&lt;&gt;"",E107=""),"Conversa sem agendamento",IF(OR(E107&gt;TODAY(),F107&gt;TODAY()),"Verificar evento futuro","OK"))))))</f>
        <v/>
      </c>
    </row>
    <row r="108" spans="9:12">
      <c r="I108" s="5">
        <f>IF(OR(A108="",B108=""),"",B108-WEEKDAY(B108,2)+1)</f>
        <v/>
      </c>
      <c r="J108" s="5">
        <f>IF(I108="","",I108+6)</f>
        <v/>
      </c>
      <c r="K108" s="6">
        <f>IF(OR(A108="",B108=""),"",DATE(YEAR(B108),MONTH(B108),1))</f>
        <v/>
      </c>
      <c r="L108" s="7">
        <f>IF(COUNTA(A108,B108)=0,"",IF(OR(A108="",B108=""),"Preencher CPF e entrada",IF(COUNTIFS($A$12:$A$5011,A108,$B$12:$B$5011,B108)&gt;1,"CPF + dia duplicado",IF(OR(AND(E108&lt;&gt;"",E108&lt;B108),AND(F108&lt;&gt;"",F108&lt;B108)),"Evento anterior à entrada",IF(AND(F108&lt;&gt;"",E108=""),"Conversa sem agendamento",IF(OR(E108&gt;TODAY(),F108&gt;TODAY()),"Verificar evento futuro","OK"))))))</f>
        <v/>
      </c>
    </row>
    <row r="109" spans="9:12">
      <c r="I109" s="5">
        <f>IF(OR(A109="",B109=""),"",B109-WEEKDAY(B109,2)+1)</f>
        <v/>
      </c>
      <c r="J109" s="5">
        <f>IF(I109="","",I109+6)</f>
        <v/>
      </c>
      <c r="K109" s="6">
        <f>IF(OR(A109="",B109=""),"",DATE(YEAR(B109),MONTH(B109),1))</f>
        <v/>
      </c>
      <c r="L109" s="7">
        <f>IF(COUNTA(A109,B109)=0,"",IF(OR(A109="",B109=""),"Preencher CPF e entrada",IF(COUNTIFS($A$12:$A$5011,A109,$B$12:$B$5011,B109)&gt;1,"CPF + dia duplicado",IF(OR(AND(E109&lt;&gt;"",E109&lt;B109),AND(F109&lt;&gt;"",F109&lt;B109)),"Evento anterior à entrada",IF(AND(F109&lt;&gt;"",E109=""),"Conversa sem agendamento",IF(OR(E109&gt;TODAY(),F109&gt;TODAY()),"Verificar evento futuro","OK"))))))</f>
        <v/>
      </c>
    </row>
    <row r="110" spans="9:12">
      <c r="I110" s="5">
        <f>IF(OR(A110="",B110=""),"",B110-WEEKDAY(B110,2)+1)</f>
        <v/>
      </c>
      <c r="J110" s="5">
        <f>IF(I110="","",I110+6)</f>
        <v/>
      </c>
      <c r="K110" s="6">
        <f>IF(OR(A110="",B110=""),"",DATE(YEAR(B110),MONTH(B110),1))</f>
        <v/>
      </c>
      <c r="L110" s="7">
        <f>IF(COUNTA(A110,B110)=0,"",IF(OR(A110="",B110=""),"Preencher CPF e entrada",IF(COUNTIFS($A$12:$A$5011,A110,$B$12:$B$5011,B110)&gt;1,"CPF + dia duplicado",IF(OR(AND(E110&lt;&gt;"",E110&lt;B110),AND(F110&lt;&gt;"",F110&lt;B110)),"Evento anterior à entrada",IF(AND(F110&lt;&gt;"",E110=""),"Conversa sem agendamento",IF(OR(E110&gt;TODAY(),F110&gt;TODAY()),"Verificar evento futuro","OK"))))))</f>
        <v/>
      </c>
    </row>
    <row r="111" spans="9:12">
      <c r="I111" s="5">
        <f>IF(OR(A111="",B111=""),"",B111-WEEKDAY(B111,2)+1)</f>
        <v/>
      </c>
      <c r="J111" s="5">
        <f>IF(I111="","",I111+6)</f>
        <v/>
      </c>
      <c r="K111" s="6">
        <f>IF(OR(A111="",B111=""),"",DATE(YEAR(B111),MONTH(B111),1))</f>
        <v/>
      </c>
      <c r="L111" s="7">
        <f>IF(COUNTA(A111,B111)=0,"",IF(OR(A111="",B111=""),"Preencher CPF e entrada",IF(COUNTIFS($A$12:$A$5011,A111,$B$12:$B$5011,B111)&gt;1,"CPF + dia duplicado",IF(OR(AND(E111&lt;&gt;"",E111&lt;B111),AND(F111&lt;&gt;"",F111&lt;B111)),"Evento anterior à entrada",IF(AND(F111&lt;&gt;"",E111=""),"Conversa sem agendamento",IF(OR(E111&gt;TODAY(),F111&gt;TODAY()),"Verificar evento futuro","OK"))))))</f>
        <v/>
      </c>
    </row>
    <row r="112" spans="9:12">
      <c r="I112" s="5">
        <f>IF(OR(A112="",B112=""),"",B112-WEEKDAY(B112,2)+1)</f>
        <v/>
      </c>
      <c r="J112" s="5">
        <f>IF(I112="","",I112+6)</f>
        <v/>
      </c>
      <c r="K112" s="6">
        <f>IF(OR(A112="",B112=""),"",DATE(YEAR(B112),MONTH(B112),1))</f>
        <v/>
      </c>
      <c r="L112" s="7">
        <f>IF(COUNTA(A112,B112)=0,"",IF(OR(A112="",B112=""),"Preencher CPF e entrada",IF(COUNTIFS($A$12:$A$5011,A112,$B$12:$B$5011,B112)&gt;1,"CPF + dia duplicado",IF(OR(AND(E112&lt;&gt;"",E112&lt;B112),AND(F112&lt;&gt;"",F112&lt;B112)),"Evento anterior à entrada",IF(AND(F112&lt;&gt;"",E112=""),"Conversa sem agendamento",IF(OR(E112&gt;TODAY(),F112&gt;TODAY()),"Verificar evento futuro","OK"))))))</f>
        <v/>
      </c>
    </row>
    <row r="113" spans="9:12">
      <c r="I113" s="5">
        <f>IF(OR(A113="",B113=""),"",B113-WEEKDAY(B113,2)+1)</f>
        <v/>
      </c>
      <c r="J113" s="5">
        <f>IF(I113="","",I113+6)</f>
        <v/>
      </c>
      <c r="K113" s="6">
        <f>IF(OR(A113="",B113=""),"",DATE(YEAR(B113),MONTH(B113),1))</f>
        <v/>
      </c>
      <c r="L113" s="7">
        <f>IF(COUNTA(A113,B113)=0,"",IF(OR(A113="",B113=""),"Preencher CPF e entrada",IF(COUNTIFS($A$12:$A$5011,A113,$B$12:$B$5011,B113)&gt;1,"CPF + dia duplicado",IF(OR(AND(E113&lt;&gt;"",E113&lt;B113),AND(F113&lt;&gt;"",F113&lt;B113)),"Evento anterior à entrada",IF(AND(F113&lt;&gt;"",E113=""),"Conversa sem agendamento",IF(OR(E113&gt;TODAY(),F113&gt;TODAY()),"Verificar evento futuro","OK"))))))</f>
        <v/>
      </c>
    </row>
    <row r="114" spans="9:12">
      <c r="I114" s="5">
        <f>IF(OR(A114="",B114=""),"",B114-WEEKDAY(B114,2)+1)</f>
        <v/>
      </c>
      <c r="J114" s="5">
        <f>IF(I114="","",I114+6)</f>
        <v/>
      </c>
      <c r="K114" s="6">
        <f>IF(OR(A114="",B114=""),"",DATE(YEAR(B114),MONTH(B114),1))</f>
        <v/>
      </c>
      <c r="L114" s="7">
        <f>IF(COUNTA(A114,B114)=0,"",IF(OR(A114="",B114=""),"Preencher CPF e entrada",IF(COUNTIFS($A$12:$A$5011,A114,$B$12:$B$5011,B114)&gt;1,"CPF + dia duplicado",IF(OR(AND(E114&lt;&gt;"",E114&lt;B114),AND(F114&lt;&gt;"",F114&lt;B114)),"Evento anterior à entrada",IF(AND(F114&lt;&gt;"",E114=""),"Conversa sem agendamento",IF(OR(E114&gt;TODAY(),F114&gt;TODAY()),"Verificar evento futuro","OK"))))))</f>
        <v/>
      </c>
    </row>
    <row r="115" spans="9:12">
      <c r="I115" s="5">
        <f>IF(OR(A115="",B115=""),"",B115-WEEKDAY(B115,2)+1)</f>
        <v/>
      </c>
      <c r="J115" s="5">
        <f>IF(I115="","",I115+6)</f>
        <v/>
      </c>
      <c r="K115" s="6">
        <f>IF(OR(A115="",B115=""),"",DATE(YEAR(B115),MONTH(B115),1))</f>
        <v/>
      </c>
      <c r="L115" s="7">
        <f>IF(COUNTA(A115,B115)=0,"",IF(OR(A115="",B115=""),"Preencher CPF e entrada",IF(COUNTIFS($A$12:$A$5011,A115,$B$12:$B$5011,B115)&gt;1,"CPF + dia duplicado",IF(OR(AND(E115&lt;&gt;"",E115&lt;B115),AND(F115&lt;&gt;"",F115&lt;B115)),"Evento anterior à entrada",IF(AND(F115&lt;&gt;"",E115=""),"Conversa sem agendamento",IF(OR(E115&gt;TODAY(),F115&gt;TODAY()),"Verificar evento futuro","OK"))))))</f>
        <v/>
      </c>
    </row>
    <row r="116" spans="9:12">
      <c r="I116" s="5">
        <f>IF(OR(A116="",B116=""),"",B116-WEEKDAY(B116,2)+1)</f>
        <v/>
      </c>
      <c r="J116" s="5">
        <f>IF(I116="","",I116+6)</f>
        <v/>
      </c>
      <c r="K116" s="6">
        <f>IF(OR(A116="",B116=""),"",DATE(YEAR(B116),MONTH(B116),1))</f>
        <v/>
      </c>
      <c r="L116" s="7">
        <f>IF(COUNTA(A116,B116)=0,"",IF(OR(A116="",B116=""),"Preencher CPF e entrada",IF(COUNTIFS($A$12:$A$5011,A116,$B$12:$B$5011,B116)&gt;1,"CPF + dia duplicado",IF(OR(AND(E116&lt;&gt;"",E116&lt;B116),AND(F116&lt;&gt;"",F116&lt;B116)),"Evento anterior à entrada",IF(AND(F116&lt;&gt;"",E116=""),"Conversa sem agendamento",IF(OR(E116&gt;TODAY(),F116&gt;TODAY()),"Verificar evento futuro","OK"))))))</f>
        <v/>
      </c>
    </row>
    <row r="117" spans="9:12">
      <c r="I117" s="5">
        <f>IF(OR(A117="",B117=""),"",B117-WEEKDAY(B117,2)+1)</f>
        <v/>
      </c>
      <c r="J117" s="5">
        <f>IF(I117="","",I117+6)</f>
        <v/>
      </c>
      <c r="K117" s="6">
        <f>IF(OR(A117="",B117=""),"",DATE(YEAR(B117),MONTH(B117),1))</f>
        <v/>
      </c>
      <c r="L117" s="7">
        <f>IF(COUNTA(A117,B117)=0,"",IF(OR(A117="",B117=""),"Preencher CPF e entrada",IF(COUNTIFS($A$12:$A$5011,A117,$B$12:$B$5011,B117)&gt;1,"CPF + dia duplicado",IF(OR(AND(E117&lt;&gt;"",E117&lt;B117),AND(F117&lt;&gt;"",F117&lt;B117)),"Evento anterior à entrada",IF(AND(F117&lt;&gt;"",E117=""),"Conversa sem agendamento",IF(OR(E117&gt;TODAY(),F117&gt;TODAY()),"Verificar evento futuro","OK"))))))</f>
        <v/>
      </c>
    </row>
    <row r="118" spans="9:12">
      <c r="I118" s="5">
        <f>IF(OR(A118="",B118=""),"",B118-WEEKDAY(B118,2)+1)</f>
        <v/>
      </c>
      <c r="J118" s="5">
        <f>IF(I118="","",I118+6)</f>
        <v/>
      </c>
      <c r="K118" s="6">
        <f>IF(OR(A118="",B118=""),"",DATE(YEAR(B118),MONTH(B118),1))</f>
        <v/>
      </c>
      <c r="L118" s="7">
        <f>IF(COUNTA(A118,B118)=0,"",IF(OR(A118="",B118=""),"Preencher CPF e entrada",IF(COUNTIFS($A$12:$A$5011,A118,$B$12:$B$5011,B118)&gt;1,"CPF + dia duplicado",IF(OR(AND(E118&lt;&gt;"",E118&lt;B118),AND(F118&lt;&gt;"",F118&lt;B118)),"Evento anterior à entrada",IF(AND(F118&lt;&gt;"",E118=""),"Conversa sem agendamento",IF(OR(E118&gt;TODAY(),F118&gt;TODAY()),"Verificar evento futuro","OK"))))))</f>
        <v/>
      </c>
    </row>
    <row r="119" spans="9:12">
      <c r="I119" s="5">
        <f>IF(OR(A119="",B119=""),"",B119-WEEKDAY(B119,2)+1)</f>
        <v/>
      </c>
      <c r="J119" s="5">
        <f>IF(I119="","",I119+6)</f>
        <v/>
      </c>
      <c r="K119" s="6">
        <f>IF(OR(A119="",B119=""),"",DATE(YEAR(B119),MONTH(B119),1))</f>
        <v/>
      </c>
      <c r="L119" s="7">
        <f>IF(COUNTA(A119,B119)=0,"",IF(OR(A119="",B119=""),"Preencher CPF e entrada",IF(COUNTIFS($A$12:$A$5011,A119,$B$12:$B$5011,B119)&gt;1,"CPF + dia duplicado",IF(OR(AND(E119&lt;&gt;"",E119&lt;B119),AND(F119&lt;&gt;"",F119&lt;B119)),"Evento anterior à entrada",IF(AND(F119&lt;&gt;"",E119=""),"Conversa sem agendamento",IF(OR(E119&gt;TODAY(),F119&gt;TODAY()),"Verificar evento futuro","OK"))))))</f>
        <v/>
      </c>
    </row>
    <row r="120" spans="9:12">
      <c r="I120" s="5">
        <f>IF(OR(A120="",B120=""),"",B120-WEEKDAY(B120,2)+1)</f>
        <v/>
      </c>
      <c r="J120" s="5">
        <f>IF(I120="","",I120+6)</f>
        <v/>
      </c>
      <c r="K120" s="6">
        <f>IF(OR(A120="",B120=""),"",DATE(YEAR(B120),MONTH(B120),1))</f>
        <v/>
      </c>
      <c r="L120" s="7">
        <f>IF(COUNTA(A120,B120)=0,"",IF(OR(A120="",B120=""),"Preencher CPF e entrada",IF(COUNTIFS($A$12:$A$5011,A120,$B$12:$B$5011,B120)&gt;1,"CPF + dia duplicado",IF(OR(AND(E120&lt;&gt;"",E120&lt;B120),AND(F120&lt;&gt;"",F120&lt;B120)),"Evento anterior à entrada",IF(AND(F120&lt;&gt;"",E120=""),"Conversa sem agendamento",IF(OR(E120&gt;TODAY(),F120&gt;TODAY()),"Verificar evento futuro","OK"))))))</f>
        <v/>
      </c>
    </row>
    <row r="121" spans="9:12">
      <c r="I121" s="5">
        <f>IF(OR(A121="",B121=""),"",B121-WEEKDAY(B121,2)+1)</f>
        <v/>
      </c>
      <c r="J121" s="5">
        <f>IF(I121="","",I121+6)</f>
        <v/>
      </c>
      <c r="K121" s="6">
        <f>IF(OR(A121="",B121=""),"",DATE(YEAR(B121),MONTH(B121),1))</f>
        <v/>
      </c>
      <c r="L121" s="7">
        <f>IF(COUNTA(A121,B121)=0,"",IF(OR(A121="",B121=""),"Preencher CPF e entrada",IF(COUNTIFS($A$12:$A$5011,A121,$B$12:$B$5011,B121)&gt;1,"CPF + dia duplicado",IF(OR(AND(E121&lt;&gt;"",E121&lt;B121),AND(F121&lt;&gt;"",F121&lt;B121)),"Evento anterior à entrada",IF(AND(F121&lt;&gt;"",E121=""),"Conversa sem agendamento",IF(OR(E121&gt;TODAY(),F121&gt;TODAY()),"Verificar evento futuro","OK"))))))</f>
        <v/>
      </c>
    </row>
    <row r="122" spans="9:12">
      <c r="I122" s="5">
        <f>IF(OR(A122="",B122=""),"",B122-WEEKDAY(B122,2)+1)</f>
        <v/>
      </c>
      <c r="J122" s="5">
        <f>IF(I122="","",I122+6)</f>
        <v/>
      </c>
      <c r="K122" s="6">
        <f>IF(OR(A122="",B122=""),"",DATE(YEAR(B122),MONTH(B122),1))</f>
        <v/>
      </c>
      <c r="L122" s="7">
        <f>IF(COUNTA(A122,B122)=0,"",IF(OR(A122="",B122=""),"Preencher CPF e entrada",IF(COUNTIFS($A$12:$A$5011,A122,$B$12:$B$5011,B122)&gt;1,"CPF + dia duplicado",IF(OR(AND(E122&lt;&gt;"",E122&lt;B122),AND(F122&lt;&gt;"",F122&lt;B122)),"Evento anterior à entrada",IF(AND(F122&lt;&gt;"",E122=""),"Conversa sem agendamento",IF(OR(E122&gt;TODAY(),F122&gt;TODAY()),"Verificar evento futuro","OK"))))))</f>
        <v/>
      </c>
    </row>
    <row r="123" spans="9:12">
      <c r="I123" s="5">
        <f>IF(OR(A123="",B123=""),"",B123-WEEKDAY(B123,2)+1)</f>
        <v/>
      </c>
      <c r="J123" s="5">
        <f>IF(I123="","",I123+6)</f>
        <v/>
      </c>
      <c r="K123" s="6">
        <f>IF(OR(A123="",B123=""),"",DATE(YEAR(B123),MONTH(B123),1))</f>
        <v/>
      </c>
      <c r="L123" s="7">
        <f>IF(COUNTA(A123,B123)=0,"",IF(OR(A123="",B123=""),"Preencher CPF e entrada",IF(COUNTIFS($A$12:$A$5011,A123,$B$12:$B$5011,B123)&gt;1,"CPF + dia duplicado",IF(OR(AND(E123&lt;&gt;"",E123&lt;B123),AND(F123&lt;&gt;"",F123&lt;B123)),"Evento anterior à entrada",IF(AND(F123&lt;&gt;"",E123=""),"Conversa sem agendamento",IF(OR(E123&gt;TODAY(),F123&gt;TODAY()),"Verificar evento futuro","OK"))))))</f>
        <v/>
      </c>
    </row>
    <row r="124" spans="9:12">
      <c r="I124" s="5">
        <f>IF(OR(A124="",B124=""),"",B124-WEEKDAY(B124,2)+1)</f>
        <v/>
      </c>
      <c r="J124" s="5">
        <f>IF(I124="","",I124+6)</f>
        <v/>
      </c>
      <c r="K124" s="6">
        <f>IF(OR(A124="",B124=""),"",DATE(YEAR(B124),MONTH(B124),1))</f>
        <v/>
      </c>
      <c r="L124" s="7">
        <f>IF(COUNTA(A124,B124)=0,"",IF(OR(A124="",B124=""),"Preencher CPF e entrada",IF(COUNTIFS($A$12:$A$5011,A124,$B$12:$B$5011,B124)&gt;1,"CPF + dia duplicado",IF(OR(AND(E124&lt;&gt;"",E124&lt;B124),AND(F124&lt;&gt;"",F124&lt;B124)),"Evento anterior à entrada",IF(AND(F124&lt;&gt;"",E124=""),"Conversa sem agendamento",IF(OR(E124&gt;TODAY(),F124&gt;TODAY()),"Verificar evento futuro","OK"))))))</f>
        <v/>
      </c>
    </row>
    <row r="125" spans="9:12">
      <c r="I125" s="5">
        <f>IF(OR(A125="",B125=""),"",B125-WEEKDAY(B125,2)+1)</f>
        <v/>
      </c>
      <c r="J125" s="5">
        <f>IF(I125="","",I125+6)</f>
        <v/>
      </c>
      <c r="K125" s="6">
        <f>IF(OR(A125="",B125=""),"",DATE(YEAR(B125),MONTH(B125),1))</f>
        <v/>
      </c>
      <c r="L125" s="7">
        <f>IF(COUNTA(A125,B125)=0,"",IF(OR(A125="",B125=""),"Preencher CPF e entrada",IF(COUNTIFS($A$12:$A$5011,A125,$B$12:$B$5011,B125)&gt;1,"CPF + dia duplicado",IF(OR(AND(E125&lt;&gt;"",E125&lt;B125),AND(F125&lt;&gt;"",F125&lt;B125)),"Evento anterior à entrada",IF(AND(F125&lt;&gt;"",E125=""),"Conversa sem agendamento",IF(OR(E125&gt;TODAY(),F125&gt;TODAY()),"Verificar evento futuro","OK"))))))</f>
        <v/>
      </c>
    </row>
    <row r="126" spans="9:12">
      <c r="I126" s="5">
        <f>IF(OR(A126="",B126=""),"",B126-WEEKDAY(B126,2)+1)</f>
        <v/>
      </c>
      <c r="J126" s="5">
        <f>IF(I126="","",I126+6)</f>
        <v/>
      </c>
      <c r="K126" s="6">
        <f>IF(OR(A126="",B126=""),"",DATE(YEAR(B126),MONTH(B126),1))</f>
        <v/>
      </c>
      <c r="L126" s="7">
        <f>IF(COUNTA(A126,B126)=0,"",IF(OR(A126="",B126=""),"Preencher CPF e entrada",IF(COUNTIFS($A$12:$A$5011,A126,$B$12:$B$5011,B126)&gt;1,"CPF + dia duplicado",IF(OR(AND(E126&lt;&gt;"",E126&lt;B126),AND(F126&lt;&gt;"",F126&lt;B126)),"Evento anterior à entrada",IF(AND(F126&lt;&gt;"",E126=""),"Conversa sem agendamento",IF(OR(E126&gt;TODAY(),F126&gt;TODAY()),"Verificar evento futuro","OK"))))))</f>
        <v/>
      </c>
    </row>
    <row r="127" spans="9:12">
      <c r="I127" s="5">
        <f>IF(OR(A127="",B127=""),"",B127-WEEKDAY(B127,2)+1)</f>
        <v/>
      </c>
      <c r="J127" s="5">
        <f>IF(I127="","",I127+6)</f>
        <v/>
      </c>
      <c r="K127" s="6">
        <f>IF(OR(A127="",B127=""),"",DATE(YEAR(B127),MONTH(B127),1))</f>
        <v/>
      </c>
      <c r="L127" s="7">
        <f>IF(COUNTA(A127,B127)=0,"",IF(OR(A127="",B127=""),"Preencher CPF e entrada",IF(COUNTIFS($A$12:$A$5011,A127,$B$12:$B$5011,B127)&gt;1,"CPF + dia duplicado",IF(OR(AND(E127&lt;&gt;"",E127&lt;B127),AND(F127&lt;&gt;"",F127&lt;B127)),"Evento anterior à entrada",IF(AND(F127&lt;&gt;"",E127=""),"Conversa sem agendamento",IF(OR(E127&gt;TODAY(),F127&gt;TODAY()),"Verificar evento futuro","OK"))))))</f>
        <v/>
      </c>
    </row>
    <row r="128" spans="9:12">
      <c r="I128" s="5">
        <f>IF(OR(A128="",B128=""),"",B128-WEEKDAY(B128,2)+1)</f>
        <v/>
      </c>
      <c r="J128" s="5">
        <f>IF(I128="","",I128+6)</f>
        <v/>
      </c>
      <c r="K128" s="6">
        <f>IF(OR(A128="",B128=""),"",DATE(YEAR(B128),MONTH(B128),1))</f>
        <v/>
      </c>
      <c r="L128" s="7">
        <f>IF(COUNTA(A128,B128)=0,"",IF(OR(A128="",B128=""),"Preencher CPF e entrada",IF(COUNTIFS($A$12:$A$5011,A128,$B$12:$B$5011,B128)&gt;1,"CPF + dia duplicado",IF(OR(AND(E128&lt;&gt;"",E128&lt;B128),AND(F128&lt;&gt;"",F128&lt;B128)),"Evento anterior à entrada",IF(AND(F128&lt;&gt;"",E128=""),"Conversa sem agendamento",IF(OR(E128&gt;TODAY(),F128&gt;TODAY()),"Verificar evento futuro","OK"))))))</f>
        <v/>
      </c>
    </row>
    <row r="129" spans="9:12">
      <c r="I129" s="5">
        <f>IF(OR(A129="",B129=""),"",B129-WEEKDAY(B129,2)+1)</f>
        <v/>
      </c>
      <c r="J129" s="5">
        <f>IF(I129="","",I129+6)</f>
        <v/>
      </c>
      <c r="K129" s="6">
        <f>IF(OR(A129="",B129=""),"",DATE(YEAR(B129),MONTH(B129),1))</f>
        <v/>
      </c>
      <c r="L129" s="7">
        <f>IF(COUNTA(A129,B129)=0,"",IF(OR(A129="",B129=""),"Preencher CPF e entrada",IF(COUNTIFS($A$12:$A$5011,A129,$B$12:$B$5011,B129)&gt;1,"CPF + dia duplicado",IF(OR(AND(E129&lt;&gt;"",E129&lt;B129),AND(F129&lt;&gt;"",F129&lt;B129)),"Evento anterior à entrada",IF(AND(F129&lt;&gt;"",E129=""),"Conversa sem agendamento",IF(OR(E129&gt;TODAY(),F129&gt;TODAY()),"Verificar evento futuro","OK"))))))</f>
        <v/>
      </c>
    </row>
    <row r="130" spans="9:12">
      <c r="I130" s="5">
        <f>IF(OR(A130="",B130=""),"",B130-WEEKDAY(B130,2)+1)</f>
        <v/>
      </c>
      <c r="J130" s="5">
        <f>IF(I130="","",I130+6)</f>
        <v/>
      </c>
      <c r="K130" s="6">
        <f>IF(OR(A130="",B130=""),"",DATE(YEAR(B130),MONTH(B130),1))</f>
        <v/>
      </c>
      <c r="L130" s="7">
        <f>IF(COUNTA(A130,B130)=0,"",IF(OR(A130="",B130=""),"Preencher CPF e entrada",IF(COUNTIFS($A$12:$A$5011,A130,$B$12:$B$5011,B130)&gt;1,"CPF + dia duplicado",IF(OR(AND(E130&lt;&gt;"",E130&lt;B130),AND(F130&lt;&gt;"",F130&lt;B130)),"Evento anterior à entrada",IF(AND(F130&lt;&gt;"",E130=""),"Conversa sem agendamento",IF(OR(E130&gt;TODAY(),F130&gt;TODAY()),"Verificar evento futuro","OK"))))))</f>
        <v/>
      </c>
    </row>
    <row r="131" spans="9:12">
      <c r="I131" s="5">
        <f>IF(OR(A131="",B131=""),"",B131-WEEKDAY(B131,2)+1)</f>
        <v/>
      </c>
      <c r="J131" s="5">
        <f>IF(I131="","",I131+6)</f>
        <v/>
      </c>
      <c r="K131" s="6">
        <f>IF(OR(A131="",B131=""),"",DATE(YEAR(B131),MONTH(B131),1))</f>
        <v/>
      </c>
      <c r="L131" s="7">
        <f>IF(COUNTA(A131,B131)=0,"",IF(OR(A131="",B131=""),"Preencher CPF e entrada",IF(COUNTIFS($A$12:$A$5011,A131,$B$12:$B$5011,B131)&gt;1,"CPF + dia duplicado",IF(OR(AND(E131&lt;&gt;"",E131&lt;B131),AND(F131&lt;&gt;"",F131&lt;B131)),"Evento anterior à entrada",IF(AND(F131&lt;&gt;"",E131=""),"Conversa sem agendamento",IF(OR(E131&gt;TODAY(),F131&gt;TODAY()),"Verificar evento futuro","OK"))))))</f>
        <v/>
      </c>
    </row>
    <row r="132" spans="9:12">
      <c r="I132" s="5">
        <f>IF(OR(A132="",B132=""),"",B132-WEEKDAY(B132,2)+1)</f>
        <v/>
      </c>
      <c r="J132" s="5">
        <f>IF(I132="","",I132+6)</f>
        <v/>
      </c>
      <c r="K132" s="6">
        <f>IF(OR(A132="",B132=""),"",DATE(YEAR(B132),MONTH(B132),1))</f>
        <v/>
      </c>
      <c r="L132" s="7">
        <f>IF(COUNTA(A132,B132)=0,"",IF(OR(A132="",B132=""),"Preencher CPF e entrada",IF(COUNTIFS($A$12:$A$5011,A132,$B$12:$B$5011,B132)&gt;1,"CPF + dia duplicado",IF(OR(AND(E132&lt;&gt;"",E132&lt;B132),AND(F132&lt;&gt;"",F132&lt;B132)),"Evento anterior à entrada",IF(AND(F132&lt;&gt;"",E132=""),"Conversa sem agendamento",IF(OR(E132&gt;TODAY(),F132&gt;TODAY()),"Verificar evento futuro","OK"))))))</f>
        <v/>
      </c>
    </row>
    <row r="133" spans="9:12">
      <c r="I133" s="5">
        <f>IF(OR(A133="",B133=""),"",B133-WEEKDAY(B133,2)+1)</f>
        <v/>
      </c>
      <c r="J133" s="5">
        <f>IF(I133="","",I133+6)</f>
        <v/>
      </c>
      <c r="K133" s="6">
        <f>IF(OR(A133="",B133=""),"",DATE(YEAR(B133),MONTH(B133),1))</f>
        <v/>
      </c>
      <c r="L133" s="7">
        <f>IF(COUNTA(A133,B133)=0,"",IF(OR(A133="",B133=""),"Preencher CPF e entrada",IF(COUNTIFS($A$12:$A$5011,A133,$B$12:$B$5011,B133)&gt;1,"CPF + dia duplicado",IF(OR(AND(E133&lt;&gt;"",E133&lt;B133),AND(F133&lt;&gt;"",F133&lt;B133)),"Evento anterior à entrada",IF(AND(F133&lt;&gt;"",E133=""),"Conversa sem agendamento",IF(OR(E133&gt;TODAY(),F133&gt;TODAY()),"Verificar evento futuro","OK"))))))</f>
        <v/>
      </c>
    </row>
    <row r="134" spans="9:12">
      <c r="I134" s="5">
        <f>IF(OR(A134="",B134=""),"",B134-WEEKDAY(B134,2)+1)</f>
        <v/>
      </c>
      <c r="J134" s="5">
        <f>IF(I134="","",I134+6)</f>
        <v/>
      </c>
      <c r="K134" s="6">
        <f>IF(OR(A134="",B134=""),"",DATE(YEAR(B134),MONTH(B134),1))</f>
        <v/>
      </c>
      <c r="L134" s="7">
        <f>IF(COUNTA(A134,B134)=0,"",IF(OR(A134="",B134=""),"Preencher CPF e entrada",IF(COUNTIFS($A$12:$A$5011,A134,$B$12:$B$5011,B134)&gt;1,"CPF + dia duplicado",IF(OR(AND(E134&lt;&gt;"",E134&lt;B134),AND(F134&lt;&gt;"",F134&lt;B134)),"Evento anterior à entrada",IF(AND(F134&lt;&gt;"",E134=""),"Conversa sem agendamento",IF(OR(E134&gt;TODAY(),F134&gt;TODAY()),"Verificar evento futuro","OK"))))))</f>
        <v/>
      </c>
    </row>
    <row r="135" spans="9:12">
      <c r="I135" s="5">
        <f>IF(OR(A135="",B135=""),"",B135-WEEKDAY(B135,2)+1)</f>
        <v/>
      </c>
      <c r="J135" s="5">
        <f>IF(I135="","",I135+6)</f>
        <v/>
      </c>
      <c r="K135" s="6">
        <f>IF(OR(A135="",B135=""),"",DATE(YEAR(B135),MONTH(B135),1))</f>
        <v/>
      </c>
      <c r="L135" s="7">
        <f>IF(COUNTA(A135,B135)=0,"",IF(OR(A135="",B135=""),"Preencher CPF e entrada",IF(COUNTIFS($A$12:$A$5011,A135,$B$12:$B$5011,B135)&gt;1,"CPF + dia duplicado",IF(OR(AND(E135&lt;&gt;"",E135&lt;B135),AND(F135&lt;&gt;"",F135&lt;B135)),"Evento anterior à entrada",IF(AND(F135&lt;&gt;"",E135=""),"Conversa sem agendamento",IF(OR(E135&gt;TODAY(),F135&gt;TODAY()),"Verificar evento futuro","OK"))))))</f>
        <v/>
      </c>
    </row>
    <row r="136" spans="9:12">
      <c r="I136" s="5">
        <f>IF(OR(A136="",B136=""),"",B136-WEEKDAY(B136,2)+1)</f>
        <v/>
      </c>
      <c r="J136" s="5">
        <f>IF(I136="","",I136+6)</f>
        <v/>
      </c>
      <c r="K136" s="6">
        <f>IF(OR(A136="",B136=""),"",DATE(YEAR(B136),MONTH(B136),1))</f>
        <v/>
      </c>
      <c r="L136" s="7">
        <f>IF(COUNTA(A136,B136)=0,"",IF(OR(A136="",B136=""),"Preencher CPF e entrada",IF(COUNTIFS($A$12:$A$5011,A136,$B$12:$B$5011,B136)&gt;1,"CPF + dia duplicado",IF(OR(AND(E136&lt;&gt;"",E136&lt;B136),AND(F136&lt;&gt;"",F136&lt;B136)),"Evento anterior à entrada",IF(AND(F136&lt;&gt;"",E136=""),"Conversa sem agendamento",IF(OR(E136&gt;TODAY(),F136&gt;TODAY()),"Verificar evento futuro","OK"))))))</f>
        <v/>
      </c>
    </row>
    <row r="137" spans="9:12">
      <c r="I137" s="5">
        <f>IF(OR(A137="",B137=""),"",B137-WEEKDAY(B137,2)+1)</f>
        <v/>
      </c>
      <c r="J137" s="5">
        <f>IF(I137="","",I137+6)</f>
        <v/>
      </c>
      <c r="K137" s="6">
        <f>IF(OR(A137="",B137=""),"",DATE(YEAR(B137),MONTH(B137),1))</f>
        <v/>
      </c>
      <c r="L137" s="7">
        <f>IF(COUNTA(A137,B137)=0,"",IF(OR(A137="",B137=""),"Preencher CPF e entrada",IF(COUNTIFS($A$12:$A$5011,A137,$B$12:$B$5011,B137)&gt;1,"CPF + dia duplicado",IF(OR(AND(E137&lt;&gt;"",E137&lt;B137),AND(F137&lt;&gt;"",F137&lt;B137)),"Evento anterior à entrada",IF(AND(F137&lt;&gt;"",E137=""),"Conversa sem agendamento",IF(OR(E137&gt;TODAY(),F137&gt;TODAY()),"Verificar evento futuro","OK"))))))</f>
        <v/>
      </c>
    </row>
    <row r="138" spans="9:12">
      <c r="I138" s="5">
        <f>IF(OR(A138="",B138=""),"",B138-WEEKDAY(B138,2)+1)</f>
        <v/>
      </c>
      <c r="J138" s="5">
        <f>IF(I138="","",I138+6)</f>
        <v/>
      </c>
      <c r="K138" s="6">
        <f>IF(OR(A138="",B138=""),"",DATE(YEAR(B138),MONTH(B138),1))</f>
        <v/>
      </c>
      <c r="L138" s="7">
        <f>IF(COUNTA(A138,B138)=0,"",IF(OR(A138="",B138=""),"Preencher CPF e entrada",IF(COUNTIFS($A$12:$A$5011,A138,$B$12:$B$5011,B138)&gt;1,"CPF + dia duplicado",IF(OR(AND(E138&lt;&gt;"",E138&lt;B138),AND(F138&lt;&gt;"",F138&lt;B138)),"Evento anterior à entrada",IF(AND(F138&lt;&gt;"",E138=""),"Conversa sem agendamento",IF(OR(E138&gt;TODAY(),F138&gt;TODAY()),"Verificar evento futuro","OK"))))))</f>
        <v/>
      </c>
    </row>
    <row r="139" spans="9:12">
      <c r="I139" s="5">
        <f>IF(OR(A139="",B139=""),"",B139-WEEKDAY(B139,2)+1)</f>
        <v/>
      </c>
      <c r="J139" s="5">
        <f>IF(I139="","",I139+6)</f>
        <v/>
      </c>
      <c r="K139" s="6">
        <f>IF(OR(A139="",B139=""),"",DATE(YEAR(B139),MONTH(B139),1))</f>
        <v/>
      </c>
      <c r="L139" s="7">
        <f>IF(COUNTA(A139,B139)=0,"",IF(OR(A139="",B139=""),"Preencher CPF e entrada",IF(COUNTIFS($A$12:$A$5011,A139,$B$12:$B$5011,B139)&gt;1,"CPF + dia duplicado",IF(OR(AND(E139&lt;&gt;"",E139&lt;B139),AND(F139&lt;&gt;"",F139&lt;B139)),"Evento anterior à entrada",IF(AND(F139&lt;&gt;"",E139=""),"Conversa sem agendamento",IF(OR(E139&gt;TODAY(),F139&gt;TODAY()),"Verificar evento futuro","OK"))))))</f>
        <v/>
      </c>
    </row>
    <row r="140" spans="9:12">
      <c r="I140" s="5">
        <f>IF(OR(A140="",B140=""),"",B140-WEEKDAY(B140,2)+1)</f>
        <v/>
      </c>
      <c r="J140" s="5">
        <f>IF(I140="","",I140+6)</f>
        <v/>
      </c>
      <c r="K140" s="6">
        <f>IF(OR(A140="",B140=""),"",DATE(YEAR(B140),MONTH(B140),1))</f>
        <v/>
      </c>
      <c r="L140" s="7">
        <f>IF(COUNTA(A140,B140)=0,"",IF(OR(A140="",B140=""),"Preencher CPF e entrada",IF(COUNTIFS($A$12:$A$5011,A140,$B$12:$B$5011,B140)&gt;1,"CPF + dia duplicado",IF(OR(AND(E140&lt;&gt;"",E140&lt;B140),AND(F140&lt;&gt;"",F140&lt;B140)),"Evento anterior à entrada",IF(AND(F140&lt;&gt;"",E140=""),"Conversa sem agendamento",IF(OR(E140&gt;TODAY(),F140&gt;TODAY()),"Verificar evento futuro","OK"))))))</f>
        <v/>
      </c>
    </row>
    <row r="141" spans="9:12">
      <c r="I141" s="5">
        <f>IF(OR(A141="",B141=""),"",B141-WEEKDAY(B141,2)+1)</f>
        <v/>
      </c>
      <c r="J141" s="5">
        <f>IF(I141="","",I141+6)</f>
        <v/>
      </c>
      <c r="K141" s="6">
        <f>IF(OR(A141="",B141=""),"",DATE(YEAR(B141),MONTH(B141),1))</f>
        <v/>
      </c>
      <c r="L141" s="7">
        <f>IF(COUNTA(A141,B141)=0,"",IF(OR(A141="",B141=""),"Preencher CPF e entrada",IF(COUNTIFS($A$12:$A$5011,A141,$B$12:$B$5011,B141)&gt;1,"CPF + dia duplicado",IF(OR(AND(E141&lt;&gt;"",E141&lt;B141),AND(F141&lt;&gt;"",F141&lt;B141)),"Evento anterior à entrada",IF(AND(F141&lt;&gt;"",E141=""),"Conversa sem agendamento",IF(OR(E141&gt;TODAY(),F141&gt;TODAY()),"Verificar evento futuro","OK"))))))</f>
        <v/>
      </c>
    </row>
    <row r="142" spans="9:12">
      <c r="I142" s="5">
        <f>IF(OR(A142="",B142=""),"",B142-WEEKDAY(B142,2)+1)</f>
        <v/>
      </c>
      <c r="J142" s="5">
        <f>IF(I142="","",I142+6)</f>
        <v/>
      </c>
      <c r="K142" s="6">
        <f>IF(OR(A142="",B142=""),"",DATE(YEAR(B142),MONTH(B142),1))</f>
        <v/>
      </c>
      <c r="L142" s="7">
        <f>IF(COUNTA(A142,B142)=0,"",IF(OR(A142="",B142=""),"Preencher CPF e entrada",IF(COUNTIFS($A$12:$A$5011,A142,$B$12:$B$5011,B142)&gt;1,"CPF + dia duplicado",IF(OR(AND(E142&lt;&gt;"",E142&lt;B142),AND(F142&lt;&gt;"",F142&lt;B142)),"Evento anterior à entrada",IF(AND(F142&lt;&gt;"",E142=""),"Conversa sem agendamento",IF(OR(E142&gt;TODAY(),F142&gt;TODAY()),"Verificar evento futuro","OK"))))))</f>
        <v/>
      </c>
    </row>
    <row r="143" spans="9:12">
      <c r="I143" s="5">
        <f>IF(OR(A143="",B143=""),"",B143-WEEKDAY(B143,2)+1)</f>
        <v/>
      </c>
      <c r="J143" s="5">
        <f>IF(I143="","",I143+6)</f>
        <v/>
      </c>
      <c r="K143" s="6">
        <f>IF(OR(A143="",B143=""),"",DATE(YEAR(B143),MONTH(B143),1))</f>
        <v/>
      </c>
      <c r="L143" s="7">
        <f>IF(COUNTA(A143,B143)=0,"",IF(OR(A143="",B143=""),"Preencher CPF e entrada",IF(COUNTIFS($A$12:$A$5011,A143,$B$12:$B$5011,B143)&gt;1,"CPF + dia duplicado",IF(OR(AND(E143&lt;&gt;"",E143&lt;B143),AND(F143&lt;&gt;"",F143&lt;B143)),"Evento anterior à entrada",IF(AND(F143&lt;&gt;"",E143=""),"Conversa sem agendamento",IF(OR(E143&gt;TODAY(),F143&gt;TODAY()),"Verificar evento futuro","OK"))))))</f>
        <v/>
      </c>
    </row>
    <row r="144" spans="9:12">
      <c r="I144" s="5">
        <f>IF(OR(A144="",B144=""),"",B144-WEEKDAY(B144,2)+1)</f>
        <v/>
      </c>
      <c r="J144" s="5">
        <f>IF(I144="","",I144+6)</f>
        <v/>
      </c>
      <c r="K144" s="6">
        <f>IF(OR(A144="",B144=""),"",DATE(YEAR(B144),MONTH(B144),1))</f>
        <v/>
      </c>
      <c r="L144" s="7">
        <f>IF(COUNTA(A144,B144)=0,"",IF(OR(A144="",B144=""),"Preencher CPF e entrada",IF(COUNTIFS($A$12:$A$5011,A144,$B$12:$B$5011,B144)&gt;1,"CPF + dia duplicado",IF(OR(AND(E144&lt;&gt;"",E144&lt;B144),AND(F144&lt;&gt;"",F144&lt;B144)),"Evento anterior à entrada",IF(AND(F144&lt;&gt;"",E144=""),"Conversa sem agendamento",IF(OR(E144&gt;TODAY(),F144&gt;TODAY()),"Verificar evento futuro","OK"))))))</f>
        <v/>
      </c>
    </row>
    <row r="145" spans="9:12">
      <c r="I145" s="5">
        <f>IF(OR(A145="",B145=""),"",B145-WEEKDAY(B145,2)+1)</f>
        <v/>
      </c>
      <c r="J145" s="5">
        <f>IF(I145="","",I145+6)</f>
        <v/>
      </c>
      <c r="K145" s="6">
        <f>IF(OR(A145="",B145=""),"",DATE(YEAR(B145),MONTH(B145),1))</f>
        <v/>
      </c>
      <c r="L145" s="7">
        <f>IF(COUNTA(A145,B145)=0,"",IF(OR(A145="",B145=""),"Preencher CPF e entrada",IF(COUNTIFS($A$12:$A$5011,A145,$B$12:$B$5011,B145)&gt;1,"CPF + dia duplicado",IF(OR(AND(E145&lt;&gt;"",E145&lt;B145),AND(F145&lt;&gt;"",F145&lt;B145)),"Evento anterior à entrada",IF(AND(F145&lt;&gt;"",E145=""),"Conversa sem agendamento",IF(OR(E145&gt;TODAY(),F145&gt;TODAY()),"Verificar evento futuro","OK"))))))</f>
        <v/>
      </c>
    </row>
    <row r="146" spans="9:12">
      <c r="I146" s="5">
        <f>IF(OR(A146="",B146=""),"",B146-WEEKDAY(B146,2)+1)</f>
        <v/>
      </c>
      <c r="J146" s="5">
        <f>IF(I146="","",I146+6)</f>
        <v/>
      </c>
      <c r="K146" s="6">
        <f>IF(OR(A146="",B146=""),"",DATE(YEAR(B146),MONTH(B146),1))</f>
        <v/>
      </c>
      <c r="L146" s="7">
        <f>IF(COUNTA(A146,B146)=0,"",IF(OR(A146="",B146=""),"Preencher CPF e entrada",IF(COUNTIFS($A$12:$A$5011,A146,$B$12:$B$5011,B146)&gt;1,"CPF + dia duplicado",IF(OR(AND(E146&lt;&gt;"",E146&lt;B146),AND(F146&lt;&gt;"",F146&lt;B146)),"Evento anterior à entrada",IF(AND(F146&lt;&gt;"",E146=""),"Conversa sem agendamento",IF(OR(E146&gt;TODAY(),F146&gt;TODAY()),"Verificar evento futuro","OK"))))))</f>
        <v/>
      </c>
    </row>
    <row r="147" spans="9:12">
      <c r="I147" s="5">
        <f>IF(OR(A147="",B147=""),"",B147-WEEKDAY(B147,2)+1)</f>
        <v/>
      </c>
      <c r="J147" s="5">
        <f>IF(I147="","",I147+6)</f>
        <v/>
      </c>
      <c r="K147" s="6">
        <f>IF(OR(A147="",B147=""),"",DATE(YEAR(B147),MONTH(B147),1))</f>
        <v/>
      </c>
      <c r="L147" s="7">
        <f>IF(COUNTA(A147,B147)=0,"",IF(OR(A147="",B147=""),"Preencher CPF e entrada",IF(COUNTIFS($A$12:$A$5011,A147,$B$12:$B$5011,B147)&gt;1,"CPF + dia duplicado",IF(OR(AND(E147&lt;&gt;"",E147&lt;B147),AND(F147&lt;&gt;"",F147&lt;B147)),"Evento anterior à entrada",IF(AND(F147&lt;&gt;"",E147=""),"Conversa sem agendamento",IF(OR(E147&gt;TODAY(),F147&gt;TODAY()),"Verificar evento futuro","OK"))))))</f>
        <v/>
      </c>
    </row>
    <row r="148" spans="9:12">
      <c r="I148" s="5">
        <f>IF(OR(A148="",B148=""),"",B148-WEEKDAY(B148,2)+1)</f>
        <v/>
      </c>
      <c r="J148" s="5">
        <f>IF(I148="","",I148+6)</f>
        <v/>
      </c>
      <c r="K148" s="6">
        <f>IF(OR(A148="",B148=""),"",DATE(YEAR(B148),MONTH(B148),1))</f>
        <v/>
      </c>
      <c r="L148" s="7">
        <f>IF(COUNTA(A148,B148)=0,"",IF(OR(A148="",B148=""),"Preencher CPF e entrada",IF(COUNTIFS($A$12:$A$5011,A148,$B$12:$B$5011,B148)&gt;1,"CPF + dia duplicado",IF(OR(AND(E148&lt;&gt;"",E148&lt;B148),AND(F148&lt;&gt;"",F148&lt;B148)),"Evento anterior à entrada",IF(AND(F148&lt;&gt;"",E148=""),"Conversa sem agendamento",IF(OR(E148&gt;TODAY(),F148&gt;TODAY()),"Verificar evento futuro","OK"))))))</f>
        <v/>
      </c>
    </row>
    <row r="149" spans="9:12">
      <c r="I149" s="5">
        <f>IF(OR(A149="",B149=""),"",B149-WEEKDAY(B149,2)+1)</f>
        <v/>
      </c>
      <c r="J149" s="5">
        <f>IF(I149="","",I149+6)</f>
        <v/>
      </c>
      <c r="K149" s="6">
        <f>IF(OR(A149="",B149=""),"",DATE(YEAR(B149),MONTH(B149),1))</f>
        <v/>
      </c>
      <c r="L149" s="7">
        <f>IF(COUNTA(A149,B149)=0,"",IF(OR(A149="",B149=""),"Preencher CPF e entrada",IF(COUNTIFS($A$12:$A$5011,A149,$B$12:$B$5011,B149)&gt;1,"CPF + dia duplicado",IF(OR(AND(E149&lt;&gt;"",E149&lt;B149),AND(F149&lt;&gt;"",F149&lt;B149)),"Evento anterior à entrada",IF(AND(F149&lt;&gt;"",E149=""),"Conversa sem agendamento",IF(OR(E149&gt;TODAY(),F149&gt;TODAY()),"Verificar evento futuro","OK"))))))</f>
        <v/>
      </c>
    </row>
    <row r="150" spans="9:12">
      <c r="I150" s="5">
        <f>IF(OR(A150="",B150=""),"",B150-WEEKDAY(B150,2)+1)</f>
        <v/>
      </c>
      <c r="J150" s="5">
        <f>IF(I150="","",I150+6)</f>
        <v/>
      </c>
      <c r="K150" s="6">
        <f>IF(OR(A150="",B150=""),"",DATE(YEAR(B150),MONTH(B150),1))</f>
        <v/>
      </c>
      <c r="L150" s="7">
        <f>IF(COUNTA(A150,B150)=0,"",IF(OR(A150="",B150=""),"Preencher CPF e entrada",IF(COUNTIFS($A$12:$A$5011,A150,$B$12:$B$5011,B150)&gt;1,"CPF + dia duplicado",IF(OR(AND(E150&lt;&gt;"",E150&lt;B150),AND(F150&lt;&gt;"",F150&lt;B150)),"Evento anterior à entrada",IF(AND(F150&lt;&gt;"",E150=""),"Conversa sem agendamento",IF(OR(E150&gt;TODAY(),F150&gt;TODAY()),"Verificar evento futuro","OK"))))))</f>
        <v/>
      </c>
    </row>
    <row r="151" spans="9:12">
      <c r="I151" s="5">
        <f>IF(OR(A151="",B151=""),"",B151-WEEKDAY(B151,2)+1)</f>
        <v/>
      </c>
      <c r="J151" s="5">
        <f>IF(I151="","",I151+6)</f>
        <v/>
      </c>
      <c r="K151" s="6">
        <f>IF(OR(A151="",B151=""),"",DATE(YEAR(B151),MONTH(B151),1))</f>
        <v/>
      </c>
      <c r="L151" s="7">
        <f>IF(COUNTA(A151,B151)=0,"",IF(OR(A151="",B151=""),"Preencher CPF e entrada",IF(COUNTIFS($A$12:$A$5011,A151,$B$12:$B$5011,B151)&gt;1,"CPF + dia duplicado",IF(OR(AND(E151&lt;&gt;"",E151&lt;B151),AND(F151&lt;&gt;"",F151&lt;B151)),"Evento anterior à entrada",IF(AND(F151&lt;&gt;"",E151=""),"Conversa sem agendamento",IF(OR(E151&gt;TODAY(),F151&gt;TODAY()),"Verificar evento futuro","OK"))))))</f>
        <v/>
      </c>
    </row>
    <row r="152" spans="9:12">
      <c r="I152" s="5">
        <f>IF(OR(A152="",B152=""),"",B152-WEEKDAY(B152,2)+1)</f>
        <v/>
      </c>
      <c r="J152" s="5">
        <f>IF(I152="","",I152+6)</f>
        <v/>
      </c>
      <c r="K152" s="6">
        <f>IF(OR(A152="",B152=""),"",DATE(YEAR(B152),MONTH(B152),1))</f>
        <v/>
      </c>
      <c r="L152" s="7">
        <f>IF(COUNTA(A152,B152)=0,"",IF(OR(A152="",B152=""),"Preencher CPF e entrada",IF(COUNTIFS($A$12:$A$5011,A152,$B$12:$B$5011,B152)&gt;1,"CPF + dia duplicado",IF(OR(AND(E152&lt;&gt;"",E152&lt;B152),AND(F152&lt;&gt;"",F152&lt;B152)),"Evento anterior à entrada",IF(AND(F152&lt;&gt;"",E152=""),"Conversa sem agendamento",IF(OR(E152&gt;TODAY(),F152&gt;TODAY()),"Verificar evento futuro","OK"))))))</f>
        <v/>
      </c>
    </row>
    <row r="153" spans="9:12">
      <c r="I153" s="5">
        <f>IF(OR(A153="",B153=""),"",B153-WEEKDAY(B153,2)+1)</f>
        <v/>
      </c>
      <c r="J153" s="5">
        <f>IF(I153="","",I153+6)</f>
        <v/>
      </c>
      <c r="K153" s="6">
        <f>IF(OR(A153="",B153=""),"",DATE(YEAR(B153),MONTH(B153),1))</f>
        <v/>
      </c>
      <c r="L153" s="7">
        <f>IF(COUNTA(A153,B153)=0,"",IF(OR(A153="",B153=""),"Preencher CPF e entrada",IF(COUNTIFS($A$12:$A$5011,A153,$B$12:$B$5011,B153)&gt;1,"CPF + dia duplicado",IF(OR(AND(E153&lt;&gt;"",E153&lt;B153),AND(F153&lt;&gt;"",F153&lt;B153)),"Evento anterior à entrada",IF(AND(F153&lt;&gt;"",E153=""),"Conversa sem agendamento",IF(OR(E153&gt;TODAY(),F153&gt;TODAY()),"Verificar evento futuro","OK"))))))</f>
        <v/>
      </c>
    </row>
    <row r="154" spans="9:12">
      <c r="I154" s="5">
        <f>IF(OR(A154="",B154=""),"",B154-WEEKDAY(B154,2)+1)</f>
        <v/>
      </c>
      <c r="J154" s="5">
        <f>IF(I154="","",I154+6)</f>
        <v/>
      </c>
      <c r="K154" s="6">
        <f>IF(OR(A154="",B154=""),"",DATE(YEAR(B154),MONTH(B154),1))</f>
        <v/>
      </c>
      <c r="L154" s="7">
        <f>IF(COUNTA(A154,B154)=0,"",IF(OR(A154="",B154=""),"Preencher CPF e entrada",IF(COUNTIFS($A$12:$A$5011,A154,$B$12:$B$5011,B154)&gt;1,"CPF + dia duplicado",IF(OR(AND(E154&lt;&gt;"",E154&lt;B154),AND(F154&lt;&gt;"",F154&lt;B154)),"Evento anterior à entrada",IF(AND(F154&lt;&gt;"",E154=""),"Conversa sem agendamento",IF(OR(E154&gt;TODAY(),F154&gt;TODAY()),"Verificar evento futuro","OK"))))))</f>
        <v/>
      </c>
    </row>
    <row r="155" spans="9:12">
      <c r="I155" s="5">
        <f>IF(OR(A155="",B155=""),"",B155-WEEKDAY(B155,2)+1)</f>
        <v/>
      </c>
      <c r="J155" s="5">
        <f>IF(I155="","",I155+6)</f>
        <v/>
      </c>
      <c r="K155" s="6">
        <f>IF(OR(A155="",B155=""),"",DATE(YEAR(B155),MONTH(B155),1))</f>
        <v/>
      </c>
      <c r="L155" s="7">
        <f>IF(COUNTA(A155,B155)=0,"",IF(OR(A155="",B155=""),"Preencher CPF e entrada",IF(COUNTIFS($A$12:$A$5011,A155,$B$12:$B$5011,B155)&gt;1,"CPF + dia duplicado",IF(OR(AND(E155&lt;&gt;"",E155&lt;B155),AND(F155&lt;&gt;"",F155&lt;B155)),"Evento anterior à entrada",IF(AND(F155&lt;&gt;"",E155=""),"Conversa sem agendamento",IF(OR(E155&gt;TODAY(),F155&gt;TODAY()),"Verificar evento futuro","OK"))))))</f>
        <v/>
      </c>
    </row>
    <row r="156" spans="9:12">
      <c r="I156" s="5">
        <f>IF(OR(A156="",B156=""),"",B156-WEEKDAY(B156,2)+1)</f>
        <v/>
      </c>
      <c r="J156" s="5">
        <f>IF(I156="","",I156+6)</f>
        <v/>
      </c>
      <c r="K156" s="6">
        <f>IF(OR(A156="",B156=""),"",DATE(YEAR(B156),MONTH(B156),1))</f>
        <v/>
      </c>
      <c r="L156" s="7">
        <f>IF(COUNTA(A156,B156)=0,"",IF(OR(A156="",B156=""),"Preencher CPF e entrada",IF(COUNTIFS($A$12:$A$5011,A156,$B$12:$B$5011,B156)&gt;1,"CPF + dia duplicado",IF(OR(AND(E156&lt;&gt;"",E156&lt;B156),AND(F156&lt;&gt;"",F156&lt;B156)),"Evento anterior à entrada",IF(AND(F156&lt;&gt;"",E156=""),"Conversa sem agendamento",IF(OR(E156&gt;TODAY(),F156&gt;TODAY()),"Verificar evento futuro","OK"))))))</f>
        <v/>
      </c>
    </row>
    <row r="157" spans="9:12">
      <c r="I157" s="5">
        <f>IF(OR(A157="",B157=""),"",B157-WEEKDAY(B157,2)+1)</f>
        <v/>
      </c>
      <c r="J157" s="5">
        <f>IF(I157="","",I157+6)</f>
        <v/>
      </c>
      <c r="K157" s="6">
        <f>IF(OR(A157="",B157=""),"",DATE(YEAR(B157),MONTH(B157),1))</f>
        <v/>
      </c>
      <c r="L157" s="7">
        <f>IF(COUNTA(A157,B157)=0,"",IF(OR(A157="",B157=""),"Preencher CPF e entrada",IF(COUNTIFS($A$12:$A$5011,A157,$B$12:$B$5011,B157)&gt;1,"CPF + dia duplicado",IF(OR(AND(E157&lt;&gt;"",E157&lt;B157),AND(F157&lt;&gt;"",F157&lt;B157)),"Evento anterior à entrada",IF(AND(F157&lt;&gt;"",E157=""),"Conversa sem agendamento",IF(OR(E157&gt;TODAY(),F157&gt;TODAY()),"Verificar evento futuro","OK"))))))</f>
        <v/>
      </c>
    </row>
    <row r="158" spans="9:12">
      <c r="I158" s="5">
        <f>IF(OR(A158="",B158=""),"",B158-WEEKDAY(B158,2)+1)</f>
        <v/>
      </c>
      <c r="J158" s="5">
        <f>IF(I158="","",I158+6)</f>
        <v/>
      </c>
      <c r="K158" s="6">
        <f>IF(OR(A158="",B158=""),"",DATE(YEAR(B158),MONTH(B158),1))</f>
        <v/>
      </c>
      <c r="L158" s="7">
        <f>IF(COUNTA(A158,B158)=0,"",IF(OR(A158="",B158=""),"Preencher CPF e entrada",IF(COUNTIFS($A$12:$A$5011,A158,$B$12:$B$5011,B158)&gt;1,"CPF + dia duplicado",IF(OR(AND(E158&lt;&gt;"",E158&lt;B158),AND(F158&lt;&gt;"",F158&lt;B158)),"Evento anterior à entrada",IF(AND(F158&lt;&gt;"",E158=""),"Conversa sem agendamento",IF(OR(E158&gt;TODAY(),F158&gt;TODAY()),"Verificar evento futuro","OK"))))))</f>
        <v/>
      </c>
    </row>
    <row r="159" spans="9:12">
      <c r="I159" s="5">
        <f>IF(OR(A159="",B159=""),"",B159-WEEKDAY(B159,2)+1)</f>
        <v/>
      </c>
      <c r="J159" s="5">
        <f>IF(I159="","",I159+6)</f>
        <v/>
      </c>
      <c r="K159" s="6">
        <f>IF(OR(A159="",B159=""),"",DATE(YEAR(B159),MONTH(B159),1))</f>
        <v/>
      </c>
      <c r="L159" s="7">
        <f>IF(COUNTA(A159,B159)=0,"",IF(OR(A159="",B159=""),"Preencher CPF e entrada",IF(COUNTIFS($A$12:$A$5011,A159,$B$12:$B$5011,B159)&gt;1,"CPF + dia duplicado",IF(OR(AND(E159&lt;&gt;"",E159&lt;B159),AND(F159&lt;&gt;"",F159&lt;B159)),"Evento anterior à entrada",IF(AND(F159&lt;&gt;"",E159=""),"Conversa sem agendamento",IF(OR(E159&gt;TODAY(),F159&gt;TODAY()),"Verificar evento futuro","OK"))))))</f>
        <v/>
      </c>
    </row>
    <row r="160" spans="9:12">
      <c r="I160" s="5">
        <f>IF(OR(A160="",B160=""),"",B160-WEEKDAY(B160,2)+1)</f>
        <v/>
      </c>
      <c r="J160" s="5">
        <f>IF(I160="","",I160+6)</f>
        <v/>
      </c>
      <c r="K160" s="6">
        <f>IF(OR(A160="",B160=""),"",DATE(YEAR(B160),MONTH(B160),1))</f>
        <v/>
      </c>
      <c r="L160" s="7">
        <f>IF(COUNTA(A160,B160)=0,"",IF(OR(A160="",B160=""),"Preencher CPF e entrada",IF(COUNTIFS($A$12:$A$5011,A160,$B$12:$B$5011,B160)&gt;1,"CPF + dia duplicado",IF(OR(AND(E160&lt;&gt;"",E160&lt;B160),AND(F160&lt;&gt;"",F160&lt;B160)),"Evento anterior à entrada",IF(AND(F160&lt;&gt;"",E160=""),"Conversa sem agendamento",IF(OR(E160&gt;TODAY(),F160&gt;TODAY()),"Verificar evento futuro","OK"))))))</f>
        <v/>
      </c>
    </row>
    <row r="161" spans="9:12">
      <c r="I161" s="5">
        <f>IF(OR(A161="",B161=""),"",B161-WEEKDAY(B161,2)+1)</f>
        <v/>
      </c>
      <c r="J161" s="5">
        <f>IF(I161="","",I161+6)</f>
        <v/>
      </c>
      <c r="K161" s="6">
        <f>IF(OR(A161="",B161=""),"",DATE(YEAR(B161),MONTH(B161),1))</f>
        <v/>
      </c>
      <c r="L161" s="7">
        <f>IF(COUNTA(A161,B161)=0,"",IF(OR(A161="",B161=""),"Preencher CPF e entrada",IF(COUNTIFS($A$12:$A$5011,A161,$B$12:$B$5011,B161)&gt;1,"CPF + dia duplicado",IF(OR(AND(E161&lt;&gt;"",E161&lt;B161),AND(F161&lt;&gt;"",F161&lt;B161)),"Evento anterior à entrada",IF(AND(F161&lt;&gt;"",E161=""),"Conversa sem agendamento",IF(OR(E161&gt;TODAY(),F161&gt;TODAY()),"Verificar evento futuro","OK"))))))</f>
        <v/>
      </c>
    </row>
    <row r="162" spans="9:12">
      <c r="I162" s="5">
        <f>IF(OR(A162="",B162=""),"",B162-WEEKDAY(B162,2)+1)</f>
        <v/>
      </c>
      <c r="J162" s="5">
        <f>IF(I162="","",I162+6)</f>
        <v/>
      </c>
      <c r="K162" s="6">
        <f>IF(OR(A162="",B162=""),"",DATE(YEAR(B162),MONTH(B162),1))</f>
        <v/>
      </c>
      <c r="L162" s="7">
        <f>IF(COUNTA(A162,B162)=0,"",IF(OR(A162="",B162=""),"Preencher CPF e entrada",IF(COUNTIFS($A$12:$A$5011,A162,$B$12:$B$5011,B162)&gt;1,"CPF + dia duplicado",IF(OR(AND(E162&lt;&gt;"",E162&lt;B162),AND(F162&lt;&gt;"",F162&lt;B162)),"Evento anterior à entrada",IF(AND(F162&lt;&gt;"",E162=""),"Conversa sem agendamento",IF(OR(E162&gt;TODAY(),F162&gt;TODAY()),"Verificar evento futuro","OK"))))))</f>
        <v/>
      </c>
    </row>
    <row r="163" spans="9:12">
      <c r="I163" s="5">
        <f>IF(OR(A163="",B163=""),"",B163-WEEKDAY(B163,2)+1)</f>
        <v/>
      </c>
      <c r="J163" s="5">
        <f>IF(I163="","",I163+6)</f>
        <v/>
      </c>
      <c r="K163" s="6">
        <f>IF(OR(A163="",B163=""),"",DATE(YEAR(B163),MONTH(B163),1))</f>
        <v/>
      </c>
      <c r="L163" s="7">
        <f>IF(COUNTA(A163,B163)=0,"",IF(OR(A163="",B163=""),"Preencher CPF e entrada",IF(COUNTIFS($A$12:$A$5011,A163,$B$12:$B$5011,B163)&gt;1,"CPF + dia duplicado",IF(OR(AND(E163&lt;&gt;"",E163&lt;B163),AND(F163&lt;&gt;"",F163&lt;B163)),"Evento anterior à entrada",IF(AND(F163&lt;&gt;"",E163=""),"Conversa sem agendamento",IF(OR(E163&gt;TODAY(),F163&gt;TODAY()),"Verificar evento futuro","OK"))))))</f>
        <v/>
      </c>
    </row>
    <row r="164" spans="9:12">
      <c r="I164" s="5">
        <f>IF(OR(A164="",B164=""),"",B164-WEEKDAY(B164,2)+1)</f>
        <v/>
      </c>
      <c r="J164" s="5">
        <f>IF(I164="","",I164+6)</f>
        <v/>
      </c>
      <c r="K164" s="6">
        <f>IF(OR(A164="",B164=""),"",DATE(YEAR(B164),MONTH(B164),1))</f>
        <v/>
      </c>
      <c r="L164" s="7">
        <f>IF(COUNTA(A164,B164)=0,"",IF(OR(A164="",B164=""),"Preencher CPF e entrada",IF(COUNTIFS($A$12:$A$5011,A164,$B$12:$B$5011,B164)&gt;1,"CPF + dia duplicado",IF(OR(AND(E164&lt;&gt;"",E164&lt;B164),AND(F164&lt;&gt;"",F164&lt;B164)),"Evento anterior à entrada",IF(AND(F164&lt;&gt;"",E164=""),"Conversa sem agendamento",IF(OR(E164&gt;TODAY(),F164&gt;TODAY()),"Verificar evento futuro","OK"))))))</f>
        <v/>
      </c>
    </row>
    <row r="165" spans="9:12">
      <c r="I165" s="5">
        <f>IF(OR(A165="",B165=""),"",B165-WEEKDAY(B165,2)+1)</f>
        <v/>
      </c>
      <c r="J165" s="5">
        <f>IF(I165="","",I165+6)</f>
        <v/>
      </c>
      <c r="K165" s="6">
        <f>IF(OR(A165="",B165=""),"",DATE(YEAR(B165),MONTH(B165),1))</f>
        <v/>
      </c>
      <c r="L165" s="7">
        <f>IF(COUNTA(A165,B165)=0,"",IF(OR(A165="",B165=""),"Preencher CPF e entrada",IF(COUNTIFS($A$12:$A$5011,A165,$B$12:$B$5011,B165)&gt;1,"CPF + dia duplicado",IF(OR(AND(E165&lt;&gt;"",E165&lt;B165),AND(F165&lt;&gt;"",F165&lt;B165)),"Evento anterior à entrada",IF(AND(F165&lt;&gt;"",E165=""),"Conversa sem agendamento",IF(OR(E165&gt;TODAY(),F165&gt;TODAY()),"Verificar evento futuro","OK"))))))</f>
        <v/>
      </c>
    </row>
    <row r="166" spans="9:12">
      <c r="I166" s="5">
        <f>IF(OR(A166="",B166=""),"",B166-WEEKDAY(B166,2)+1)</f>
        <v/>
      </c>
      <c r="J166" s="5">
        <f>IF(I166="","",I166+6)</f>
        <v/>
      </c>
      <c r="K166" s="6">
        <f>IF(OR(A166="",B166=""),"",DATE(YEAR(B166),MONTH(B166),1))</f>
        <v/>
      </c>
      <c r="L166" s="7">
        <f>IF(COUNTA(A166,B166)=0,"",IF(OR(A166="",B166=""),"Preencher CPF e entrada",IF(COUNTIFS($A$12:$A$5011,A166,$B$12:$B$5011,B166)&gt;1,"CPF + dia duplicado",IF(OR(AND(E166&lt;&gt;"",E166&lt;B166),AND(F166&lt;&gt;"",F166&lt;B166)),"Evento anterior à entrada",IF(AND(F166&lt;&gt;"",E166=""),"Conversa sem agendamento",IF(OR(E166&gt;TODAY(),F166&gt;TODAY()),"Verificar evento futuro","OK"))))))</f>
        <v/>
      </c>
    </row>
    <row r="167" spans="9:12">
      <c r="I167" s="5">
        <f>IF(OR(A167="",B167=""),"",B167-WEEKDAY(B167,2)+1)</f>
        <v/>
      </c>
      <c r="J167" s="5">
        <f>IF(I167="","",I167+6)</f>
        <v/>
      </c>
      <c r="K167" s="6">
        <f>IF(OR(A167="",B167=""),"",DATE(YEAR(B167),MONTH(B167),1))</f>
        <v/>
      </c>
      <c r="L167" s="7">
        <f>IF(COUNTA(A167,B167)=0,"",IF(OR(A167="",B167=""),"Preencher CPF e entrada",IF(COUNTIFS($A$12:$A$5011,A167,$B$12:$B$5011,B167)&gt;1,"CPF + dia duplicado",IF(OR(AND(E167&lt;&gt;"",E167&lt;B167),AND(F167&lt;&gt;"",F167&lt;B167)),"Evento anterior à entrada",IF(AND(F167&lt;&gt;"",E167=""),"Conversa sem agendamento",IF(OR(E167&gt;TODAY(),F167&gt;TODAY()),"Verificar evento futuro","OK"))))))</f>
        <v/>
      </c>
    </row>
    <row r="168" spans="9:12">
      <c r="I168" s="5">
        <f>IF(OR(A168="",B168=""),"",B168-WEEKDAY(B168,2)+1)</f>
        <v/>
      </c>
      <c r="J168" s="5">
        <f>IF(I168="","",I168+6)</f>
        <v/>
      </c>
      <c r="K168" s="6">
        <f>IF(OR(A168="",B168=""),"",DATE(YEAR(B168),MONTH(B168),1))</f>
        <v/>
      </c>
      <c r="L168" s="7">
        <f>IF(COUNTA(A168,B168)=0,"",IF(OR(A168="",B168=""),"Preencher CPF e entrada",IF(COUNTIFS($A$12:$A$5011,A168,$B$12:$B$5011,B168)&gt;1,"CPF + dia duplicado",IF(OR(AND(E168&lt;&gt;"",E168&lt;B168),AND(F168&lt;&gt;"",F168&lt;B168)),"Evento anterior à entrada",IF(AND(F168&lt;&gt;"",E168=""),"Conversa sem agendamento",IF(OR(E168&gt;TODAY(),F168&gt;TODAY()),"Verificar evento futuro","OK"))))))</f>
        <v/>
      </c>
    </row>
    <row r="169" spans="9:12">
      <c r="I169" s="5">
        <f>IF(OR(A169="",B169=""),"",B169-WEEKDAY(B169,2)+1)</f>
        <v/>
      </c>
      <c r="J169" s="5">
        <f>IF(I169="","",I169+6)</f>
        <v/>
      </c>
      <c r="K169" s="6">
        <f>IF(OR(A169="",B169=""),"",DATE(YEAR(B169),MONTH(B169),1))</f>
        <v/>
      </c>
      <c r="L169" s="7">
        <f>IF(COUNTA(A169,B169)=0,"",IF(OR(A169="",B169=""),"Preencher CPF e entrada",IF(COUNTIFS($A$12:$A$5011,A169,$B$12:$B$5011,B169)&gt;1,"CPF + dia duplicado",IF(OR(AND(E169&lt;&gt;"",E169&lt;B169),AND(F169&lt;&gt;"",F169&lt;B169)),"Evento anterior à entrada",IF(AND(F169&lt;&gt;"",E169=""),"Conversa sem agendamento",IF(OR(E169&gt;TODAY(),F169&gt;TODAY()),"Verificar evento futuro","OK"))))))</f>
        <v/>
      </c>
    </row>
    <row r="170" spans="9:12">
      <c r="I170" s="5">
        <f>IF(OR(A170="",B170=""),"",B170-WEEKDAY(B170,2)+1)</f>
        <v/>
      </c>
      <c r="J170" s="5">
        <f>IF(I170="","",I170+6)</f>
        <v/>
      </c>
      <c r="K170" s="6">
        <f>IF(OR(A170="",B170=""),"",DATE(YEAR(B170),MONTH(B170),1))</f>
        <v/>
      </c>
      <c r="L170" s="7">
        <f>IF(COUNTA(A170,B170)=0,"",IF(OR(A170="",B170=""),"Preencher CPF e entrada",IF(COUNTIFS($A$12:$A$5011,A170,$B$12:$B$5011,B170)&gt;1,"CPF + dia duplicado",IF(OR(AND(E170&lt;&gt;"",E170&lt;B170),AND(F170&lt;&gt;"",F170&lt;B170)),"Evento anterior à entrada",IF(AND(F170&lt;&gt;"",E170=""),"Conversa sem agendamento",IF(OR(E170&gt;TODAY(),F170&gt;TODAY()),"Verificar evento futuro","OK"))))))</f>
        <v/>
      </c>
    </row>
    <row r="171" spans="9:12">
      <c r="I171" s="5">
        <f>IF(OR(A171="",B171=""),"",B171-WEEKDAY(B171,2)+1)</f>
        <v/>
      </c>
      <c r="J171" s="5">
        <f>IF(I171="","",I171+6)</f>
        <v/>
      </c>
      <c r="K171" s="6">
        <f>IF(OR(A171="",B171=""),"",DATE(YEAR(B171),MONTH(B171),1))</f>
        <v/>
      </c>
      <c r="L171" s="7">
        <f>IF(COUNTA(A171,B171)=0,"",IF(OR(A171="",B171=""),"Preencher CPF e entrada",IF(COUNTIFS($A$12:$A$5011,A171,$B$12:$B$5011,B171)&gt;1,"CPF + dia duplicado",IF(OR(AND(E171&lt;&gt;"",E171&lt;B171),AND(F171&lt;&gt;"",F171&lt;B171)),"Evento anterior à entrada",IF(AND(F171&lt;&gt;"",E171=""),"Conversa sem agendamento",IF(OR(E171&gt;TODAY(),F171&gt;TODAY()),"Verificar evento futuro","OK"))))))</f>
        <v/>
      </c>
    </row>
    <row r="172" spans="9:12">
      <c r="I172" s="5">
        <f>IF(OR(A172="",B172=""),"",B172-WEEKDAY(B172,2)+1)</f>
        <v/>
      </c>
      <c r="J172" s="5">
        <f>IF(I172="","",I172+6)</f>
        <v/>
      </c>
      <c r="K172" s="6">
        <f>IF(OR(A172="",B172=""),"",DATE(YEAR(B172),MONTH(B172),1))</f>
        <v/>
      </c>
      <c r="L172" s="7">
        <f>IF(COUNTA(A172,B172)=0,"",IF(OR(A172="",B172=""),"Preencher CPF e entrada",IF(COUNTIFS($A$12:$A$5011,A172,$B$12:$B$5011,B172)&gt;1,"CPF + dia duplicado",IF(OR(AND(E172&lt;&gt;"",E172&lt;B172),AND(F172&lt;&gt;"",F172&lt;B172)),"Evento anterior à entrada",IF(AND(F172&lt;&gt;"",E172=""),"Conversa sem agendamento",IF(OR(E172&gt;TODAY(),F172&gt;TODAY()),"Verificar evento futuro","OK"))))))</f>
        <v/>
      </c>
    </row>
    <row r="173" spans="9:12">
      <c r="I173" s="5">
        <f>IF(OR(A173="",B173=""),"",B173-WEEKDAY(B173,2)+1)</f>
        <v/>
      </c>
      <c r="J173" s="5">
        <f>IF(I173="","",I173+6)</f>
        <v/>
      </c>
      <c r="K173" s="6">
        <f>IF(OR(A173="",B173=""),"",DATE(YEAR(B173),MONTH(B173),1))</f>
        <v/>
      </c>
      <c r="L173" s="7">
        <f>IF(COUNTA(A173,B173)=0,"",IF(OR(A173="",B173=""),"Preencher CPF e entrada",IF(COUNTIFS($A$12:$A$5011,A173,$B$12:$B$5011,B173)&gt;1,"CPF + dia duplicado",IF(OR(AND(E173&lt;&gt;"",E173&lt;B173),AND(F173&lt;&gt;"",F173&lt;B173)),"Evento anterior à entrada",IF(AND(F173&lt;&gt;"",E173=""),"Conversa sem agendamento",IF(OR(E173&gt;TODAY(),F173&gt;TODAY()),"Verificar evento futuro","OK"))))))</f>
        <v/>
      </c>
    </row>
    <row r="174" spans="9:12">
      <c r="I174" s="5">
        <f>IF(OR(A174="",B174=""),"",B174-WEEKDAY(B174,2)+1)</f>
        <v/>
      </c>
      <c r="J174" s="5">
        <f>IF(I174="","",I174+6)</f>
        <v/>
      </c>
      <c r="K174" s="6">
        <f>IF(OR(A174="",B174=""),"",DATE(YEAR(B174),MONTH(B174),1))</f>
        <v/>
      </c>
      <c r="L174" s="7">
        <f>IF(COUNTA(A174,B174)=0,"",IF(OR(A174="",B174=""),"Preencher CPF e entrada",IF(COUNTIFS($A$12:$A$5011,A174,$B$12:$B$5011,B174)&gt;1,"CPF + dia duplicado",IF(OR(AND(E174&lt;&gt;"",E174&lt;B174),AND(F174&lt;&gt;"",F174&lt;B174)),"Evento anterior à entrada",IF(AND(F174&lt;&gt;"",E174=""),"Conversa sem agendamento",IF(OR(E174&gt;TODAY(),F174&gt;TODAY()),"Verificar evento futuro","OK"))))))</f>
        <v/>
      </c>
    </row>
    <row r="175" spans="9:12">
      <c r="I175" s="5">
        <f>IF(OR(A175="",B175=""),"",B175-WEEKDAY(B175,2)+1)</f>
        <v/>
      </c>
      <c r="J175" s="5">
        <f>IF(I175="","",I175+6)</f>
        <v/>
      </c>
      <c r="K175" s="6">
        <f>IF(OR(A175="",B175=""),"",DATE(YEAR(B175),MONTH(B175),1))</f>
        <v/>
      </c>
      <c r="L175" s="7">
        <f>IF(COUNTA(A175,B175)=0,"",IF(OR(A175="",B175=""),"Preencher CPF e entrada",IF(COUNTIFS($A$12:$A$5011,A175,$B$12:$B$5011,B175)&gt;1,"CPF + dia duplicado",IF(OR(AND(E175&lt;&gt;"",E175&lt;B175),AND(F175&lt;&gt;"",F175&lt;B175)),"Evento anterior à entrada",IF(AND(F175&lt;&gt;"",E175=""),"Conversa sem agendamento",IF(OR(E175&gt;TODAY(),F175&gt;TODAY()),"Verificar evento futuro","OK"))))))</f>
        <v/>
      </c>
    </row>
    <row r="176" spans="9:12">
      <c r="I176" s="5">
        <f>IF(OR(A176="",B176=""),"",B176-WEEKDAY(B176,2)+1)</f>
        <v/>
      </c>
      <c r="J176" s="5">
        <f>IF(I176="","",I176+6)</f>
        <v/>
      </c>
      <c r="K176" s="6">
        <f>IF(OR(A176="",B176=""),"",DATE(YEAR(B176),MONTH(B176),1))</f>
        <v/>
      </c>
      <c r="L176" s="7">
        <f>IF(COUNTA(A176,B176)=0,"",IF(OR(A176="",B176=""),"Preencher CPF e entrada",IF(COUNTIFS($A$12:$A$5011,A176,$B$12:$B$5011,B176)&gt;1,"CPF + dia duplicado",IF(OR(AND(E176&lt;&gt;"",E176&lt;B176),AND(F176&lt;&gt;"",F176&lt;B176)),"Evento anterior à entrada",IF(AND(F176&lt;&gt;"",E176=""),"Conversa sem agendamento",IF(OR(E176&gt;TODAY(),F176&gt;TODAY()),"Verificar evento futuro","OK"))))))</f>
        <v/>
      </c>
    </row>
    <row r="177" spans="9:12">
      <c r="I177" s="5">
        <f>IF(OR(A177="",B177=""),"",B177-WEEKDAY(B177,2)+1)</f>
        <v/>
      </c>
      <c r="J177" s="5">
        <f>IF(I177="","",I177+6)</f>
        <v/>
      </c>
      <c r="K177" s="6">
        <f>IF(OR(A177="",B177=""),"",DATE(YEAR(B177),MONTH(B177),1))</f>
        <v/>
      </c>
      <c r="L177" s="7">
        <f>IF(COUNTA(A177,B177)=0,"",IF(OR(A177="",B177=""),"Preencher CPF e entrada",IF(COUNTIFS($A$12:$A$5011,A177,$B$12:$B$5011,B177)&gt;1,"CPF + dia duplicado",IF(OR(AND(E177&lt;&gt;"",E177&lt;B177),AND(F177&lt;&gt;"",F177&lt;B177)),"Evento anterior à entrada",IF(AND(F177&lt;&gt;"",E177=""),"Conversa sem agendamento",IF(OR(E177&gt;TODAY(),F177&gt;TODAY()),"Verificar evento futuro","OK"))))))</f>
        <v/>
      </c>
    </row>
    <row r="178" spans="9:12">
      <c r="I178" s="5">
        <f>IF(OR(A178="",B178=""),"",B178-WEEKDAY(B178,2)+1)</f>
        <v/>
      </c>
      <c r="J178" s="5">
        <f>IF(I178="","",I178+6)</f>
        <v/>
      </c>
      <c r="K178" s="6">
        <f>IF(OR(A178="",B178=""),"",DATE(YEAR(B178),MONTH(B178),1))</f>
        <v/>
      </c>
      <c r="L178" s="7">
        <f>IF(COUNTA(A178,B178)=0,"",IF(OR(A178="",B178=""),"Preencher CPF e entrada",IF(COUNTIFS($A$12:$A$5011,A178,$B$12:$B$5011,B178)&gt;1,"CPF + dia duplicado",IF(OR(AND(E178&lt;&gt;"",E178&lt;B178),AND(F178&lt;&gt;"",F178&lt;B178)),"Evento anterior à entrada",IF(AND(F178&lt;&gt;"",E178=""),"Conversa sem agendamento",IF(OR(E178&gt;TODAY(),F178&gt;TODAY()),"Verificar evento futuro","OK"))))))</f>
        <v/>
      </c>
    </row>
    <row r="179" spans="9:12">
      <c r="I179" s="5">
        <f>IF(OR(A179="",B179=""),"",B179-WEEKDAY(B179,2)+1)</f>
        <v/>
      </c>
      <c r="J179" s="5">
        <f>IF(I179="","",I179+6)</f>
        <v/>
      </c>
      <c r="K179" s="6">
        <f>IF(OR(A179="",B179=""),"",DATE(YEAR(B179),MONTH(B179),1))</f>
        <v/>
      </c>
      <c r="L179" s="7">
        <f>IF(COUNTA(A179,B179)=0,"",IF(OR(A179="",B179=""),"Preencher CPF e entrada",IF(COUNTIFS($A$12:$A$5011,A179,$B$12:$B$5011,B179)&gt;1,"CPF + dia duplicado",IF(OR(AND(E179&lt;&gt;"",E179&lt;B179),AND(F179&lt;&gt;"",F179&lt;B179)),"Evento anterior à entrada",IF(AND(F179&lt;&gt;"",E179=""),"Conversa sem agendamento",IF(OR(E179&gt;TODAY(),F179&gt;TODAY()),"Verificar evento futuro","OK"))))))</f>
        <v/>
      </c>
    </row>
    <row r="180" spans="9:12">
      <c r="I180" s="5">
        <f>IF(OR(A180="",B180=""),"",B180-WEEKDAY(B180,2)+1)</f>
        <v/>
      </c>
      <c r="J180" s="5">
        <f>IF(I180="","",I180+6)</f>
        <v/>
      </c>
      <c r="K180" s="6">
        <f>IF(OR(A180="",B180=""),"",DATE(YEAR(B180),MONTH(B180),1))</f>
        <v/>
      </c>
      <c r="L180" s="7">
        <f>IF(COUNTA(A180,B180)=0,"",IF(OR(A180="",B180=""),"Preencher CPF e entrada",IF(COUNTIFS($A$12:$A$5011,A180,$B$12:$B$5011,B180)&gt;1,"CPF + dia duplicado",IF(OR(AND(E180&lt;&gt;"",E180&lt;B180),AND(F180&lt;&gt;"",F180&lt;B180)),"Evento anterior à entrada",IF(AND(F180&lt;&gt;"",E180=""),"Conversa sem agendamento",IF(OR(E180&gt;TODAY(),F180&gt;TODAY()),"Verificar evento futuro","OK"))))))</f>
        <v/>
      </c>
    </row>
    <row r="181" spans="9:12">
      <c r="I181" s="5">
        <f>IF(OR(A181="",B181=""),"",B181-WEEKDAY(B181,2)+1)</f>
        <v/>
      </c>
      <c r="J181" s="5">
        <f>IF(I181="","",I181+6)</f>
        <v/>
      </c>
      <c r="K181" s="6">
        <f>IF(OR(A181="",B181=""),"",DATE(YEAR(B181),MONTH(B181),1))</f>
        <v/>
      </c>
      <c r="L181" s="7">
        <f>IF(COUNTA(A181,B181)=0,"",IF(OR(A181="",B181=""),"Preencher CPF e entrada",IF(COUNTIFS($A$12:$A$5011,A181,$B$12:$B$5011,B181)&gt;1,"CPF + dia duplicado",IF(OR(AND(E181&lt;&gt;"",E181&lt;B181),AND(F181&lt;&gt;"",F181&lt;B181)),"Evento anterior à entrada",IF(AND(F181&lt;&gt;"",E181=""),"Conversa sem agendamento",IF(OR(E181&gt;TODAY(),F181&gt;TODAY()),"Verificar evento futuro","OK"))))))</f>
        <v/>
      </c>
    </row>
    <row r="182" spans="9:12">
      <c r="I182" s="5">
        <f>IF(OR(A182="",B182=""),"",B182-WEEKDAY(B182,2)+1)</f>
        <v/>
      </c>
      <c r="J182" s="5">
        <f>IF(I182="","",I182+6)</f>
        <v/>
      </c>
      <c r="K182" s="6">
        <f>IF(OR(A182="",B182=""),"",DATE(YEAR(B182),MONTH(B182),1))</f>
        <v/>
      </c>
      <c r="L182" s="7">
        <f>IF(COUNTA(A182,B182)=0,"",IF(OR(A182="",B182=""),"Preencher CPF e entrada",IF(COUNTIFS($A$12:$A$5011,A182,$B$12:$B$5011,B182)&gt;1,"CPF + dia duplicado",IF(OR(AND(E182&lt;&gt;"",E182&lt;B182),AND(F182&lt;&gt;"",F182&lt;B182)),"Evento anterior à entrada",IF(AND(F182&lt;&gt;"",E182=""),"Conversa sem agendamento",IF(OR(E182&gt;TODAY(),F182&gt;TODAY()),"Verificar evento futuro","OK"))))))</f>
        <v/>
      </c>
    </row>
    <row r="183" spans="9:12">
      <c r="I183" s="5">
        <f>IF(OR(A183="",B183=""),"",B183-WEEKDAY(B183,2)+1)</f>
        <v/>
      </c>
      <c r="J183" s="5">
        <f>IF(I183="","",I183+6)</f>
        <v/>
      </c>
      <c r="K183" s="6">
        <f>IF(OR(A183="",B183=""),"",DATE(YEAR(B183),MONTH(B183),1))</f>
        <v/>
      </c>
      <c r="L183" s="7">
        <f>IF(COUNTA(A183,B183)=0,"",IF(OR(A183="",B183=""),"Preencher CPF e entrada",IF(COUNTIFS($A$12:$A$5011,A183,$B$12:$B$5011,B183)&gt;1,"CPF + dia duplicado",IF(OR(AND(E183&lt;&gt;"",E183&lt;B183),AND(F183&lt;&gt;"",F183&lt;B183)),"Evento anterior à entrada",IF(AND(F183&lt;&gt;"",E183=""),"Conversa sem agendamento",IF(OR(E183&gt;TODAY(),F183&gt;TODAY()),"Verificar evento futuro","OK"))))))</f>
        <v/>
      </c>
    </row>
    <row r="184" spans="9:12">
      <c r="I184" s="5">
        <f>IF(OR(A184="",B184=""),"",B184-WEEKDAY(B184,2)+1)</f>
        <v/>
      </c>
      <c r="J184" s="5">
        <f>IF(I184="","",I184+6)</f>
        <v/>
      </c>
      <c r="K184" s="6">
        <f>IF(OR(A184="",B184=""),"",DATE(YEAR(B184),MONTH(B184),1))</f>
        <v/>
      </c>
      <c r="L184" s="7">
        <f>IF(COUNTA(A184,B184)=0,"",IF(OR(A184="",B184=""),"Preencher CPF e entrada",IF(COUNTIFS($A$12:$A$5011,A184,$B$12:$B$5011,B184)&gt;1,"CPF + dia duplicado",IF(OR(AND(E184&lt;&gt;"",E184&lt;B184),AND(F184&lt;&gt;"",F184&lt;B184)),"Evento anterior à entrada",IF(AND(F184&lt;&gt;"",E184=""),"Conversa sem agendamento",IF(OR(E184&gt;TODAY(),F184&gt;TODAY()),"Verificar evento futuro","OK"))))))</f>
        <v/>
      </c>
    </row>
    <row r="185" spans="9:12">
      <c r="I185" s="5">
        <f>IF(OR(A185="",B185=""),"",B185-WEEKDAY(B185,2)+1)</f>
        <v/>
      </c>
      <c r="J185" s="5">
        <f>IF(I185="","",I185+6)</f>
        <v/>
      </c>
      <c r="K185" s="6">
        <f>IF(OR(A185="",B185=""),"",DATE(YEAR(B185),MONTH(B185),1))</f>
        <v/>
      </c>
      <c r="L185" s="7">
        <f>IF(COUNTA(A185,B185)=0,"",IF(OR(A185="",B185=""),"Preencher CPF e entrada",IF(COUNTIFS($A$12:$A$5011,A185,$B$12:$B$5011,B185)&gt;1,"CPF + dia duplicado",IF(OR(AND(E185&lt;&gt;"",E185&lt;B185),AND(F185&lt;&gt;"",F185&lt;B185)),"Evento anterior à entrada",IF(AND(F185&lt;&gt;"",E185=""),"Conversa sem agendamento",IF(OR(E185&gt;TODAY(),F185&gt;TODAY()),"Verificar evento futuro","OK"))))))</f>
        <v/>
      </c>
    </row>
    <row r="186" spans="9:12">
      <c r="I186" s="5">
        <f>IF(OR(A186="",B186=""),"",B186-WEEKDAY(B186,2)+1)</f>
        <v/>
      </c>
      <c r="J186" s="5">
        <f>IF(I186="","",I186+6)</f>
        <v/>
      </c>
      <c r="K186" s="6">
        <f>IF(OR(A186="",B186=""),"",DATE(YEAR(B186),MONTH(B186),1))</f>
        <v/>
      </c>
      <c r="L186" s="7">
        <f>IF(COUNTA(A186,B186)=0,"",IF(OR(A186="",B186=""),"Preencher CPF e entrada",IF(COUNTIFS($A$12:$A$5011,A186,$B$12:$B$5011,B186)&gt;1,"CPF + dia duplicado",IF(OR(AND(E186&lt;&gt;"",E186&lt;B186),AND(F186&lt;&gt;"",F186&lt;B186)),"Evento anterior à entrada",IF(AND(F186&lt;&gt;"",E186=""),"Conversa sem agendamento",IF(OR(E186&gt;TODAY(),F186&gt;TODAY()),"Verificar evento futuro","OK"))))))</f>
        <v/>
      </c>
    </row>
    <row r="187" spans="9:12">
      <c r="I187" s="5">
        <f>IF(OR(A187="",B187=""),"",B187-WEEKDAY(B187,2)+1)</f>
        <v/>
      </c>
      <c r="J187" s="5">
        <f>IF(I187="","",I187+6)</f>
        <v/>
      </c>
      <c r="K187" s="6">
        <f>IF(OR(A187="",B187=""),"",DATE(YEAR(B187),MONTH(B187),1))</f>
        <v/>
      </c>
      <c r="L187" s="7">
        <f>IF(COUNTA(A187,B187)=0,"",IF(OR(A187="",B187=""),"Preencher CPF e entrada",IF(COUNTIFS($A$12:$A$5011,A187,$B$12:$B$5011,B187)&gt;1,"CPF + dia duplicado",IF(OR(AND(E187&lt;&gt;"",E187&lt;B187),AND(F187&lt;&gt;"",F187&lt;B187)),"Evento anterior à entrada",IF(AND(F187&lt;&gt;"",E187=""),"Conversa sem agendamento",IF(OR(E187&gt;TODAY(),F187&gt;TODAY()),"Verificar evento futuro","OK"))))))</f>
        <v/>
      </c>
    </row>
    <row r="188" spans="9:12">
      <c r="I188" s="5">
        <f>IF(OR(A188="",B188=""),"",B188-WEEKDAY(B188,2)+1)</f>
        <v/>
      </c>
      <c r="J188" s="5">
        <f>IF(I188="","",I188+6)</f>
        <v/>
      </c>
      <c r="K188" s="6">
        <f>IF(OR(A188="",B188=""),"",DATE(YEAR(B188),MONTH(B188),1))</f>
        <v/>
      </c>
      <c r="L188" s="7">
        <f>IF(COUNTA(A188,B188)=0,"",IF(OR(A188="",B188=""),"Preencher CPF e entrada",IF(COUNTIFS($A$12:$A$5011,A188,$B$12:$B$5011,B188)&gt;1,"CPF + dia duplicado",IF(OR(AND(E188&lt;&gt;"",E188&lt;B188),AND(F188&lt;&gt;"",F188&lt;B188)),"Evento anterior à entrada",IF(AND(F188&lt;&gt;"",E188=""),"Conversa sem agendamento",IF(OR(E188&gt;TODAY(),F188&gt;TODAY()),"Verificar evento futuro","OK"))))))</f>
        <v/>
      </c>
    </row>
    <row r="189" spans="9:12">
      <c r="I189" s="5">
        <f>IF(OR(A189="",B189=""),"",B189-WEEKDAY(B189,2)+1)</f>
        <v/>
      </c>
      <c r="J189" s="5">
        <f>IF(I189="","",I189+6)</f>
        <v/>
      </c>
      <c r="K189" s="6">
        <f>IF(OR(A189="",B189=""),"",DATE(YEAR(B189),MONTH(B189),1))</f>
        <v/>
      </c>
      <c r="L189" s="7">
        <f>IF(COUNTA(A189,B189)=0,"",IF(OR(A189="",B189=""),"Preencher CPF e entrada",IF(COUNTIFS($A$12:$A$5011,A189,$B$12:$B$5011,B189)&gt;1,"CPF + dia duplicado",IF(OR(AND(E189&lt;&gt;"",E189&lt;B189),AND(F189&lt;&gt;"",F189&lt;B189)),"Evento anterior à entrada",IF(AND(F189&lt;&gt;"",E189=""),"Conversa sem agendamento",IF(OR(E189&gt;TODAY(),F189&gt;TODAY()),"Verificar evento futuro","OK"))))))</f>
        <v/>
      </c>
    </row>
    <row r="190" spans="9:12">
      <c r="I190" s="5">
        <f>IF(OR(A190="",B190=""),"",B190-WEEKDAY(B190,2)+1)</f>
        <v/>
      </c>
      <c r="J190" s="5">
        <f>IF(I190="","",I190+6)</f>
        <v/>
      </c>
      <c r="K190" s="6">
        <f>IF(OR(A190="",B190=""),"",DATE(YEAR(B190),MONTH(B190),1))</f>
        <v/>
      </c>
      <c r="L190" s="7">
        <f>IF(COUNTA(A190,B190)=0,"",IF(OR(A190="",B190=""),"Preencher CPF e entrada",IF(COUNTIFS($A$12:$A$5011,A190,$B$12:$B$5011,B190)&gt;1,"CPF + dia duplicado",IF(OR(AND(E190&lt;&gt;"",E190&lt;B190),AND(F190&lt;&gt;"",F190&lt;B190)),"Evento anterior à entrada",IF(AND(F190&lt;&gt;"",E190=""),"Conversa sem agendamento",IF(OR(E190&gt;TODAY(),F190&gt;TODAY()),"Verificar evento futuro","OK"))))))</f>
        <v/>
      </c>
    </row>
    <row r="191" spans="9:12">
      <c r="I191" s="5">
        <f>IF(OR(A191="",B191=""),"",B191-WEEKDAY(B191,2)+1)</f>
        <v/>
      </c>
      <c r="J191" s="5">
        <f>IF(I191="","",I191+6)</f>
        <v/>
      </c>
      <c r="K191" s="6">
        <f>IF(OR(A191="",B191=""),"",DATE(YEAR(B191),MONTH(B191),1))</f>
        <v/>
      </c>
      <c r="L191" s="7">
        <f>IF(COUNTA(A191,B191)=0,"",IF(OR(A191="",B191=""),"Preencher CPF e entrada",IF(COUNTIFS($A$12:$A$5011,A191,$B$12:$B$5011,B191)&gt;1,"CPF + dia duplicado",IF(OR(AND(E191&lt;&gt;"",E191&lt;B191),AND(F191&lt;&gt;"",F191&lt;B191)),"Evento anterior à entrada",IF(AND(F191&lt;&gt;"",E191=""),"Conversa sem agendamento",IF(OR(E191&gt;TODAY(),F191&gt;TODAY()),"Verificar evento futuro","OK"))))))</f>
        <v/>
      </c>
    </row>
    <row r="192" spans="9:12">
      <c r="I192" s="5">
        <f>IF(OR(A192="",B192=""),"",B192-WEEKDAY(B192,2)+1)</f>
        <v/>
      </c>
      <c r="J192" s="5">
        <f>IF(I192="","",I192+6)</f>
        <v/>
      </c>
      <c r="K192" s="6">
        <f>IF(OR(A192="",B192=""),"",DATE(YEAR(B192),MONTH(B192),1))</f>
        <v/>
      </c>
      <c r="L192" s="7">
        <f>IF(COUNTA(A192,B192)=0,"",IF(OR(A192="",B192=""),"Preencher CPF e entrada",IF(COUNTIFS($A$12:$A$5011,A192,$B$12:$B$5011,B192)&gt;1,"CPF + dia duplicado",IF(OR(AND(E192&lt;&gt;"",E192&lt;B192),AND(F192&lt;&gt;"",F192&lt;B192)),"Evento anterior à entrada",IF(AND(F192&lt;&gt;"",E192=""),"Conversa sem agendamento",IF(OR(E192&gt;TODAY(),F192&gt;TODAY()),"Verificar evento futuro","OK"))))))</f>
        <v/>
      </c>
    </row>
    <row r="193" spans="9:12">
      <c r="I193" s="5">
        <f>IF(OR(A193="",B193=""),"",B193-WEEKDAY(B193,2)+1)</f>
        <v/>
      </c>
      <c r="J193" s="5">
        <f>IF(I193="","",I193+6)</f>
        <v/>
      </c>
      <c r="K193" s="6">
        <f>IF(OR(A193="",B193=""),"",DATE(YEAR(B193),MONTH(B193),1))</f>
        <v/>
      </c>
      <c r="L193" s="7">
        <f>IF(COUNTA(A193,B193)=0,"",IF(OR(A193="",B193=""),"Preencher CPF e entrada",IF(COUNTIFS($A$12:$A$5011,A193,$B$12:$B$5011,B193)&gt;1,"CPF + dia duplicado",IF(OR(AND(E193&lt;&gt;"",E193&lt;B193),AND(F193&lt;&gt;"",F193&lt;B193)),"Evento anterior à entrada",IF(AND(F193&lt;&gt;"",E193=""),"Conversa sem agendamento",IF(OR(E193&gt;TODAY(),F193&gt;TODAY()),"Verificar evento futuro","OK"))))))</f>
        <v/>
      </c>
    </row>
    <row r="194" spans="9:12">
      <c r="I194" s="5">
        <f>IF(OR(A194="",B194=""),"",B194-WEEKDAY(B194,2)+1)</f>
        <v/>
      </c>
      <c r="J194" s="5">
        <f>IF(I194="","",I194+6)</f>
        <v/>
      </c>
      <c r="K194" s="6">
        <f>IF(OR(A194="",B194=""),"",DATE(YEAR(B194),MONTH(B194),1))</f>
        <v/>
      </c>
      <c r="L194" s="7">
        <f>IF(COUNTA(A194,B194)=0,"",IF(OR(A194="",B194=""),"Preencher CPF e entrada",IF(COUNTIFS($A$12:$A$5011,A194,$B$12:$B$5011,B194)&gt;1,"CPF + dia duplicado",IF(OR(AND(E194&lt;&gt;"",E194&lt;B194),AND(F194&lt;&gt;"",F194&lt;B194)),"Evento anterior à entrada",IF(AND(F194&lt;&gt;"",E194=""),"Conversa sem agendamento",IF(OR(E194&gt;TODAY(),F194&gt;TODAY()),"Verificar evento futuro","OK"))))))</f>
        <v/>
      </c>
    </row>
    <row r="195" spans="9:12">
      <c r="I195" s="5">
        <f>IF(OR(A195="",B195=""),"",B195-WEEKDAY(B195,2)+1)</f>
        <v/>
      </c>
      <c r="J195" s="5">
        <f>IF(I195="","",I195+6)</f>
        <v/>
      </c>
      <c r="K195" s="6">
        <f>IF(OR(A195="",B195=""),"",DATE(YEAR(B195),MONTH(B195),1))</f>
        <v/>
      </c>
      <c r="L195" s="7">
        <f>IF(COUNTA(A195,B195)=0,"",IF(OR(A195="",B195=""),"Preencher CPF e entrada",IF(COUNTIFS($A$12:$A$5011,A195,$B$12:$B$5011,B195)&gt;1,"CPF + dia duplicado",IF(OR(AND(E195&lt;&gt;"",E195&lt;B195),AND(F195&lt;&gt;"",F195&lt;B195)),"Evento anterior à entrada",IF(AND(F195&lt;&gt;"",E195=""),"Conversa sem agendamento",IF(OR(E195&gt;TODAY(),F195&gt;TODAY()),"Verificar evento futuro","OK"))))))</f>
        <v/>
      </c>
    </row>
    <row r="196" spans="9:12">
      <c r="I196" s="5">
        <f>IF(OR(A196="",B196=""),"",B196-WEEKDAY(B196,2)+1)</f>
        <v/>
      </c>
      <c r="J196" s="5">
        <f>IF(I196="","",I196+6)</f>
        <v/>
      </c>
      <c r="K196" s="6">
        <f>IF(OR(A196="",B196=""),"",DATE(YEAR(B196),MONTH(B196),1))</f>
        <v/>
      </c>
      <c r="L196" s="7">
        <f>IF(COUNTA(A196,B196)=0,"",IF(OR(A196="",B196=""),"Preencher CPF e entrada",IF(COUNTIFS($A$12:$A$5011,A196,$B$12:$B$5011,B196)&gt;1,"CPF + dia duplicado",IF(OR(AND(E196&lt;&gt;"",E196&lt;B196),AND(F196&lt;&gt;"",F196&lt;B196)),"Evento anterior à entrada",IF(AND(F196&lt;&gt;"",E196=""),"Conversa sem agendamento",IF(OR(E196&gt;TODAY(),F196&gt;TODAY()),"Verificar evento futuro","OK"))))))</f>
        <v/>
      </c>
    </row>
    <row r="197" spans="9:12">
      <c r="I197" s="5">
        <f>IF(OR(A197="",B197=""),"",B197-WEEKDAY(B197,2)+1)</f>
        <v/>
      </c>
      <c r="J197" s="5">
        <f>IF(I197="","",I197+6)</f>
        <v/>
      </c>
      <c r="K197" s="6">
        <f>IF(OR(A197="",B197=""),"",DATE(YEAR(B197),MONTH(B197),1))</f>
        <v/>
      </c>
      <c r="L197" s="7">
        <f>IF(COUNTA(A197,B197)=0,"",IF(OR(A197="",B197=""),"Preencher CPF e entrada",IF(COUNTIFS($A$12:$A$5011,A197,$B$12:$B$5011,B197)&gt;1,"CPF + dia duplicado",IF(OR(AND(E197&lt;&gt;"",E197&lt;B197),AND(F197&lt;&gt;"",F197&lt;B197)),"Evento anterior à entrada",IF(AND(F197&lt;&gt;"",E197=""),"Conversa sem agendamento",IF(OR(E197&gt;TODAY(),F197&gt;TODAY()),"Verificar evento futuro","OK"))))))</f>
        <v/>
      </c>
    </row>
    <row r="198" spans="9:12">
      <c r="I198" s="5">
        <f>IF(OR(A198="",B198=""),"",B198-WEEKDAY(B198,2)+1)</f>
        <v/>
      </c>
      <c r="J198" s="5">
        <f>IF(I198="","",I198+6)</f>
        <v/>
      </c>
      <c r="K198" s="6">
        <f>IF(OR(A198="",B198=""),"",DATE(YEAR(B198),MONTH(B198),1))</f>
        <v/>
      </c>
      <c r="L198" s="7">
        <f>IF(COUNTA(A198,B198)=0,"",IF(OR(A198="",B198=""),"Preencher CPF e entrada",IF(COUNTIFS($A$12:$A$5011,A198,$B$12:$B$5011,B198)&gt;1,"CPF + dia duplicado",IF(OR(AND(E198&lt;&gt;"",E198&lt;B198),AND(F198&lt;&gt;"",F198&lt;B198)),"Evento anterior à entrada",IF(AND(F198&lt;&gt;"",E198=""),"Conversa sem agendamento",IF(OR(E198&gt;TODAY(),F198&gt;TODAY()),"Verificar evento futuro","OK"))))))</f>
        <v/>
      </c>
    </row>
    <row r="199" spans="9:12">
      <c r="I199" s="5">
        <f>IF(OR(A199="",B199=""),"",B199-WEEKDAY(B199,2)+1)</f>
        <v/>
      </c>
      <c r="J199" s="5">
        <f>IF(I199="","",I199+6)</f>
        <v/>
      </c>
      <c r="K199" s="6">
        <f>IF(OR(A199="",B199=""),"",DATE(YEAR(B199),MONTH(B199),1))</f>
        <v/>
      </c>
      <c r="L199" s="7">
        <f>IF(COUNTA(A199,B199)=0,"",IF(OR(A199="",B199=""),"Preencher CPF e entrada",IF(COUNTIFS($A$12:$A$5011,A199,$B$12:$B$5011,B199)&gt;1,"CPF + dia duplicado",IF(OR(AND(E199&lt;&gt;"",E199&lt;B199),AND(F199&lt;&gt;"",F199&lt;B199)),"Evento anterior à entrada",IF(AND(F199&lt;&gt;"",E199=""),"Conversa sem agendamento",IF(OR(E199&gt;TODAY(),F199&gt;TODAY()),"Verificar evento futuro","OK"))))))</f>
        <v/>
      </c>
    </row>
    <row r="200" spans="9:12">
      <c r="I200" s="5">
        <f>IF(OR(A200="",B200=""),"",B200-WEEKDAY(B200,2)+1)</f>
        <v/>
      </c>
      <c r="J200" s="5">
        <f>IF(I200="","",I200+6)</f>
        <v/>
      </c>
      <c r="K200" s="6">
        <f>IF(OR(A200="",B200=""),"",DATE(YEAR(B200),MONTH(B200),1))</f>
        <v/>
      </c>
      <c r="L200" s="7">
        <f>IF(COUNTA(A200,B200)=0,"",IF(OR(A200="",B200=""),"Preencher CPF e entrada",IF(COUNTIFS($A$12:$A$5011,A200,$B$12:$B$5011,B200)&gt;1,"CPF + dia duplicado",IF(OR(AND(E200&lt;&gt;"",E200&lt;B200),AND(F200&lt;&gt;"",F200&lt;B200)),"Evento anterior à entrada",IF(AND(F200&lt;&gt;"",E200=""),"Conversa sem agendamento",IF(OR(E200&gt;TODAY(),F200&gt;TODAY()),"Verificar evento futuro","OK"))))))</f>
        <v/>
      </c>
    </row>
    <row r="201" spans="9:12">
      <c r="I201" s="5">
        <f>IF(OR(A201="",B201=""),"",B201-WEEKDAY(B201,2)+1)</f>
        <v/>
      </c>
      <c r="J201" s="5">
        <f>IF(I201="","",I201+6)</f>
        <v/>
      </c>
      <c r="K201" s="6">
        <f>IF(OR(A201="",B201=""),"",DATE(YEAR(B201),MONTH(B201),1))</f>
        <v/>
      </c>
      <c r="L201" s="7">
        <f>IF(COUNTA(A201,B201)=0,"",IF(OR(A201="",B201=""),"Preencher CPF e entrada",IF(COUNTIFS($A$12:$A$5011,A201,$B$12:$B$5011,B201)&gt;1,"CPF + dia duplicado",IF(OR(AND(E201&lt;&gt;"",E201&lt;B201),AND(F201&lt;&gt;"",F201&lt;B201)),"Evento anterior à entrada",IF(AND(F201&lt;&gt;"",E201=""),"Conversa sem agendamento",IF(OR(E201&gt;TODAY(),F201&gt;TODAY()),"Verificar evento futuro","OK"))))))</f>
        <v/>
      </c>
    </row>
    <row r="202" spans="9:12">
      <c r="I202" s="5">
        <f>IF(OR(A202="",B202=""),"",B202-WEEKDAY(B202,2)+1)</f>
        <v/>
      </c>
      <c r="J202" s="5">
        <f>IF(I202="","",I202+6)</f>
        <v/>
      </c>
      <c r="K202" s="6">
        <f>IF(OR(A202="",B202=""),"",DATE(YEAR(B202),MONTH(B202),1))</f>
        <v/>
      </c>
      <c r="L202" s="7">
        <f>IF(COUNTA(A202,B202)=0,"",IF(OR(A202="",B202=""),"Preencher CPF e entrada",IF(COUNTIFS($A$12:$A$5011,A202,$B$12:$B$5011,B202)&gt;1,"CPF + dia duplicado",IF(OR(AND(E202&lt;&gt;"",E202&lt;B202),AND(F202&lt;&gt;"",F202&lt;B202)),"Evento anterior à entrada",IF(AND(F202&lt;&gt;"",E202=""),"Conversa sem agendamento",IF(OR(E202&gt;TODAY(),F202&gt;TODAY()),"Verificar evento futuro","OK"))))))</f>
        <v/>
      </c>
    </row>
    <row r="203" spans="9:12">
      <c r="I203" s="5">
        <f>IF(OR(A203="",B203=""),"",B203-WEEKDAY(B203,2)+1)</f>
        <v/>
      </c>
      <c r="J203" s="5">
        <f>IF(I203="","",I203+6)</f>
        <v/>
      </c>
      <c r="K203" s="6">
        <f>IF(OR(A203="",B203=""),"",DATE(YEAR(B203),MONTH(B203),1))</f>
        <v/>
      </c>
      <c r="L203" s="7">
        <f>IF(COUNTA(A203,B203)=0,"",IF(OR(A203="",B203=""),"Preencher CPF e entrada",IF(COUNTIFS($A$12:$A$5011,A203,$B$12:$B$5011,B203)&gt;1,"CPF + dia duplicado",IF(OR(AND(E203&lt;&gt;"",E203&lt;B203),AND(F203&lt;&gt;"",F203&lt;B203)),"Evento anterior à entrada",IF(AND(F203&lt;&gt;"",E203=""),"Conversa sem agendamento",IF(OR(E203&gt;TODAY(),F203&gt;TODAY()),"Verificar evento futuro","OK"))))))</f>
        <v/>
      </c>
    </row>
    <row r="204" spans="9:12">
      <c r="I204" s="5">
        <f>IF(OR(A204="",B204=""),"",B204-WEEKDAY(B204,2)+1)</f>
        <v/>
      </c>
      <c r="J204" s="5">
        <f>IF(I204="","",I204+6)</f>
        <v/>
      </c>
      <c r="K204" s="6">
        <f>IF(OR(A204="",B204=""),"",DATE(YEAR(B204),MONTH(B204),1))</f>
        <v/>
      </c>
      <c r="L204" s="7">
        <f>IF(COUNTA(A204,B204)=0,"",IF(OR(A204="",B204=""),"Preencher CPF e entrada",IF(COUNTIFS($A$12:$A$5011,A204,$B$12:$B$5011,B204)&gt;1,"CPF + dia duplicado",IF(OR(AND(E204&lt;&gt;"",E204&lt;B204),AND(F204&lt;&gt;"",F204&lt;B204)),"Evento anterior à entrada",IF(AND(F204&lt;&gt;"",E204=""),"Conversa sem agendamento",IF(OR(E204&gt;TODAY(),F204&gt;TODAY()),"Verificar evento futuro","OK"))))))</f>
        <v/>
      </c>
    </row>
    <row r="205" spans="9:12">
      <c r="I205" s="5">
        <f>IF(OR(A205="",B205=""),"",B205-WEEKDAY(B205,2)+1)</f>
        <v/>
      </c>
      <c r="J205" s="5">
        <f>IF(I205="","",I205+6)</f>
        <v/>
      </c>
      <c r="K205" s="6">
        <f>IF(OR(A205="",B205=""),"",DATE(YEAR(B205),MONTH(B205),1))</f>
        <v/>
      </c>
      <c r="L205" s="7">
        <f>IF(COUNTA(A205,B205)=0,"",IF(OR(A205="",B205=""),"Preencher CPF e entrada",IF(COUNTIFS($A$12:$A$5011,A205,$B$12:$B$5011,B205)&gt;1,"CPF + dia duplicado",IF(OR(AND(E205&lt;&gt;"",E205&lt;B205),AND(F205&lt;&gt;"",F205&lt;B205)),"Evento anterior à entrada",IF(AND(F205&lt;&gt;"",E205=""),"Conversa sem agendamento",IF(OR(E205&gt;TODAY(),F205&gt;TODAY()),"Verificar evento futuro","OK"))))))</f>
        <v/>
      </c>
    </row>
    <row r="206" spans="9:12">
      <c r="I206" s="5">
        <f>IF(OR(A206="",B206=""),"",B206-WEEKDAY(B206,2)+1)</f>
        <v/>
      </c>
      <c r="J206" s="5">
        <f>IF(I206="","",I206+6)</f>
        <v/>
      </c>
      <c r="K206" s="6">
        <f>IF(OR(A206="",B206=""),"",DATE(YEAR(B206),MONTH(B206),1))</f>
        <v/>
      </c>
      <c r="L206" s="7">
        <f>IF(COUNTA(A206,B206)=0,"",IF(OR(A206="",B206=""),"Preencher CPF e entrada",IF(COUNTIFS($A$12:$A$5011,A206,$B$12:$B$5011,B206)&gt;1,"CPF + dia duplicado",IF(OR(AND(E206&lt;&gt;"",E206&lt;B206),AND(F206&lt;&gt;"",F206&lt;B206)),"Evento anterior à entrada",IF(AND(F206&lt;&gt;"",E206=""),"Conversa sem agendamento",IF(OR(E206&gt;TODAY(),F206&gt;TODAY()),"Verificar evento futuro","OK"))))))</f>
        <v/>
      </c>
    </row>
    <row r="207" spans="9:12">
      <c r="I207" s="5">
        <f>IF(OR(A207="",B207=""),"",B207-WEEKDAY(B207,2)+1)</f>
        <v/>
      </c>
      <c r="J207" s="5">
        <f>IF(I207="","",I207+6)</f>
        <v/>
      </c>
      <c r="K207" s="6">
        <f>IF(OR(A207="",B207=""),"",DATE(YEAR(B207),MONTH(B207),1))</f>
        <v/>
      </c>
      <c r="L207" s="7">
        <f>IF(COUNTA(A207,B207)=0,"",IF(OR(A207="",B207=""),"Preencher CPF e entrada",IF(COUNTIFS($A$12:$A$5011,A207,$B$12:$B$5011,B207)&gt;1,"CPF + dia duplicado",IF(OR(AND(E207&lt;&gt;"",E207&lt;B207),AND(F207&lt;&gt;"",F207&lt;B207)),"Evento anterior à entrada",IF(AND(F207&lt;&gt;"",E207=""),"Conversa sem agendamento",IF(OR(E207&gt;TODAY(),F207&gt;TODAY()),"Verificar evento futuro","OK"))))))</f>
        <v/>
      </c>
    </row>
    <row r="208" spans="9:12">
      <c r="I208" s="5">
        <f>IF(OR(A208="",B208=""),"",B208-WEEKDAY(B208,2)+1)</f>
        <v/>
      </c>
      <c r="J208" s="5">
        <f>IF(I208="","",I208+6)</f>
        <v/>
      </c>
      <c r="K208" s="6">
        <f>IF(OR(A208="",B208=""),"",DATE(YEAR(B208),MONTH(B208),1))</f>
        <v/>
      </c>
      <c r="L208" s="7">
        <f>IF(COUNTA(A208,B208)=0,"",IF(OR(A208="",B208=""),"Preencher CPF e entrada",IF(COUNTIFS($A$12:$A$5011,A208,$B$12:$B$5011,B208)&gt;1,"CPF + dia duplicado",IF(OR(AND(E208&lt;&gt;"",E208&lt;B208),AND(F208&lt;&gt;"",F208&lt;B208)),"Evento anterior à entrada",IF(AND(F208&lt;&gt;"",E208=""),"Conversa sem agendamento",IF(OR(E208&gt;TODAY(),F208&gt;TODAY()),"Verificar evento futuro","OK"))))))</f>
        <v/>
      </c>
    </row>
    <row r="209" spans="9:12">
      <c r="I209" s="5">
        <f>IF(OR(A209="",B209=""),"",B209-WEEKDAY(B209,2)+1)</f>
        <v/>
      </c>
      <c r="J209" s="5">
        <f>IF(I209="","",I209+6)</f>
        <v/>
      </c>
      <c r="K209" s="6">
        <f>IF(OR(A209="",B209=""),"",DATE(YEAR(B209),MONTH(B209),1))</f>
        <v/>
      </c>
      <c r="L209" s="7">
        <f>IF(COUNTA(A209,B209)=0,"",IF(OR(A209="",B209=""),"Preencher CPF e entrada",IF(COUNTIFS($A$12:$A$5011,A209,$B$12:$B$5011,B209)&gt;1,"CPF + dia duplicado",IF(OR(AND(E209&lt;&gt;"",E209&lt;B209),AND(F209&lt;&gt;"",F209&lt;B209)),"Evento anterior à entrada",IF(AND(F209&lt;&gt;"",E209=""),"Conversa sem agendamento",IF(OR(E209&gt;TODAY(),F209&gt;TODAY()),"Verificar evento futuro","OK"))))))</f>
        <v/>
      </c>
    </row>
    <row r="210" spans="9:12">
      <c r="I210" s="5">
        <f>IF(OR(A210="",B210=""),"",B210-WEEKDAY(B210,2)+1)</f>
        <v/>
      </c>
      <c r="J210" s="5">
        <f>IF(I210="","",I210+6)</f>
        <v/>
      </c>
      <c r="K210" s="6">
        <f>IF(OR(A210="",B210=""),"",DATE(YEAR(B210),MONTH(B210),1))</f>
        <v/>
      </c>
      <c r="L210" s="7">
        <f>IF(COUNTA(A210,B210)=0,"",IF(OR(A210="",B210=""),"Preencher CPF e entrada",IF(COUNTIFS($A$12:$A$5011,A210,$B$12:$B$5011,B210)&gt;1,"CPF + dia duplicado",IF(OR(AND(E210&lt;&gt;"",E210&lt;B210),AND(F210&lt;&gt;"",F210&lt;B210)),"Evento anterior à entrada",IF(AND(F210&lt;&gt;"",E210=""),"Conversa sem agendamento",IF(OR(E210&gt;TODAY(),F210&gt;TODAY()),"Verificar evento futuro","OK"))))))</f>
        <v/>
      </c>
    </row>
    <row r="211" spans="9:12">
      <c r="I211" s="5">
        <f>IF(OR(A211="",B211=""),"",B211-WEEKDAY(B211,2)+1)</f>
        <v/>
      </c>
      <c r="J211" s="5">
        <f>IF(I211="","",I211+6)</f>
        <v/>
      </c>
      <c r="K211" s="6">
        <f>IF(OR(A211="",B211=""),"",DATE(YEAR(B211),MONTH(B211),1))</f>
        <v/>
      </c>
      <c r="L211" s="7">
        <f>IF(COUNTA(A211,B211)=0,"",IF(OR(A211="",B211=""),"Preencher CPF e entrada",IF(COUNTIFS($A$12:$A$5011,A211,$B$12:$B$5011,B211)&gt;1,"CPF + dia duplicado",IF(OR(AND(E211&lt;&gt;"",E211&lt;B211),AND(F211&lt;&gt;"",F211&lt;B211)),"Evento anterior à entrada",IF(AND(F211&lt;&gt;"",E211=""),"Conversa sem agendamento",IF(OR(E211&gt;TODAY(),F211&gt;TODAY()),"Verificar evento futuro","OK"))))))</f>
        <v/>
      </c>
    </row>
    <row r="212" spans="9:12">
      <c r="I212" s="5">
        <f>IF(OR(A212="",B212=""),"",B212-WEEKDAY(B212,2)+1)</f>
        <v/>
      </c>
      <c r="J212" s="5">
        <f>IF(I212="","",I212+6)</f>
        <v/>
      </c>
      <c r="K212" s="6">
        <f>IF(OR(A212="",B212=""),"",DATE(YEAR(B212),MONTH(B212),1))</f>
        <v/>
      </c>
      <c r="L212" s="7">
        <f>IF(COUNTA(A212,B212)=0,"",IF(OR(A212="",B212=""),"Preencher CPF e entrada",IF(COUNTIFS($A$12:$A$5011,A212,$B$12:$B$5011,B212)&gt;1,"CPF + dia duplicado",IF(OR(AND(E212&lt;&gt;"",E212&lt;B212),AND(F212&lt;&gt;"",F212&lt;B212)),"Evento anterior à entrada",IF(AND(F212&lt;&gt;"",E212=""),"Conversa sem agendamento",IF(OR(E212&gt;TODAY(),F212&gt;TODAY()),"Verificar evento futuro","OK"))))))</f>
        <v/>
      </c>
    </row>
    <row r="213" spans="9:12">
      <c r="I213" s="5">
        <f>IF(OR(A213="",B213=""),"",B213-WEEKDAY(B213,2)+1)</f>
        <v/>
      </c>
      <c r="J213" s="5">
        <f>IF(I213="","",I213+6)</f>
        <v/>
      </c>
      <c r="K213" s="6">
        <f>IF(OR(A213="",B213=""),"",DATE(YEAR(B213),MONTH(B213),1))</f>
        <v/>
      </c>
      <c r="L213" s="7">
        <f>IF(COUNTA(A213,B213)=0,"",IF(OR(A213="",B213=""),"Preencher CPF e entrada",IF(COUNTIFS($A$12:$A$5011,A213,$B$12:$B$5011,B213)&gt;1,"CPF + dia duplicado",IF(OR(AND(E213&lt;&gt;"",E213&lt;B213),AND(F213&lt;&gt;"",F213&lt;B213)),"Evento anterior à entrada",IF(AND(F213&lt;&gt;"",E213=""),"Conversa sem agendamento",IF(OR(E213&gt;TODAY(),F213&gt;TODAY()),"Verificar evento futuro","OK"))))))</f>
        <v/>
      </c>
    </row>
    <row r="214" spans="9:12">
      <c r="I214" s="5">
        <f>IF(OR(A214="",B214=""),"",B214-WEEKDAY(B214,2)+1)</f>
        <v/>
      </c>
      <c r="J214" s="5">
        <f>IF(I214="","",I214+6)</f>
        <v/>
      </c>
      <c r="K214" s="6">
        <f>IF(OR(A214="",B214=""),"",DATE(YEAR(B214),MONTH(B214),1))</f>
        <v/>
      </c>
      <c r="L214" s="7">
        <f>IF(COUNTA(A214,B214)=0,"",IF(OR(A214="",B214=""),"Preencher CPF e entrada",IF(COUNTIFS($A$12:$A$5011,A214,$B$12:$B$5011,B214)&gt;1,"CPF + dia duplicado",IF(OR(AND(E214&lt;&gt;"",E214&lt;B214),AND(F214&lt;&gt;"",F214&lt;B214)),"Evento anterior à entrada",IF(AND(F214&lt;&gt;"",E214=""),"Conversa sem agendamento",IF(OR(E214&gt;TODAY(),F214&gt;TODAY()),"Verificar evento futuro","OK"))))))</f>
        <v/>
      </c>
    </row>
    <row r="215" spans="9:12">
      <c r="I215" s="5">
        <f>IF(OR(A215="",B215=""),"",B215-WEEKDAY(B215,2)+1)</f>
        <v/>
      </c>
      <c r="J215" s="5">
        <f>IF(I215="","",I215+6)</f>
        <v/>
      </c>
      <c r="K215" s="6">
        <f>IF(OR(A215="",B215=""),"",DATE(YEAR(B215),MONTH(B215),1))</f>
        <v/>
      </c>
      <c r="L215" s="7">
        <f>IF(COUNTA(A215,B215)=0,"",IF(OR(A215="",B215=""),"Preencher CPF e entrada",IF(COUNTIFS($A$12:$A$5011,A215,$B$12:$B$5011,B215)&gt;1,"CPF + dia duplicado",IF(OR(AND(E215&lt;&gt;"",E215&lt;B215),AND(F215&lt;&gt;"",F215&lt;B215)),"Evento anterior à entrada",IF(AND(F215&lt;&gt;"",E215=""),"Conversa sem agendamento",IF(OR(E215&gt;TODAY(),F215&gt;TODAY()),"Verificar evento futuro","OK"))))))</f>
        <v/>
      </c>
    </row>
    <row r="216" spans="9:12">
      <c r="I216" s="5">
        <f>IF(OR(A216="",B216=""),"",B216-WEEKDAY(B216,2)+1)</f>
        <v/>
      </c>
      <c r="J216" s="5">
        <f>IF(I216="","",I216+6)</f>
        <v/>
      </c>
      <c r="K216" s="6">
        <f>IF(OR(A216="",B216=""),"",DATE(YEAR(B216),MONTH(B216),1))</f>
        <v/>
      </c>
      <c r="L216" s="7">
        <f>IF(COUNTA(A216,B216)=0,"",IF(OR(A216="",B216=""),"Preencher CPF e entrada",IF(COUNTIFS($A$12:$A$5011,A216,$B$12:$B$5011,B216)&gt;1,"CPF + dia duplicado",IF(OR(AND(E216&lt;&gt;"",E216&lt;B216),AND(F216&lt;&gt;"",F216&lt;B216)),"Evento anterior à entrada",IF(AND(F216&lt;&gt;"",E216=""),"Conversa sem agendamento",IF(OR(E216&gt;TODAY(),F216&gt;TODAY()),"Verificar evento futuro","OK"))))))</f>
        <v/>
      </c>
    </row>
    <row r="217" spans="9:12">
      <c r="I217" s="5">
        <f>IF(OR(A217="",B217=""),"",B217-WEEKDAY(B217,2)+1)</f>
        <v/>
      </c>
      <c r="J217" s="5">
        <f>IF(I217="","",I217+6)</f>
        <v/>
      </c>
      <c r="K217" s="6">
        <f>IF(OR(A217="",B217=""),"",DATE(YEAR(B217),MONTH(B217),1))</f>
        <v/>
      </c>
      <c r="L217" s="7">
        <f>IF(COUNTA(A217,B217)=0,"",IF(OR(A217="",B217=""),"Preencher CPF e entrada",IF(COUNTIFS($A$12:$A$5011,A217,$B$12:$B$5011,B217)&gt;1,"CPF + dia duplicado",IF(OR(AND(E217&lt;&gt;"",E217&lt;B217),AND(F217&lt;&gt;"",F217&lt;B217)),"Evento anterior à entrada",IF(AND(F217&lt;&gt;"",E217=""),"Conversa sem agendamento",IF(OR(E217&gt;TODAY(),F217&gt;TODAY()),"Verificar evento futuro","OK"))))))</f>
        <v/>
      </c>
    </row>
    <row r="218" spans="9:12">
      <c r="I218" s="5">
        <f>IF(OR(A218="",B218=""),"",B218-WEEKDAY(B218,2)+1)</f>
        <v/>
      </c>
      <c r="J218" s="5">
        <f>IF(I218="","",I218+6)</f>
        <v/>
      </c>
      <c r="K218" s="6">
        <f>IF(OR(A218="",B218=""),"",DATE(YEAR(B218),MONTH(B218),1))</f>
        <v/>
      </c>
      <c r="L218" s="7">
        <f>IF(COUNTA(A218,B218)=0,"",IF(OR(A218="",B218=""),"Preencher CPF e entrada",IF(COUNTIFS($A$12:$A$5011,A218,$B$12:$B$5011,B218)&gt;1,"CPF + dia duplicado",IF(OR(AND(E218&lt;&gt;"",E218&lt;B218),AND(F218&lt;&gt;"",F218&lt;B218)),"Evento anterior à entrada",IF(AND(F218&lt;&gt;"",E218=""),"Conversa sem agendamento",IF(OR(E218&gt;TODAY(),F218&gt;TODAY()),"Verificar evento futuro","OK"))))))</f>
        <v/>
      </c>
    </row>
    <row r="219" spans="9:12">
      <c r="I219" s="5">
        <f>IF(OR(A219="",B219=""),"",B219-WEEKDAY(B219,2)+1)</f>
        <v/>
      </c>
      <c r="J219" s="5">
        <f>IF(I219="","",I219+6)</f>
        <v/>
      </c>
      <c r="K219" s="6">
        <f>IF(OR(A219="",B219=""),"",DATE(YEAR(B219),MONTH(B219),1))</f>
        <v/>
      </c>
      <c r="L219" s="7">
        <f>IF(COUNTA(A219,B219)=0,"",IF(OR(A219="",B219=""),"Preencher CPF e entrada",IF(COUNTIFS($A$12:$A$5011,A219,$B$12:$B$5011,B219)&gt;1,"CPF + dia duplicado",IF(OR(AND(E219&lt;&gt;"",E219&lt;B219),AND(F219&lt;&gt;"",F219&lt;B219)),"Evento anterior à entrada",IF(AND(F219&lt;&gt;"",E219=""),"Conversa sem agendamento",IF(OR(E219&gt;TODAY(),F219&gt;TODAY()),"Verificar evento futuro","OK"))))))</f>
        <v/>
      </c>
    </row>
    <row r="220" spans="9:12">
      <c r="I220" s="5">
        <f>IF(OR(A220="",B220=""),"",B220-WEEKDAY(B220,2)+1)</f>
        <v/>
      </c>
      <c r="J220" s="5">
        <f>IF(I220="","",I220+6)</f>
        <v/>
      </c>
      <c r="K220" s="6">
        <f>IF(OR(A220="",B220=""),"",DATE(YEAR(B220),MONTH(B220),1))</f>
        <v/>
      </c>
      <c r="L220" s="7">
        <f>IF(COUNTA(A220,B220)=0,"",IF(OR(A220="",B220=""),"Preencher CPF e entrada",IF(COUNTIFS($A$12:$A$5011,A220,$B$12:$B$5011,B220)&gt;1,"CPF + dia duplicado",IF(OR(AND(E220&lt;&gt;"",E220&lt;B220),AND(F220&lt;&gt;"",F220&lt;B220)),"Evento anterior à entrada",IF(AND(F220&lt;&gt;"",E220=""),"Conversa sem agendamento",IF(OR(E220&gt;TODAY(),F220&gt;TODAY()),"Verificar evento futuro","OK"))))))</f>
        <v/>
      </c>
    </row>
    <row r="221" spans="9:12">
      <c r="I221" s="5">
        <f>IF(OR(A221="",B221=""),"",B221-WEEKDAY(B221,2)+1)</f>
        <v/>
      </c>
      <c r="J221" s="5">
        <f>IF(I221="","",I221+6)</f>
        <v/>
      </c>
      <c r="K221" s="6">
        <f>IF(OR(A221="",B221=""),"",DATE(YEAR(B221),MONTH(B221),1))</f>
        <v/>
      </c>
      <c r="L221" s="7">
        <f>IF(COUNTA(A221,B221)=0,"",IF(OR(A221="",B221=""),"Preencher CPF e entrada",IF(COUNTIFS($A$12:$A$5011,A221,$B$12:$B$5011,B221)&gt;1,"CPF + dia duplicado",IF(OR(AND(E221&lt;&gt;"",E221&lt;B221),AND(F221&lt;&gt;"",F221&lt;B221)),"Evento anterior à entrada",IF(AND(F221&lt;&gt;"",E221=""),"Conversa sem agendamento",IF(OR(E221&gt;TODAY(),F221&gt;TODAY()),"Verificar evento futuro","OK"))))))</f>
        <v/>
      </c>
    </row>
    <row r="222" spans="9:12">
      <c r="I222" s="5">
        <f>IF(OR(A222="",B222=""),"",B222-WEEKDAY(B222,2)+1)</f>
        <v/>
      </c>
      <c r="J222" s="5">
        <f>IF(I222="","",I222+6)</f>
        <v/>
      </c>
      <c r="K222" s="6">
        <f>IF(OR(A222="",B222=""),"",DATE(YEAR(B222),MONTH(B222),1))</f>
        <v/>
      </c>
      <c r="L222" s="7">
        <f>IF(COUNTA(A222,B222)=0,"",IF(OR(A222="",B222=""),"Preencher CPF e entrada",IF(COUNTIFS($A$12:$A$5011,A222,$B$12:$B$5011,B222)&gt;1,"CPF + dia duplicado",IF(OR(AND(E222&lt;&gt;"",E222&lt;B222),AND(F222&lt;&gt;"",F222&lt;B222)),"Evento anterior à entrada",IF(AND(F222&lt;&gt;"",E222=""),"Conversa sem agendamento",IF(OR(E222&gt;TODAY(),F222&gt;TODAY()),"Verificar evento futuro","OK"))))))</f>
        <v/>
      </c>
    </row>
    <row r="223" spans="9:12">
      <c r="I223" s="5">
        <f>IF(OR(A223="",B223=""),"",B223-WEEKDAY(B223,2)+1)</f>
        <v/>
      </c>
      <c r="J223" s="5">
        <f>IF(I223="","",I223+6)</f>
        <v/>
      </c>
      <c r="K223" s="6">
        <f>IF(OR(A223="",B223=""),"",DATE(YEAR(B223),MONTH(B223),1))</f>
        <v/>
      </c>
      <c r="L223" s="7">
        <f>IF(COUNTA(A223,B223)=0,"",IF(OR(A223="",B223=""),"Preencher CPF e entrada",IF(COUNTIFS($A$12:$A$5011,A223,$B$12:$B$5011,B223)&gt;1,"CPF + dia duplicado",IF(OR(AND(E223&lt;&gt;"",E223&lt;B223),AND(F223&lt;&gt;"",F223&lt;B223)),"Evento anterior à entrada",IF(AND(F223&lt;&gt;"",E223=""),"Conversa sem agendamento",IF(OR(E223&gt;TODAY(),F223&gt;TODAY()),"Verificar evento futuro","OK"))))))</f>
        <v/>
      </c>
    </row>
    <row r="224" spans="9:12">
      <c r="I224" s="5">
        <f>IF(OR(A224="",B224=""),"",B224-WEEKDAY(B224,2)+1)</f>
        <v/>
      </c>
      <c r="J224" s="5">
        <f>IF(I224="","",I224+6)</f>
        <v/>
      </c>
      <c r="K224" s="6">
        <f>IF(OR(A224="",B224=""),"",DATE(YEAR(B224),MONTH(B224),1))</f>
        <v/>
      </c>
      <c r="L224" s="7">
        <f>IF(COUNTA(A224,B224)=0,"",IF(OR(A224="",B224=""),"Preencher CPF e entrada",IF(COUNTIFS($A$12:$A$5011,A224,$B$12:$B$5011,B224)&gt;1,"CPF + dia duplicado",IF(OR(AND(E224&lt;&gt;"",E224&lt;B224),AND(F224&lt;&gt;"",F224&lt;B224)),"Evento anterior à entrada",IF(AND(F224&lt;&gt;"",E224=""),"Conversa sem agendamento",IF(OR(E224&gt;TODAY(),F224&gt;TODAY()),"Verificar evento futuro","OK"))))))</f>
        <v/>
      </c>
    </row>
    <row r="225" spans="9:12">
      <c r="I225" s="5">
        <f>IF(OR(A225="",B225=""),"",B225-WEEKDAY(B225,2)+1)</f>
        <v/>
      </c>
      <c r="J225" s="5">
        <f>IF(I225="","",I225+6)</f>
        <v/>
      </c>
      <c r="K225" s="6">
        <f>IF(OR(A225="",B225=""),"",DATE(YEAR(B225),MONTH(B225),1))</f>
        <v/>
      </c>
      <c r="L225" s="7">
        <f>IF(COUNTA(A225,B225)=0,"",IF(OR(A225="",B225=""),"Preencher CPF e entrada",IF(COUNTIFS($A$12:$A$5011,A225,$B$12:$B$5011,B225)&gt;1,"CPF + dia duplicado",IF(OR(AND(E225&lt;&gt;"",E225&lt;B225),AND(F225&lt;&gt;"",F225&lt;B225)),"Evento anterior à entrada",IF(AND(F225&lt;&gt;"",E225=""),"Conversa sem agendamento",IF(OR(E225&gt;TODAY(),F225&gt;TODAY()),"Verificar evento futuro","OK"))))))</f>
        <v/>
      </c>
    </row>
    <row r="226" spans="9:12">
      <c r="I226" s="5">
        <f>IF(OR(A226="",B226=""),"",B226-WEEKDAY(B226,2)+1)</f>
        <v/>
      </c>
      <c r="J226" s="5">
        <f>IF(I226="","",I226+6)</f>
        <v/>
      </c>
      <c r="K226" s="6">
        <f>IF(OR(A226="",B226=""),"",DATE(YEAR(B226),MONTH(B226),1))</f>
        <v/>
      </c>
      <c r="L226" s="7">
        <f>IF(COUNTA(A226,B226)=0,"",IF(OR(A226="",B226=""),"Preencher CPF e entrada",IF(COUNTIFS($A$12:$A$5011,A226,$B$12:$B$5011,B226)&gt;1,"CPF + dia duplicado",IF(OR(AND(E226&lt;&gt;"",E226&lt;B226),AND(F226&lt;&gt;"",F226&lt;B226)),"Evento anterior à entrada",IF(AND(F226&lt;&gt;"",E226=""),"Conversa sem agendamento",IF(OR(E226&gt;TODAY(),F226&gt;TODAY()),"Verificar evento futuro","OK"))))))</f>
        <v/>
      </c>
    </row>
    <row r="227" spans="9:12">
      <c r="I227" s="5">
        <f>IF(OR(A227="",B227=""),"",B227-WEEKDAY(B227,2)+1)</f>
        <v/>
      </c>
      <c r="J227" s="5">
        <f>IF(I227="","",I227+6)</f>
        <v/>
      </c>
      <c r="K227" s="6">
        <f>IF(OR(A227="",B227=""),"",DATE(YEAR(B227),MONTH(B227),1))</f>
        <v/>
      </c>
      <c r="L227" s="7">
        <f>IF(COUNTA(A227,B227)=0,"",IF(OR(A227="",B227=""),"Preencher CPF e entrada",IF(COUNTIFS($A$12:$A$5011,A227,$B$12:$B$5011,B227)&gt;1,"CPF + dia duplicado",IF(OR(AND(E227&lt;&gt;"",E227&lt;B227),AND(F227&lt;&gt;"",F227&lt;B227)),"Evento anterior à entrada",IF(AND(F227&lt;&gt;"",E227=""),"Conversa sem agendamento",IF(OR(E227&gt;TODAY(),F227&gt;TODAY()),"Verificar evento futuro","OK"))))))</f>
        <v/>
      </c>
    </row>
    <row r="228" spans="9:12">
      <c r="I228" s="5">
        <f>IF(OR(A228="",B228=""),"",B228-WEEKDAY(B228,2)+1)</f>
        <v/>
      </c>
      <c r="J228" s="5">
        <f>IF(I228="","",I228+6)</f>
        <v/>
      </c>
      <c r="K228" s="6">
        <f>IF(OR(A228="",B228=""),"",DATE(YEAR(B228),MONTH(B228),1))</f>
        <v/>
      </c>
      <c r="L228" s="7">
        <f>IF(COUNTA(A228,B228)=0,"",IF(OR(A228="",B228=""),"Preencher CPF e entrada",IF(COUNTIFS($A$12:$A$5011,A228,$B$12:$B$5011,B228)&gt;1,"CPF + dia duplicado",IF(OR(AND(E228&lt;&gt;"",E228&lt;B228),AND(F228&lt;&gt;"",F228&lt;B228)),"Evento anterior à entrada",IF(AND(F228&lt;&gt;"",E228=""),"Conversa sem agendamento",IF(OR(E228&gt;TODAY(),F228&gt;TODAY()),"Verificar evento futuro","OK"))))))</f>
        <v/>
      </c>
    </row>
    <row r="229" spans="9:12">
      <c r="I229" s="5">
        <f>IF(OR(A229="",B229=""),"",B229-WEEKDAY(B229,2)+1)</f>
        <v/>
      </c>
      <c r="J229" s="5">
        <f>IF(I229="","",I229+6)</f>
        <v/>
      </c>
      <c r="K229" s="6">
        <f>IF(OR(A229="",B229=""),"",DATE(YEAR(B229),MONTH(B229),1))</f>
        <v/>
      </c>
      <c r="L229" s="7">
        <f>IF(COUNTA(A229,B229)=0,"",IF(OR(A229="",B229=""),"Preencher CPF e entrada",IF(COUNTIFS($A$12:$A$5011,A229,$B$12:$B$5011,B229)&gt;1,"CPF + dia duplicado",IF(OR(AND(E229&lt;&gt;"",E229&lt;B229),AND(F229&lt;&gt;"",F229&lt;B229)),"Evento anterior à entrada",IF(AND(F229&lt;&gt;"",E229=""),"Conversa sem agendamento",IF(OR(E229&gt;TODAY(),F229&gt;TODAY()),"Verificar evento futuro","OK"))))))</f>
        <v/>
      </c>
    </row>
    <row r="230" spans="9:12">
      <c r="I230" s="5">
        <f>IF(OR(A230="",B230=""),"",B230-WEEKDAY(B230,2)+1)</f>
        <v/>
      </c>
      <c r="J230" s="5">
        <f>IF(I230="","",I230+6)</f>
        <v/>
      </c>
      <c r="K230" s="6">
        <f>IF(OR(A230="",B230=""),"",DATE(YEAR(B230),MONTH(B230),1))</f>
        <v/>
      </c>
      <c r="L230" s="7">
        <f>IF(COUNTA(A230,B230)=0,"",IF(OR(A230="",B230=""),"Preencher CPF e entrada",IF(COUNTIFS($A$12:$A$5011,A230,$B$12:$B$5011,B230)&gt;1,"CPF + dia duplicado",IF(OR(AND(E230&lt;&gt;"",E230&lt;B230),AND(F230&lt;&gt;"",F230&lt;B230)),"Evento anterior à entrada",IF(AND(F230&lt;&gt;"",E230=""),"Conversa sem agendamento",IF(OR(E230&gt;TODAY(),F230&gt;TODAY()),"Verificar evento futuro","OK"))))))</f>
        <v/>
      </c>
    </row>
    <row r="231" spans="9:12">
      <c r="I231" s="5">
        <f>IF(OR(A231="",B231=""),"",B231-WEEKDAY(B231,2)+1)</f>
        <v/>
      </c>
      <c r="J231" s="5">
        <f>IF(I231="","",I231+6)</f>
        <v/>
      </c>
      <c r="K231" s="6">
        <f>IF(OR(A231="",B231=""),"",DATE(YEAR(B231),MONTH(B231),1))</f>
        <v/>
      </c>
      <c r="L231" s="7">
        <f>IF(COUNTA(A231,B231)=0,"",IF(OR(A231="",B231=""),"Preencher CPF e entrada",IF(COUNTIFS($A$12:$A$5011,A231,$B$12:$B$5011,B231)&gt;1,"CPF + dia duplicado",IF(OR(AND(E231&lt;&gt;"",E231&lt;B231),AND(F231&lt;&gt;"",F231&lt;B231)),"Evento anterior à entrada",IF(AND(F231&lt;&gt;"",E231=""),"Conversa sem agendamento",IF(OR(E231&gt;TODAY(),F231&gt;TODAY()),"Verificar evento futuro","OK"))))))</f>
        <v/>
      </c>
    </row>
    <row r="232" spans="9:12">
      <c r="I232" s="5">
        <f>IF(OR(A232="",B232=""),"",B232-WEEKDAY(B232,2)+1)</f>
        <v/>
      </c>
      <c r="J232" s="5">
        <f>IF(I232="","",I232+6)</f>
        <v/>
      </c>
      <c r="K232" s="6">
        <f>IF(OR(A232="",B232=""),"",DATE(YEAR(B232),MONTH(B232),1))</f>
        <v/>
      </c>
      <c r="L232" s="7">
        <f>IF(COUNTA(A232,B232)=0,"",IF(OR(A232="",B232=""),"Preencher CPF e entrada",IF(COUNTIFS($A$12:$A$5011,A232,$B$12:$B$5011,B232)&gt;1,"CPF + dia duplicado",IF(OR(AND(E232&lt;&gt;"",E232&lt;B232),AND(F232&lt;&gt;"",F232&lt;B232)),"Evento anterior à entrada",IF(AND(F232&lt;&gt;"",E232=""),"Conversa sem agendamento",IF(OR(E232&gt;TODAY(),F232&gt;TODAY()),"Verificar evento futuro","OK"))))))</f>
        <v/>
      </c>
    </row>
    <row r="233" spans="9:12">
      <c r="I233" s="5">
        <f>IF(OR(A233="",B233=""),"",B233-WEEKDAY(B233,2)+1)</f>
        <v/>
      </c>
      <c r="J233" s="5">
        <f>IF(I233="","",I233+6)</f>
        <v/>
      </c>
      <c r="K233" s="6">
        <f>IF(OR(A233="",B233=""),"",DATE(YEAR(B233),MONTH(B233),1))</f>
        <v/>
      </c>
      <c r="L233" s="7">
        <f>IF(COUNTA(A233,B233)=0,"",IF(OR(A233="",B233=""),"Preencher CPF e entrada",IF(COUNTIFS($A$12:$A$5011,A233,$B$12:$B$5011,B233)&gt;1,"CPF + dia duplicado",IF(OR(AND(E233&lt;&gt;"",E233&lt;B233),AND(F233&lt;&gt;"",F233&lt;B233)),"Evento anterior à entrada",IF(AND(F233&lt;&gt;"",E233=""),"Conversa sem agendamento",IF(OR(E233&gt;TODAY(),F233&gt;TODAY()),"Verificar evento futuro","OK"))))))</f>
        <v/>
      </c>
    </row>
    <row r="234" spans="9:12">
      <c r="I234" s="5">
        <f>IF(OR(A234="",B234=""),"",B234-WEEKDAY(B234,2)+1)</f>
        <v/>
      </c>
      <c r="J234" s="5">
        <f>IF(I234="","",I234+6)</f>
        <v/>
      </c>
      <c r="K234" s="6">
        <f>IF(OR(A234="",B234=""),"",DATE(YEAR(B234),MONTH(B234),1))</f>
        <v/>
      </c>
      <c r="L234" s="7">
        <f>IF(COUNTA(A234,B234)=0,"",IF(OR(A234="",B234=""),"Preencher CPF e entrada",IF(COUNTIFS($A$12:$A$5011,A234,$B$12:$B$5011,B234)&gt;1,"CPF + dia duplicado",IF(OR(AND(E234&lt;&gt;"",E234&lt;B234),AND(F234&lt;&gt;"",F234&lt;B234)),"Evento anterior à entrada",IF(AND(F234&lt;&gt;"",E234=""),"Conversa sem agendamento",IF(OR(E234&gt;TODAY(),F234&gt;TODAY()),"Verificar evento futuro","OK"))))))</f>
        <v/>
      </c>
    </row>
    <row r="235" spans="9:12">
      <c r="I235" s="5">
        <f>IF(OR(A235="",B235=""),"",B235-WEEKDAY(B235,2)+1)</f>
        <v/>
      </c>
      <c r="J235" s="5">
        <f>IF(I235="","",I235+6)</f>
        <v/>
      </c>
      <c r="K235" s="6">
        <f>IF(OR(A235="",B235=""),"",DATE(YEAR(B235),MONTH(B235),1))</f>
        <v/>
      </c>
      <c r="L235" s="7">
        <f>IF(COUNTA(A235,B235)=0,"",IF(OR(A235="",B235=""),"Preencher CPF e entrada",IF(COUNTIFS($A$12:$A$5011,A235,$B$12:$B$5011,B235)&gt;1,"CPF + dia duplicado",IF(OR(AND(E235&lt;&gt;"",E235&lt;B235),AND(F235&lt;&gt;"",F235&lt;B235)),"Evento anterior à entrada",IF(AND(F235&lt;&gt;"",E235=""),"Conversa sem agendamento",IF(OR(E235&gt;TODAY(),F235&gt;TODAY()),"Verificar evento futuro","OK"))))))</f>
        <v/>
      </c>
    </row>
    <row r="236" spans="9:12">
      <c r="I236" s="5">
        <f>IF(OR(A236="",B236=""),"",B236-WEEKDAY(B236,2)+1)</f>
        <v/>
      </c>
      <c r="J236" s="5">
        <f>IF(I236="","",I236+6)</f>
        <v/>
      </c>
      <c r="K236" s="6">
        <f>IF(OR(A236="",B236=""),"",DATE(YEAR(B236),MONTH(B236),1))</f>
        <v/>
      </c>
      <c r="L236" s="7">
        <f>IF(COUNTA(A236,B236)=0,"",IF(OR(A236="",B236=""),"Preencher CPF e entrada",IF(COUNTIFS($A$12:$A$5011,A236,$B$12:$B$5011,B236)&gt;1,"CPF + dia duplicado",IF(OR(AND(E236&lt;&gt;"",E236&lt;B236),AND(F236&lt;&gt;"",F236&lt;B236)),"Evento anterior à entrada",IF(AND(F236&lt;&gt;"",E236=""),"Conversa sem agendamento",IF(OR(E236&gt;TODAY(),F236&gt;TODAY()),"Verificar evento futuro","OK"))))))</f>
        <v/>
      </c>
    </row>
    <row r="237" spans="9:12">
      <c r="I237" s="5">
        <f>IF(OR(A237="",B237=""),"",B237-WEEKDAY(B237,2)+1)</f>
        <v/>
      </c>
      <c r="J237" s="5">
        <f>IF(I237="","",I237+6)</f>
        <v/>
      </c>
      <c r="K237" s="6">
        <f>IF(OR(A237="",B237=""),"",DATE(YEAR(B237),MONTH(B237),1))</f>
        <v/>
      </c>
      <c r="L237" s="7">
        <f>IF(COUNTA(A237,B237)=0,"",IF(OR(A237="",B237=""),"Preencher CPF e entrada",IF(COUNTIFS($A$12:$A$5011,A237,$B$12:$B$5011,B237)&gt;1,"CPF + dia duplicado",IF(OR(AND(E237&lt;&gt;"",E237&lt;B237),AND(F237&lt;&gt;"",F237&lt;B237)),"Evento anterior à entrada",IF(AND(F237&lt;&gt;"",E237=""),"Conversa sem agendamento",IF(OR(E237&gt;TODAY(),F237&gt;TODAY()),"Verificar evento futuro","OK"))))))</f>
        <v/>
      </c>
    </row>
    <row r="238" spans="9:12">
      <c r="I238" s="5">
        <f>IF(OR(A238="",B238=""),"",B238-WEEKDAY(B238,2)+1)</f>
        <v/>
      </c>
      <c r="J238" s="5">
        <f>IF(I238="","",I238+6)</f>
        <v/>
      </c>
      <c r="K238" s="6">
        <f>IF(OR(A238="",B238=""),"",DATE(YEAR(B238),MONTH(B238),1))</f>
        <v/>
      </c>
      <c r="L238" s="7">
        <f>IF(COUNTA(A238,B238)=0,"",IF(OR(A238="",B238=""),"Preencher CPF e entrada",IF(COUNTIFS($A$12:$A$5011,A238,$B$12:$B$5011,B238)&gt;1,"CPF + dia duplicado",IF(OR(AND(E238&lt;&gt;"",E238&lt;B238),AND(F238&lt;&gt;"",F238&lt;B238)),"Evento anterior à entrada",IF(AND(F238&lt;&gt;"",E238=""),"Conversa sem agendamento",IF(OR(E238&gt;TODAY(),F238&gt;TODAY()),"Verificar evento futuro","OK"))))))</f>
        <v/>
      </c>
    </row>
    <row r="239" spans="9:12">
      <c r="I239" s="5">
        <f>IF(OR(A239="",B239=""),"",B239-WEEKDAY(B239,2)+1)</f>
        <v/>
      </c>
      <c r="J239" s="5">
        <f>IF(I239="","",I239+6)</f>
        <v/>
      </c>
      <c r="K239" s="6">
        <f>IF(OR(A239="",B239=""),"",DATE(YEAR(B239),MONTH(B239),1))</f>
        <v/>
      </c>
      <c r="L239" s="7">
        <f>IF(COUNTA(A239,B239)=0,"",IF(OR(A239="",B239=""),"Preencher CPF e entrada",IF(COUNTIFS($A$12:$A$5011,A239,$B$12:$B$5011,B239)&gt;1,"CPF + dia duplicado",IF(OR(AND(E239&lt;&gt;"",E239&lt;B239),AND(F239&lt;&gt;"",F239&lt;B239)),"Evento anterior à entrada",IF(AND(F239&lt;&gt;"",E239=""),"Conversa sem agendamento",IF(OR(E239&gt;TODAY(),F239&gt;TODAY()),"Verificar evento futuro","OK"))))))</f>
        <v/>
      </c>
    </row>
    <row r="240" spans="9:12">
      <c r="I240" s="5">
        <f>IF(OR(A240="",B240=""),"",B240-WEEKDAY(B240,2)+1)</f>
        <v/>
      </c>
      <c r="J240" s="5">
        <f>IF(I240="","",I240+6)</f>
        <v/>
      </c>
      <c r="K240" s="6">
        <f>IF(OR(A240="",B240=""),"",DATE(YEAR(B240),MONTH(B240),1))</f>
        <v/>
      </c>
      <c r="L240" s="7">
        <f>IF(COUNTA(A240,B240)=0,"",IF(OR(A240="",B240=""),"Preencher CPF e entrada",IF(COUNTIFS($A$12:$A$5011,A240,$B$12:$B$5011,B240)&gt;1,"CPF + dia duplicado",IF(OR(AND(E240&lt;&gt;"",E240&lt;B240),AND(F240&lt;&gt;"",F240&lt;B240)),"Evento anterior à entrada",IF(AND(F240&lt;&gt;"",E240=""),"Conversa sem agendamento",IF(OR(E240&gt;TODAY(),F240&gt;TODAY()),"Verificar evento futuro","OK"))))))</f>
        <v/>
      </c>
    </row>
    <row r="241" spans="9:12">
      <c r="I241" s="5">
        <f>IF(OR(A241="",B241=""),"",B241-WEEKDAY(B241,2)+1)</f>
        <v/>
      </c>
      <c r="J241" s="5">
        <f>IF(I241="","",I241+6)</f>
        <v/>
      </c>
      <c r="K241" s="6">
        <f>IF(OR(A241="",B241=""),"",DATE(YEAR(B241),MONTH(B241),1))</f>
        <v/>
      </c>
      <c r="L241" s="7">
        <f>IF(COUNTA(A241,B241)=0,"",IF(OR(A241="",B241=""),"Preencher CPF e entrada",IF(COUNTIFS($A$12:$A$5011,A241,$B$12:$B$5011,B241)&gt;1,"CPF + dia duplicado",IF(OR(AND(E241&lt;&gt;"",E241&lt;B241),AND(F241&lt;&gt;"",F241&lt;B241)),"Evento anterior à entrada",IF(AND(F241&lt;&gt;"",E241=""),"Conversa sem agendamento",IF(OR(E241&gt;TODAY(),F241&gt;TODAY()),"Verificar evento futuro","OK"))))))</f>
        <v/>
      </c>
    </row>
    <row r="242" spans="9:12">
      <c r="I242" s="5">
        <f>IF(OR(A242="",B242=""),"",B242-WEEKDAY(B242,2)+1)</f>
        <v/>
      </c>
      <c r="J242" s="5">
        <f>IF(I242="","",I242+6)</f>
        <v/>
      </c>
      <c r="K242" s="6">
        <f>IF(OR(A242="",B242=""),"",DATE(YEAR(B242),MONTH(B242),1))</f>
        <v/>
      </c>
      <c r="L242" s="7">
        <f>IF(COUNTA(A242,B242)=0,"",IF(OR(A242="",B242=""),"Preencher CPF e entrada",IF(COUNTIFS($A$12:$A$5011,A242,$B$12:$B$5011,B242)&gt;1,"CPF + dia duplicado",IF(OR(AND(E242&lt;&gt;"",E242&lt;B242),AND(F242&lt;&gt;"",F242&lt;B242)),"Evento anterior à entrada",IF(AND(F242&lt;&gt;"",E242=""),"Conversa sem agendamento",IF(OR(E242&gt;TODAY(),F242&gt;TODAY()),"Verificar evento futuro","OK"))))))</f>
        <v/>
      </c>
    </row>
    <row r="243" spans="9:12">
      <c r="I243" s="5">
        <f>IF(OR(A243="",B243=""),"",B243-WEEKDAY(B243,2)+1)</f>
        <v/>
      </c>
      <c r="J243" s="5">
        <f>IF(I243="","",I243+6)</f>
        <v/>
      </c>
      <c r="K243" s="6">
        <f>IF(OR(A243="",B243=""),"",DATE(YEAR(B243),MONTH(B243),1))</f>
        <v/>
      </c>
      <c r="L243" s="7">
        <f>IF(COUNTA(A243,B243)=0,"",IF(OR(A243="",B243=""),"Preencher CPF e entrada",IF(COUNTIFS($A$12:$A$5011,A243,$B$12:$B$5011,B243)&gt;1,"CPF + dia duplicado",IF(OR(AND(E243&lt;&gt;"",E243&lt;B243),AND(F243&lt;&gt;"",F243&lt;B243)),"Evento anterior à entrada",IF(AND(F243&lt;&gt;"",E243=""),"Conversa sem agendamento",IF(OR(E243&gt;TODAY(),F243&gt;TODAY()),"Verificar evento futuro","OK"))))))</f>
        <v/>
      </c>
    </row>
    <row r="244" spans="9:12">
      <c r="I244" s="5">
        <f>IF(OR(A244="",B244=""),"",B244-WEEKDAY(B244,2)+1)</f>
        <v/>
      </c>
      <c r="J244" s="5">
        <f>IF(I244="","",I244+6)</f>
        <v/>
      </c>
      <c r="K244" s="6">
        <f>IF(OR(A244="",B244=""),"",DATE(YEAR(B244),MONTH(B244),1))</f>
        <v/>
      </c>
      <c r="L244" s="7">
        <f>IF(COUNTA(A244,B244)=0,"",IF(OR(A244="",B244=""),"Preencher CPF e entrada",IF(COUNTIFS($A$12:$A$5011,A244,$B$12:$B$5011,B244)&gt;1,"CPF + dia duplicado",IF(OR(AND(E244&lt;&gt;"",E244&lt;B244),AND(F244&lt;&gt;"",F244&lt;B244)),"Evento anterior à entrada",IF(AND(F244&lt;&gt;"",E244=""),"Conversa sem agendamento",IF(OR(E244&gt;TODAY(),F244&gt;TODAY()),"Verificar evento futuro","OK"))))))</f>
        <v/>
      </c>
    </row>
    <row r="245" spans="9:12">
      <c r="I245" s="5">
        <f>IF(OR(A245="",B245=""),"",B245-WEEKDAY(B245,2)+1)</f>
        <v/>
      </c>
      <c r="J245" s="5">
        <f>IF(I245="","",I245+6)</f>
        <v/>
      </c>
      <c r="K245" s="6">
        <f>IF(OR(A245="",B245=""),"",DATE(YEAR(B245),MONTH(B245),1))</f>
        <v/>
      </c>
      <c r="L245" s="7">
        <f>IF(COUNTA(A245,B245)=0,"",IF(OR(A245="",B245=""),"Preencher CPF e entrada",IF(COUNTIFS($A$12:$A$5011,A245,$B$12:$B$5011,B245)&gt;1,"CPF + dia duplicado",IF(OR(AND(E245&lt;&gt;"",E245&lt;B245),AND(F245&lt;&gt;"",F245&lt;B245)),"Evento anterior à entrada",IF(AND(F245&lt;&gt;"",E245=""),"Conversa sem agendamento",IF(OR(E245&gt;TODAY(),F245&gt;TODAY()),"Verificar evento futuro","OK"))))))</f>
        <v/>
      </c>
    </row>
    <row r="246" spans="9:12">
      <c r="I246" s="5">
        <f>IF(OR(A246="",B246=""),"",B246-WEEKDAY(B246,2)+1)</f>
        <v/>
      </c>
      <c r="J246" s="5">
        <f>IF(I246="","",I246+6)</f>
        <v/>
      </c>
      <c r="K246" s="6">
        <f>IF(OR(A246="",B246=""),"",DATE(YEAR(B246),MONTH(B246),1))</f>
        <v/>
      </c>
      <c r="L246" s="7">
        <f>IF(COUNTA(A246,B246)=0,"",IF(OR(A246="",B246=""),"Preencher CPF e entrada",IF(COUNTIFS($A$12:$A$5011,A246,$B$12:$B$5011,B246)&gt;1,"CPF + dia duplicado",IF(OR(AND(E246&lt;&gt;"",E246&lt;B246),AND(F246&lt;&gt;"",F246&lt;B246)),"Evento anterior à entrada",IF(AND(F246&lt;&gt;"",E246=""),"Conversa sem agendamento",IF(OR(E246&gt;TODAY(),F246&gt;TODAY()),"Verificar evento futuro","OK"))))))</f>
        <v/>
      </c>
    </row>
    <row r="247" spans="9:12">
      <c r="I247" s="5">
        <f>IF(OR(A247="",B247=""),"",B247-WEEKDAY(B247,2)+1)</f>
        <v/>
      </c>
      <c r="J247" s="5">
        <f>IF(I247="","",I247+6)</f>
        <v/>
      </c>
      <c r="K247" s="6">
        <f>IF(OR(A247="",B247=""),"",DATE(YEAR(B247),MONTH(B247),1))</f>
        <v/>
      </c>
      <c r="L247" s="7">
        <f>IF(COUNTA(A247,B247)=0,"",IF(OR(A247="",B247=""),"Preencher CPF e entrada",IF(COUNTIFS($A$12:$A$5011,A247,$B$12:$B$5011,B247)&gt;1,"CPF + dia duplicado",IF(OR(AND(E247&lt;&gt;"",E247&lt;B247),AND(F247&lt;&gt;"",F247&lt;B247)),"Evento anterior à entrada",IF(AND(F247&lt;&gt;"",E247=""),"Conversa sem agendamento",IF(OR(E247&gt;TODAY(),F247&gt;TODAY()),"Verificar evento futuro","OK"))))))</f>
        <v/>
      </c>
    </row>
    <row r="248" spans="9:12">
      <c r="I248" s="5">
        <f>IF(OR(A248="",B248=""),"",B248-WEEKDAY(B248,2)+1)</f>
        <v/>
      </c>
      <c r="J248" s="5">
        <f>IF(I248="","",I248+6)</f>
        <v/>
      </c>
      <c r="K248" s="6">
        <f>IF(OR(A248="",B248=""),"",DATE(YEAR(B248),MONTH(B248),1))</f>
        <v/>
      </c>
      <c r="L248" s="7">
        <f>IF(COUNTA(A248,B248)=0,"",IF(OR(A248="",B248=""),"Preencher CPF e entrada",IF(COUNTIFS($A$12:$A$5011,A248,$B$12:$B$5011,B248)&gt;1,"CPF + dia duplicado",IF(OR(AND(E248&lt;&gt;"",E248&lt;B248),AND(F248&lt;&gt;"",F248&lt;B248)),"Evento anterior à entrada",IF(AND(F248&lt;&gt;"",E248=""),"Conversa sem agendamento",IF(OR(E248&gt;TODAY(),F248&gt;TODAY()),"Verificar evento futuro","OK"))))))</f>
        <v/>
      </c>
    </row>
    <row r="249" spans="9:12">
      <c r="I249" s="5">
        <f>IF(OR(A249="",B249=""),"",B249-WEEKDAY(B249,2)+1)</f>
        <v/>
      </c>
      <c r="J249" s="5">
        <f>IF(I249="","",I249+6)</f>
        <v/>
      </c>
      <c r="K249" s="6">
        <f>IF(OR(A249="",B249=""),"",DATE(YEAR(B249),MONTH(B249),1))</f>
        <v/>
      </c>
      <c r="L249" s="7">
        <f>IF(COUNTA(A249,B249)=0,"",IF(OR(A249="",B249=""),"Preencher CPF e entrada",IF(COUNTIFS($A$12:$A$5011,A249,$B$12:$B$5011,B249)&gt;1,"CPF + dia duplicado",IF(OR(AND(E249&lt;&gt;"",E249&lt;B249),AND(F249&lt;&gt;"",F249&lt;B249)),"Evento anterior à entrada",IF(AND(F249&lt;&gt;"",E249=""),"Conversa sem agendamento",IF(OR(E249&gt;TODAY(),F249&gt;TODAY()),"Verificar evento futuro","OK"))))))</f>
        <v/>
      </c>
    </row>
    <row r="250" spans="9:12">
      <c r="I250" s="5">
        <f>IF(OR(A250="",B250=""),"",B250-WEEKDAY(B250,2)+1)</f>
        <v/>
      </c>
      <c r="J250" s="5">
        <f>IF(I250="","",I250+6)</f>
        <v/>
      </c>
      <c r="K250" s="6">
        <f>IF(OR(A250="",B250=""),"",DATE(YEAR(B250),MONTH(B250),1))</f>
        <v/>
      </c>
      <c r="L250" s="7">
        <f>IF(COUNTA(A250,B250)=0,"",IF(OR(A250="",B250=""),"Preencher CPF e entrada",IF(COUNTIFS($A$12:$A$5011,A250,$B$12:$B$5011,B250)&gt;1,"CPF + dia duplicado",IF(OR(AND(E250&lt;&gt;"",E250&lt;B250),AND(F250&lt;&gt;"",F250&lt;B250)),"Evento anterior à entrada",IF(AND(F250&lt;&gt;"",E250=""),"Conversa sem agendamento",IF(OR(E250&gt;TODAY(),F250&gt;TODAY()),"Verificar evento futuro","OK"))))))</f>
        <v/>
      </c>
    </row>
    <row r="251" spans="9:12">
      <c r="I251" s="5">
        <f>IF(OR(A251="",B251=""),"",B251-WEEKDAY(B251,2)+1)</f>
        <v/>
      </c>
      <c r="J251" s="5">
        <f>IF(I251="","",I251+6)</f>
        <v/>
      </c>
      <c r="K251" s="6">
        <f>IF(OR(A251="",B251=""),"",DATE(YEAR(B251),MONTH(B251),1))</f>
        <v/>
      </c>
      <c r="L251" s="7">
        <f>IF(COUNTA(A251,B251)=0,"",IF(OR(A251="",B251=""),"Preencher CPF e entrada",IF(COUNTIFS($A$12:$A$5011,A251,$B$12:$B$5011,B251)&gt;1,"CPF + dia duplicado",IF(OR(AND(E251&lt;&gt;"",E251&lt;B251),AND(F251&lt;&gt;"",F251&lt;B251)),"Evento anterior à entrada",IF(AND(F251&lt;&gt;"",E251=""),"Conversa sem agendamento",IF(OR(E251&gt;TODAY(),F251&gt;TODAY()),"Verificar evento futuro","OK"))))))</f>
        <v/>
      </c>
    </row>
    <row r="252" spans="9:12">
      <c r="I252" s="5">
        <f>IF(OR(A252="",B252=""),"",B252-WEEKDAY(B252,2)+1)</f>
        <v/>
      </c>
      <c r="J252" s="5">
        <f>IF(I252="","",I252+6)</f>
        <v/>
      </c>
      <c r="K252" s="6">
        <f>IF(OR(A252="",B252=""),"",DATE(YEAR(B252),MONTH(B252),1))</f>
        <v/>
      </c>
      <c r="L252" s="7">
        <f>IF(COUNTA(A252,B252)=0,"",IF(OR(A252="",B252=""),"Preencher CPF e entrada",IF(COUNTIFS($A$12:$A$5011,A252,$B$12:$B$5011,B252)&gt;1,"CPF + dia duplicado",IF(OR(AND(E252&lt;&gt;"",E252&lt;B252),AND(F252&lt;&gt;"",F252&lt;B252)),"Evento anterior à entrada",IF(AND(F252&lt;&gt;"",E252=""),"Conversa sem agendamento",IF(OR(E252&gt;TODAY(),F252&gt;TODAY()),"Verificar evento futuro","OK"))))))</f>
        <v/>
      </c>
    </row>
    <row r="253" spans="9:12">
      <c r="I253" s="5">
        <f>IF(OR(A253="",B253=""),"",B253-WEEKDAY(B253,2)+1)</f>
        <v/>
      </c>
      <c r="J253" s="5">
        <f>IF(I253="","",I253+6)</f>
        <v/>
      </c>
      <c r="K253" s="6">
        <f>IF(OR(A253="",B253=""),"",DATE(YEAR(B253),MONTH(B253),1))</f>
        <v/>
      </c>
      <c r="L253" s="7">
        <f>IF(COUNTA(A253,B253)=0,"",IF(OR(A253="",B253=""),"Preencher CPF e entrada",IF(COUNTIFS($A$12:$A$5011,A253,$B$12:$B$5011,B253)&gt;1,"CPF + dia duplicado",IF(OR(AND(E253&lt;&gt;"",E253&lt;B253),AND(F253&lt;&gt;"",F253&lt;B253)),"Evento anterior à entrada",IF(AND(F253&lt;&gt;"",E253=""),"Conversa sem agendamento",IF(OR(E253&gt;TODAY(),F253&gt;TODAY()),"Verificar evento futuro","OK"))))))</f>
        <v/>
      </c>
    </row>
    <row r="254" spans="9:12">
      <c r="I254" s="5">
        <f>IF(OR(A254="",B254=""),"",B254-WEEKDAY(B254,2)+1)</f>
        <v/>
      </c>
      <c r="J254" s="5">
        <f>IF(I254="","",I254+6)</f>
        <v/>
      </c>
      <c r="K254" s="6">
        <f>IF(OR(A254="",B254=""),"",DATE(YEAR(B254),MONTH(B254),1))</f>
        <v/>
      </c>
      <c r="L254" s="7">
        <f>IF(COUNTA(A254,B254)=0,"",IF(OR(A254="",B254=""),"Preencher CPF e entrada",IF(COUNTIFS($A$12:$A$5011,A254,$B$12:$B$5011,B254)&gt;1,"CPF + dia duplicado",IF(OR(AND(E254&lt;&gt;"",E254&lt;B254),AND(F254&lt;&gt;"",F254&lt;B254)),"Evento anterior à entrada",IF(AND(F254&lt;&gt;"",E254=""),"Conversa sem agendamento",IF(OR(E254&gt;TODAY(),F254&gt;TODAY()),"Verificar evento futuro","OK"))))))</f>
        <v/>
      </c>
    </row>
    <row r="255" spans="9:12">
      <c r="I255" s="5">
        <f>IF(OR(A255="",B255=""),"",B255-WEEKDAY(B255,2)+1)</f>
        <v/>
      </c>
      <c r="J255" s="5">
        <f>IF(I255="","",I255+6)</f>
        <v/>
      </c>
      <c r="K255" s="6">
        <f>IF(OR(A255="",B255=""),"",DATE(YEAR(B255),MONTH(B255),1))</f>
        <v/>
      </c>
      <c r="L255" s="7">
        <f>IF(COUNTA(A255,B255)=0,"",IF(OR(A255="",B255=""),"Preencher CPF e entrada",IF(COUNTIFS($A$12:$A$5011,A255,$B$12:$B$5011,B255)&gt;1,"CPF + dia duplicado",IF(OR(AND(E255&lt;&gt;"",E255&lt;B255),AND(F255&lt;&gt;"",F255&lt;B255)),"Evento anterior à entrada",IF(AND(F255&lt;&gt;"",E255=""),"Conversa sem agendamento",IF(OR(E255&gt;TODAY(),F255&gt;TODAY()),"Verificar evento futuro","OK"))))))</f>
        <v/>
      </c>
    </row>
    <row r="256" spans="9:12">
      <c r="I256" s="5">
        <f>IF(OR(A256="",B256=""),"",B256-WEEKDAY(B256,2)+1)</f>
        <v/>
      </c>
      <c r="J256" s="5">
        <f>IF(I256="","",I256+6)</f>
        <v/>
      </c>
      <c r="K256" s="6">
        <f>IF(OR(A256="",B256=""),"",DATE(YEAR(B256),MONTH(B256),1))</f>
        <v/>
      </c>
      <c r="L256" s="7">
        <f>IF(COUNTA(A256,B256)=0,"",IF(OR(A256="",B256=""),"Preencher CPF e entrada",IF(COUNTIFS($A$12:$A$5011,A256,$B$12:$B$5011,B256)&gt;1,"CPF + dia duplicado",IF(OR(AND(E256&lt;&gt;"",E256&lt;B256),AND(F256&lt;&gt;"",F256&lt;B256)),"Evento anterior à entrada",IF(AND(F256&lt;&gt;"",E256=""),"Conversa sem agendamento",IF(OR(E256&gt;TODAY(),F256&gt;TODAY()),"Verificar evento futuro","OK"))))))</f>
        <v/>
      </c>
    </row>
    <row r="257" spans="9:12">
      <c r="I257" s="5">
        <f>IF(OR(A257="",B257=""),"",B257-WEEKDAY(B257,2)+1)</f>
        <v/>
      </c>
      <c r="J257" s="5">
        <f>IF(I257="","",I257+6)</f>
        <v/>
      </c>
      <c r="K257" s="6">
        <f>IF(OR(A257="",B257=""),"",DATE(YEAR(B257),MONTH(B257),1))</f>
        <v/>
      </c>
      <c r="L257" s="7">
        <f>IF(COUNTA(A257,B257)=0,"",IF(OR(A257="",B257=""),"Preencher CPF e entrada",IF(COUNTIFS($A$12:$A$5011,A257,$B$12:$B$5011,B257)&gt;1,"CPF + dia duplicado",IF(OR(AND(E257&lt;&gt;"",E257&lt;B257),AND(F257&lt;&gt;"",F257&lt;B257)),"Evento anterior à entrada",IF(AND(F257&lt;&gt;"",E257=""),"Conversa sem agendamento",IF(OR(E257&gt;TODAY(),F257&gt;TODAY()),"Verificar evento futuro","OK"))))))</f>
        <v/>
      </c>
    </row>
    <row r="258" spans="9:12">
      <c r="I258" s="5">
        <f>IF(OR(A258="",B258=""),"",B258-WEEKDAY(B258,2)+1)</f>
        <v/>
      </c>
      <c r="J258" s="5">
        <f>IF(I258="","",I258+6)</f>
        <v/>
      </c>
      <c r="K258" s="6">
        <f>IF(OR(A258="",B258=""),"",DATE(YEAR(B258),MONTH(B258),1))</f>
        <v/>
      </c>
      <c r="L258" s="7">
        <f>IF(COUNTA(A258,B258)=0,"",IF(OR(A258="",B258=""),"Preencher CPF e entrada",IF(COUNTIFS($A$12:$A$5011,A258,$B$12:$B$5011,B258)&gt;1,"CPF + dia duplicado",IF(OR(AND(E258&lt;&gt;"",E258&lt;B258),AND(F258&lt;&gt;"",F258&lt;B258)),"Evento anterior à entrada",IF(AND(F258&lt;&gt;"",E258=""),"Conversa sem agendamento",IF(OR(E258&gt;TODAY(),F258&gt;TODAY()),"Verificar evento futuro","OK"))))))</f>
        <v/>
      </c>
    </row>
    <row r="259" spans="9:12">
      <c r="I259" s="5">
        <f>IF(OR(A259="",B259=""),"",B259-WEEKDAY(B259,2)+1)</f>
        <v/>
      </c>
      <c r="J259" s="5">
        <f>IF(I259="","",I259+6)</f>
        <v/>
      </c>
      <c r="K259" s="6">
        <f>IF(OR(A259="",B259=""),"",DATE(YEAR(B259),MONTH(B259),1))</f>
        <v/>
      </c>
      <c r="L259" s="7">
        <f>IF(COUNTA(A259,B259)=0,"",IF(OR(A259="",B259=""),"Preencher CPF e entrada",IF(COUNTIFS($A$12:$A$5011,A259,$B$12:$B$5011,B259)&gt;1,"CPF + dia duplicado",IF(OR(AND(E259&lt;&gt;"",E259&lt;B259),AND(F259&lt;&gt;"",F259&lt;B259)),"Evento anterior à entrada",IF(AND(F259&lt;&gt;"",E259=""),"Conversa sem agendamento",IF(OR(E259&gt;TODAY(),F259&gt;TODAY()),"Verificar evento futuro","OK"))))))</f>
        <v/>
      </c>
    </row>
    <row r="260" spans="9:12">
      <c r="I260" s="5">
        <f>IF(OR(A260="",B260=""),"",B260-WEEKDAY(B260,2)+1)</f>
        <v/>
      </c>
      <c r="J260" s="5">
        <f>IF(I260="","",I260+6)</f>
        <v/>
      </c>
      <c r="K260" s="6">
        <f>IF(OR(A260="",B260=""),"",DATE(YEAR(B260),MONTH(B260),1))</f>
        <v/>
      </c>
      <c r="L260" s="7">
        <f>IF(COUNTA(A260,B260)=0,"",IF(OR(A260="",B260=""),"Preencher CPF e entrada",IF(COUNTIFS($A$12:$A$5011,A260,$B$12:$B$5011,B260)&gt;1,"CPF + dia duplicado",IF(OR(AND(E260&lt;&gt;"",E260&lt;B260),AND(F260&lt;&gt;"",F260&lt;B260)),"Evento anterior à entrada",IF(AND(F260&lt;&gt;"",E260=""),"Conversa sem agendamento",IF(OR(E260&gt;TODAY(),F260&gt;TODAY()),"Verificar evento futuro","OK"))))))</f>
        <v/>
      </c>
    </row>
    <row r="261" spans="9:12">
      <c r="I261" s="5">
        <f>IF(OR(A261="",B261=""),"",B261-WEEKDAY(B261,2)+1)</f>
        <v/>
      </c>
      <c r="J261" s="5">
        <f>IF(I261="","",I261+6)</f>
        <v/>
      </c>
      <c r="K261" s="6">
        <f>IF(OR(A261="",B261=""),"",DATE(YEAR(B261),MONTH(B261),1))</f>
        <v/>
      </c>
      <c r="L261" s="7">
        <f>IF(COUNTA(A261,B261)=0,"",IF(OR(A261="",B261=""),"Preencher CPF e entrada",IF(COUNTIFS($A$12:$A$5011,A261,$B$12:$B$5011,B261)&gt;1,"CPF + dia duplicado",IF(OR(AND(E261&lt;&gt;"",E261&lt;B261),AND(F261&lt;&gt;"",F261&lt;B261)),"Evento anterior à entrada",IF(AND(F261&lt;&gt;"",E261=""),"Conversa sem agendamento",IF(OR(E261&gt;TODAY(),F261&gt;TODAY()),"Verificar evento futuro","OK"))))))</f>
        <v/>
      </c>
    </row>
    <row r="262" spans="9:12">
      <c r="I262" s="5">
        <f>IF(OR(A262="",B262=""),"",B262-WEEKDAY(B262,2)+1)</f>
        <v/>
      </c>
      <c r="J262" s="5">
        <f>IF(I262="","",I262+6)</f>
        <v/>
      </c>
      <c r="K262" s="6">
        <f>IF(OR(A262="",B262=""),"",DATE(YEAR(B262),MONTH(B262),1))</f>
        <v/>
      </c>
      <c r="L262" s="7">
        <f>IF(COUNTA(A262,B262)=0,"",IF(OR(A262="",B262=""),"Preencher CPF e entrada",IF(COUNTIFS($A$12:$A$5011,A262,$B$12:$B$5011,B262)&gt;1,"CPF + dia duplicado",IF(OR(AND(E262&lt;&gt;"",E262&lt;B262),AND(F262&lt;&gt;"",F262&lt;B262)),"Evento anterior à entrada",IF(AND(F262&lt;&gt;"",E262=""),"Conversa sem agendamento",IF(OR(E262&gt;TODAY(),F262&gt;TODAY()),"Verificar evento futuro","OK"))))))</f>
        <v/>
      </c>
    </row>
    <row r="263" spans="9:12">
      <c r="I263" s="5">
        <f>IF(OR(A263="",B263=""),"",B263-WEEKDAY(B263,2)+1)</f>
        <v/>
      </c>
      <c r="J263" s="5">
        <f>IF(I263="","",I263+6)</f>
        <v/>
      </c>
      <c r="K263" s="6">
        <f>IF(OR(A263="",B263=""),"",DATE(YEAR(B263),MONTH(B263),1))</f>
        <v/>
      </c>
      <c r="L263" s="7">
        <f>IF(COUNTA(A263,B263)=0,"",IF(OR(A263="",B263=""),"Preencher CPF e entrada",IF(COUNTIFS($A$12:$A$5011,A263,$B$12:$B$5011,B263)&gt;1,"CPF + dia duplicado",IF(OR(AND(E263&lt;&gt;"",E263&lt;B263),AND(F263&lt;&gt;"",F263&lt;B263)),"Evento anterior à entrada",IF(AND(F263&lt;&gt;"",E263=""),"Conversa sem agendamento",IF(OR(E263&gt;TODAY(),F263&gt;TODAY()),"Verificar evento futuro","OK"))))))</f>
        <v/>
      </c>
    </row>
    <row r="264" spans="9:12">
      <c r="I264" s="5">
        <f>IF(OR(A264="",B264=""),"",B264-WEEKDAY(B264,2)+1)</f>
        <v/>
      </c>
      <c r="J264" s="5">
        <f>IF(I264="","",I264+6)</f>
        <v/>
      </c>
      <c r="K264" s="6">
        <f>IF(OR(A264="",B264=""),"",DATE(YEAR(B264),MONTH(B264),1))</f>
        <v/>
      </c>
      <c r="L264" s="7">
        <f>IF(COUNTA(A264,B264)=0,"",IF(OR(A264="",B264=""),"Preencher CPF e entrada",IF(COUNTIFS($A$12:$A$5011,A264,$B$12:$B$5011,B264)&gt;1,"CPF + dia duplicado",IF(OR(AND(E264&lt;&gt;"",E264&lt;B264),AND(F264&lt;&gt;"",F264&lt;B264)),"Evento anterior à entrada",IF(AND(F264&lt;&gt;"",E264=""),"Conversa sem agendamento",IF(OR(E264&gt;TODAY(),F264&gt;TODAY()),"Verificar evento futuro","OK"))))))</f>
        <v/>
      </c>
    </row>
    <row r="265" spans="9:12">
      <c r="I265" s="5">
        <f>IF(OR(A265="",B265=""),"",B265-WEEKDAY(B265,2)+1)</f>
        <v/>
      </c>
      <c r="J265" s="5">
        <f>IF(I265="","",I265+6)</f>
        <v/>
      </c>
      <c r="K265" s="6">
        <f>IF(OR(A265="",B265=""),"",DATE(YEAR(B265),MONTH(B265),1))</f>
        <v/>
      </c>
      <c r="L265" s="7">
        <f>IF(COUNTA(A265,B265)=0,"",IF(OR(A265="",B265=""),"Preencher CPF e entrada",IF(COUNTIFS($A$12:$A$5011,A265,$B$12:$B$5011,B265)&gt;1,"CPF + dia duplicado",IF(OR(AND(E265&lt;&gt;"",E265&lt;B265),AND(F265&lt;&gt;"",F265&lt;B265)),"Evento anterior à entrada",IF(AND(F265&lt;&gt;"",E265=""),"Conversa sem agendamento",IF(OR(E265&gt;TODAY(),F265&gt;TODAY()),"Verificar evento futuro","OK"))))))</f>
        <v/>
      </c>
    </row>
    <row r="266" spans="9:12">
      <c r="I266" s="5">
        <f>IF(OR(A266="",B266=""),"",B266-WEEKDAY(B266,2)+1)</f>
        <v/>
      </c>
      <c r="J266" s="5">
        <f>IF(I266="","",I266+6)</f>
        <v/>
      </c>
      <c r="K266" s="6">
        <f>IF(OR(A266="",B266=""),"",DATE(YEAR(B266),MONTH(B266),1))</f>
        <v/>
      </c>
      <c r="L266" s="7">
        <f>IF(COUNTA(A266,B266)=0,"",IF(OR(A266="",B266=""),"Preencher CPF e entrada",IF(COUNTIFS($A$12:$A$5011,A266,$B$12:$B$5011,B266)&gt;1,"CPF + dia duplicado",IF(OR(AND(E266&lt;&gt;"",E266&lt;B266),AND(F266&lt;&gt;"",F266&lt;B266)),"Evento anterior à entrada",IF(AND(F266&lt;&gt;"",E266=""),"Conversa sem agendamento",IF(OR(E266&gt;TODAY(),F266&gt;TODAY()),"Verificar evento futuro","OK"))))))</f>
        <v/>
      </c>
    </row>
    <row r="267" spans="9:12">
      <c r="I267" s="5">
        <f>IF(OR(A267="",B267=""),"",B267-WEEKDAY(B267,2)+1)</f>
        <v/>
      </c>
      <c r="J267" s="5">
        <f>IF(I267="","",I267+6)</f>
        <v/>
      </c>
      <c r="K267" s="6">
        <f>IF(OR(A267="",B267=""),"",DATE(YEAR(B267),MONTH(B267),1))</f>
        <v/>
      </c>
      <c r="L267" s="7">
        <f>IF(COUNTA(A267,B267)=0,"",IF(OR(A267="",B267=""),"Preencher CPF e entrada",IF(COUNTIFS($A$12:$A$5011,A267,$B$12:$B$5011,B267)&gt;1,"CPF + dia duplicado",IF(OR(AND(E267&lt;&gt;"",E267&lt;B267),AND(F267&lt;&gt;"",F267&lt;B267)),"Evento anterior à entrada",IF(AND(F267&lt;&gt;"",E267=""),"Conversa sem agendamento",IF(OR(E267&gt;TODAY(),F267&gt;TODAY()),"Verificar evento futuro","OK"))))))</f>
        <v/>
      </c>
    </row>
    <row r="268" spans="9:12">
      <c r="I268" s="5">
        <f>IF(OR(A268="",B268=""),"",B268-WEEKDAY(B268,2)+1)</f>
        <v/>
      </c>
      <c r="J268" s="5">
        <f>IF(I268="","",I268+6)</f>
        <v/>
      </c>
      <c r="K268" s="6">
        <f>IF(OR(A268="",B268=""),"",DATE(YEAR(B268),MONTH(B268),1))</f>
        <v/>
      </c>
      <c r="L268" s="7">
        <f>IF(COUNTA(A268,B268)=0,"",IF(OR(A268="",B268=""),"Preencher CPF e entrada",IF(COUNTIFS($A$12:$A$5011,A268,$B$12:$B$5011,B268)&gt;1,"CPF + dia duplicado",IF(OR(AND(E268&lt;&gt;"",E268&lt;B268),AND(F268&lt;&gt;"",F268&lt;B268)),"Evento anterior à entrada",IF(AND(F268&lt;&gt;"",E268=""),"Conversa sem agendamento",IF(OR(E268&gt;TODAY(),F268&gt;TODAY()),"Verificar evento futuro","OK"))))))</f>
        <v/>
      </c>
    </row>
    <row r="269" spans="9:12">
      <c r="I269" s="5">
        <f>IF(OR(A269="",B269=""),"",B269-WEEKDAY(B269,2)+1)</f>
        <v/>
      </c>
      <c r="J269" s="5">
        <f>IF(I269="","",I269+6)</f>
        <v/>
      </c>
      <c r="K269" s="6">
        <f>IF(OR(A269="",B269=""),"",DATE(YEAR(B269),MONTH(B269),1))</f>
        <v/>
      </c>
      <c r="L269" s="7">
        <f>IF(COUNTA(A269,B269)=0,"",IF(OR(A269="",B269=""),"Preencher CPF e entrada",IF(COUNTIFS($A$12:$A$5011,A269,$B$12:$B$5011,B269)&gt;1,"CPF + dia duplicado",IF(OR(AND(E269&lt;&gt;"",E269&lt;B269),AND(F269&lt;&gt;"",F269&lt;B269)),"Evento anterior à entrada",IF(AND(F269&lt;&gt;"",E269=""),"Conversa sem agendamento",IF(OR(E269&gt;TODAY(),F269&gt;TODAY()),"Verificar evento futuro","OK"))))))</f>
        <v/>
      </c>
    </row>
    <row r="270" spans="9:12">
      <c r="I270" s="5">
        <f>IF(OR(A270="",B270=""),"",B270-WEEKDAY(B270,2)+1)</f>
        <v/>
      </c>
      <c r="J270" s="5">
        <f>IF(I270="","",I270+6)</f>
        <v/>
      </c>
      <c r="K270" s="6">
        <f>IF(OR(A270="",B270=""),"",DATE(YEAR(B270),MONTH(B270),1))</f>
        <v/>
      </c>
      <c r="L270" s="7">
        <f>IF(COUNTA(A270,B270)=0,"",IF(OR(A270="",B270=""),"Preencher CPF e entrada",IF(COUNTIFS($A$12:$A$5011,A270,$B$12:$B$5011,B270)&gt;1,"CPF + dia duplicado",IF(OR(AND(E270&lt;&gt;"",E270&lt;B270),AND(F270&lt;&gt;"",F270&lt;B270)),"Evento anterior à entrada",IF(AND(F270&lt;&gt;"",E270=""),"Conversa sem agendamento",IF(OR(E270&gt;TODAY(),F270&gt;TODAY()),"Verificar evento futuro","OK"))))))</f>
        <v/>
      </c>
    </row>
    <row r="271" spans="9:12">
      <c r="I271" s="5">
        <f>IF(OR(A271="",B271=""),"",B271-WEEKDAY(B271,2)+1)</f>
        <v/>
      </c>
      <c r="J271" s="5">
        <f>IF(I271="","",I271+6)</f>
        <v/>
      </c>
      <c r="K271" s="6">
        <f>IF(OR(A271="",B271=""),"",DATE(YEAR(B271),MONTH(B271),1))</f>
        <v/>
      </c>
      <c r="L271" s="7">
        <f>IF(COUNTA(A271,B271)=0,"",IF(OR(A271="",B271=""),"Preencher CPF e entrada",IF(COUNTIFS($A$12:$A$5011,A271,$B$12:$B$5011,B271)&gt;1,"CPF + dia duplicado",IF(OR(AND(E271&lt;&gt;"",E271&lt;B271),AND(F271&lt;&gt;"",F271&lt;B271)),"Evento anterior à entrada",IF(AND(F271&lt;&gt;"",E271=""),"Conversa sem agendamento",IF(OR(E271&gt;TODAY(),F271&gt;TODAY()),"Verificar evento futuro","OK"))))))</f>
        <v/>
      </c>
    </row>
    <row r="272" spans="9:12">
      <c r="I272" s="5">
        <f>IF(OR(A272="",B272=""),"",B272-WEEKDAY(B272,2)+1)</f>
        <v/>
      </c>
      <c r="J272" s="5">
        <f>IF(I272="","",I272+6)</f>
        <v/>
      </c>
      <c r="K272" s="6">
        <f>IF(OR(A272="",B272=""),"",DATE(YEAR(B272),MONTH(B272),1))</f>
        <v/>
      </c>
      <c r="L272" s="7">
        <f>IF(COUNTA(A272,B272)=0,"",IF(OR(A272="",B272=""),"Preencher CPF e entrada",IF(COUNTIFS($A$12:$A$5011,A272,$B$12:$B$5011,B272)&gt;1,"CPF + dia duplicado",IF(OR(AND(E272&lt;&gt;"",E272&lt;B272),AND(F272&lt;&gt;"",F272&lt;B272)),"Evento anterior à entrada",IF(AND(F272&lt;&gt;"",E272=""),"Conversa sem agendamento",IF(OR(E272&gt;TODAY(),F272&gt;TODAY()),"Verificar evento futuro","OK"))))))</f>
        <v/>
      </c>
    </row>
    <row r="273" spans="9:12">
      <c r="I273" s="5">
        <f>IF(OR(A273="",B273=""),"",B273-WEEKDAY(B273,2)+1)</f>
        <v/>
      </c>
      <c r="J273" s="5">
        <f>IF(I273="","",I273+6)</f>
        <v/>
      </c>
      <c r="K273" s="6">
        <f>IF(OR(A273="",B273=""),"",DATE(YEAR(B273),MONTH(B273),1))</f>
        <v/>
      </c>
      <c r="L273" s="7">
        <f>IF(COUNTA(A273,B273)=0,"",IF(OR(A273="",B273=""),"Preencher CPF e entrada",IF(COUNTIFS($A$12:$A$5011,A273,$B$12:$B$5011,B273)&gt;1,"CPF + dia duplicado",IF(OR(AND(E273&lt;&gt;"",E273&lt;B273),AND(F273&lt;&gt;"",F273&lt;B273)),"Evento anterior à entrada",IF(AND(F273&lt;&gt;"",E273=""),"Conversa sem agendamento",IF(OR(E273&gt;TODAY(),F273&gt;TODAY()),"Verificar evento futuro","OK"))))))</f>
        <v/>
      </c>
    </row>
    <row r="274" spans="9:12">
      <c r="I274" s="5">
        <f>IF(OR(A274="",B274=""),"",B274-WEEKDAY(B274,2)+1)</f>
        <v/>
      </c>
      <c r="J274" s="5">
        <f>IF(I274="","",I274+6)</f>
        <v/>
      </c>
      <c r="K274" s="6">
        <f>IF(OR(A274="",B274=""),"",DATE(YEAR(B274),MONTH(B274),1))</f>
        <v/>
      </c>
      <c r="L274" s="7">
        <f>IF(COUNTA(A274,B274)=0,"",IF(OR(A274="",B274=""),"Preencher CPF e entrada",IF(COUNTIFS($A$12:$A$5011,A274,$B$12:$B$5011,B274)&gt;1,"CPF + dia duplicado",IF(OR(AND(E274&lt;&gt;"",E274&lt;B274),AND(F274&lt;&gt;"",F274&lt;B274)),"Evento anterior à entrada",IF(AND(F274&lt;&gt;"",E274=""),"Conversa sem agendamento",IF(OR(E274&gt;TODAY(),F274&gt;TODAY()),"Verificar evento futuro","OK"))))))</f>
        <v/>
      </c>
    </row>
    <row r="275" spans="9:12">
      <c r="I275" s="5">
        <f>IF(OR(A275="",B275=""),"",B275-WEEKDAY(B275,2)+1)</f>
        <v/>
      </c>
      <c r="J275" s="5">
        <f>IF(I275="","",I275+6)</f>
        <v/>
      </c>
      <c r="K275" s="6">
        <f>IF(OR(A275="",B275=""),"",DATE(YEAR(B275),MONTH(B275),1))</f>
        <v/>
      </c>
      <c r="L275" s="7">
        <f>IF(COUNTA(A275,B275)=0,"",IF(OR(A275="",B275=""),"Preencher CPF e entrada",IF(COUNTIFS($A$12:$A$5011,A275,$B$12:$B$5011,B275)&gt;1,"CPF + dia duplicado",IF(OR(AND(E275&lt;&gt;"",E275&lt;B275),AND(F275&lt;&gt;"",F275&lt;B275)),"Evento anterior à entrada",IF(AND(F275&lt;&gt;"",E275=""),"Conversa sem agendamento",IF(OR(E275&gt;TODAY(),F275&gt;TODAY()),"Verificar evento futuro","OK"))))))</f>
        <v/>
      </c>
    </row>
    <row r="276" spans="9:12">
      <c r="I276" s="5">
        <f>IF(OR(A276="",B276=""),"",B276-WEEKDAY(B276,2)+1)</f>
        <v/>
      </c>
      <c r="J276" s="5">
        <f>IF(I276="","",I276+6)</f>
        <v/>
      </c>
      <c r="K276" s="6">
        <f>IF(OR(A276="",B276=""),"",DATE(YEAR(B276),MONTH(B276),1))</f>
        <v/>
      </c>
      <c r="L276" s="7">
        <f>IF(COUNTA(A276,B276)=0,"",IF(OR(A276="",B276=""),"Preencher CPF e entrada",IF(COUNTIFS($A$12:$A$5011,A276,$B$12:$B$5011,B276)&gt;1,"CPF + dia duplicado",IF(OR(AND(E276&lt;&gt;"",E276&lt;B276),AND(F276&lt;&gt;"",F276&lt;B276)),"Evento anterior à entrada",IF(AND(F276&lt;&gt;"",E276=""),"Conversa sem agendamento",IF(OR(E276&gt;TODAY(),F276&gt;TODAY()),"Verificar evento futuro","OK"))))))</f>
        <v/>
      </c>
    </row>
    <row r="277" spans="9:12">
      <c r="I277" s="5">
        <f>IF(OR(A277="",B277=""),"",B277-WEEKDAY(B277,2)+1)</f>
        <v/>
      </c>
      <c r="J277" s="5">
        <f>IF(I277="","",I277+6)</f>
        <v/>
      </c>
      <c r="K277" s="6">
        <f>IF(OR(A277="",B277=""),"",DATE(YEAR(B277),MONTH(B277),1))</f>
        <v/>
      </c>
      <c r="L277" s="7">
        <f>IF(COUNTA(A277,B277)=0,"",IF(OR(A277="",B277=""),"Preencher CPF e entrada",IF(COUNTIFS($A$12:$A$5011,A277,$B$12:$B$5011,B277)&gt;1,"CPF + dia duplicado",IF(OR(AND(E277&lt;&gt;"",E277&lt;B277),AND(F277&lt;&gt;"",F277&lt;B277)),"Evento anterior à entrada",IF(AND(F277&lt;&gt;"",E277=""),"Conversa sem agendamento",IF(OR(E277&gt;TODAY(),F277&gt;TODAY()),"Verificar evento futuro","OK"))))))</f>
        <v/>
      </c>
    </row>
    <row r="278" spans="9:12">
      <c r="I278" s="5">
        <f>IF(OR(A278="",B278=""),"",B278-WEEKDAY(B278,2)+1)</f>
        <v/>
      </c>
      <c r="J278" s="5">
        <f>IF(I278="","",I278+6)</f>
        <v/>
      </c>
      <c r="K278" s="6">
        <f>IF(OR(A278="",B278=""),"",DATE(YEAR(B278),MONTH(B278),1))</f>
        <v/>
      </c>
      <c r="L278" s="7">
        <f>IF(COUNTA(A278,B278)=0,"",IF(OR(A278="",B278=""),"Preencher CPF e entrada",IF(COUNTIFS($A$12:$A$5011,A278,$B$12:$B$5011,B278)&gt;1,"CPF + dia duplicado",IF(OR(AND(E278&lt;&gt;"",E278&lt;B278),AND(F278&lt;&gt;"",F278&lt;B278)),"Evento anterior à entrada",IF(AND(F278&lt;&gt;"",E278=""),"Conversa sem agendamento",IF(OR(E278&gt;TODAY(),F278&gt;TODAY()),"Verificar evento futuro","OK"))))))</f>
        <v/>
      </c>
    </row>
    <row r="279" spans="9:12">
      <c r="I279" s="5">
        <f>IF(OR(A279="",B279=""),"",B279-WEEKDAY(B279,2)+1)</f>
        <v/>
      </c>
      <c r="J279" s="5">
        <f>IF(I279="","",I279+6)</f>
        <v/>
      </c>
      <c r="K279" s="6">
        <f>IF(OR(A279="",B279=""),"",DATE(YEAR(B279),MONTH(B279),1))</f>
        <v/>
      </c>
      <c r="L279" s="7">
        <f>IF(COUNTA(A279,B279)=0,"",IF(OR(A279="",B279=""),"Preencher CPF e entrada",IF(COUNTIFS($A$12:$A$5011,A279,$B$12:$B$5011,B279)&gt;1,"CPF + dia duplicado",IF(OR(AND(E279&lt;&gt;"",E279&lt;B279),AND(F279&lt;&gt;"",F279&lt;B279)),"Evento anterior à entrada",IF(AND(F279&lt;&gt;"",E279=""),"Conversa sem agendamento",IF(OR(E279&gt;TODAY(),F279&gt;TODAY()),"Verificar evento futuro","OK"))))))</f>
        <v/>
      </c>
    </row>
    <row r="280" spans="9:12">
      <c r="I280" s="5">
        <f>IF(OR(A280="",B280=""),"",B280-WEEKDAY(B280,2)+1)</f>
        <v/>
      </c>
      <c r="J280" s="5">
        <f>IF(I280="","",I280+6)</f>
        <v/>
      </c>
      <c r="K280" s="6">
        <f>IF(OR(A280="",B280=""),"",DATE(YEAR(B280),MONTH(B280),1))</f>
        <v/>
      </c>
      <c r="L280" s="7">
        <f>IF(COUNTA(A280,B280)=0,"",IF(OR(A280="",B280=""),"Preencher CPF e entrada",IF(COUNTIFS($A$12:$A$5011,A280,$B$12:$B$5011,B280)&gt;1,"CPF + dia duplicado",IF(OR(AND(E280&lt;&gt;"",E280&lt;B280),AND(F280&lt;&gt;"",F280&lt;B280)),"Evento anterior à entrada",IF(AND(F280&lt;&gt;"",E280=""),"Conversa sem agendamento",IF(OR(E280&gt;TODAY(),F280&gt;TODAY()),"Verificar evento futuro","OK"))))))</f>
        <v/>
      </c>
    </row>
    <row r="281" spans="9:12">
      <c r="I281" s="5">
        <f>IF(OR(A281="",B281=""),"",B281-WEEKDAY(B281,2)+1)</f>
        <v/>
      </c>
      <c r="J281" s="5">
        <f>IF(I281="","",I281+6)</f>
        <v/>
      </c>
      <c r="K281" s="6">
        <f>IF(OR(A281="",B281=""),"",DATE(YEAR(B281),MONTH(B281),1))</f>
        <v/>
      </c>
      <c r="L281" s="7">
        <f>IF(COUNTA(A281,B281)=0,"",IF(OR(A281="",B281=""),"Preencher CPF e entrada",IF(COUNTIFS($A$12:$A$5011,A281,$B$12:$B$5011,B281)&gt;1,"CPF + dia duplicado",IF(OR(AND(E281&lt;&gt;"",E281&lt;B281),AND(F281&lt;&gt;"",F281&lt;B281)),"Evento anterior à entrada",IF(AND(F281&lt;&gt;"",E281=""),"Conversa sem agendamento",IF(OR(E281&gt;TODAY(),F281&gt;TODAY()),"Verificar evento futuro","OK"))))))</f>
        <v/>
      </c>
    </row>
    <row r="282" spans="9:12">
      <c r="I282" s="5">
        <f>IF(OR(A282="",B282=""),"",B282-WEEKDAY(B282,2)+1)</f>
        <v/>
      </c>
      <c r="J282" s="5">
        <f>IF(I282="","",I282+6)</f>
        <v/>
      </c>
      <c r="K282" s="6">
        <f>IF(OR(A282="",B282=""),"",DATE(YEAR(B282),MONTH(B282),1))</f>
        <v/>
      </c>
      <c r="L282" s="7">
        <f>IF(COUNTA(A282,B282)=0,"",IF(OR(A282="",B282=""),"Preencher CPF e entrada",IF(COUNTIFS($A$12:$A$5011,A282,$B$12:$B$5011,B282)&gt;1,"CPF + dia duplicado",IF(OR(AND(E282&lt;&gt;"",E282&lt;B282),AND(F282&lt;&gt;"",F282&lt;B282)),"Evento anterior à entrada",IF(AND(F282&lt;&gt;"",E282=""),"Conversa sem agendamento",IF(OR(E282&gt;TODAY(),F282&gt;TODAY()),"Verificar evento futuro","OK"))))))</f>
        <v/>
      </c>
    </row>
    <row r="283" spans="9:12">
      <c r="I283" s="5">
        <f>IF(OR(A283="",B283=""),"",B283-WEEKDAY(B283,2)+1)</f>
        <v/>
      </c>
      <c r="J283" s="5">
        <f>IF(I283="","",I283+6)</f>
        <v/>
      </c>
      <c r="K283" s="6">
        <f>IF(OR(A283="",B283=""),"",DATE(YEAR(B283),MONTH(B283),1))</f>
        <v/>
      </c>
      <c r="L283" s="7">
        <f>IF(COUNTA(A283,B283)=0,"",IF(OR(A283="",B283=""),"Preencher CPF e entrada",IF(COUNTIFS($A$12:$A$5011,A283,$B$12:$B$5011,B283)&gt;1,"CPF + dia duplicado",IF(OR(AND(E283&lt;&gt;"",E283&lt;B283),AND(F283&lt;&gt;"",F283&lt;B283)),"Evento anterior à entrada",IF(AND(F283&lt;&gt;"",E283=""),"Conversa sem agendamento",IF(OR(E283&gt;TODAY(),F283&gt;TODAY()),"Verificar evento futuro","OK"))))))</f>
        <v/>
      </c>
    </row>
    <row r="284" spans="9:12">
      <c r="I284" s="5">
        <f>IF(OR(A284="",B284=""),"",B284-WEEKDAY(B284,2)+1)</f>
        <v/>
      </c>
      <c r="J284" s="5">
        <f>IF(I284="","",I284+6)</f>
        <v/>
      </c>
      <c r="K284" s="6">
        <f>IF(OR(A284="",B284=""),"",DATE(YEAR(B284),MONTH(B284),1))</f>
        <v/>
      </c>
      <c r="L284" s="7">
        <f>IF(COUNTA(A284,B284)=0,"",IF(OR(A284="",B284=""),"Preencher CPF e entrada",IF(COUNTIFS($A$12:$A$5011,A284,$B$12:$B$5011,B284)&gt;1,"CPF + dia duplicado",IF(OR(AND(E284&lt;&gt;"",E284&lt;B284),AND(F284&lt;&gt;"",F284&lt;B284)),"Evento anterior à entrada",IF(AND(F284&lt;&gt;"",E284=""),"Conversa sem agendamento",IF(OR(E284&gt;TODAY(),F284&gt;TODAY()),"Verificar evento futuro","OK"))))))</f>
        <v/>
      </c>
    </row>
    <row r="285" spans="9:12">
      <c r="I285" s="5">
        <f>IF(OR(A285="",B285=""),"",B285-WEEKDAY(B285,2)+1)</f>
        <v/>
      </c>
      <c r="J285" s="5">
        <f>IF(I285="","",I285+6)</f>
        <v/>
      </c>
      <c r="K285" s="6">
        <f>IF(OR(A285="",B285=""),"",DATE(YEAR(B285),MONTH(B285),1))</f>
        <v/>
      </c>
      <c r="L285" s="7">
        <f>IF(COUNTA(A285,B285)=0,"",IF(OR(A285="",B285=""),"Preencher CPF e entrada",IF(COUNTIFS($A$12:$A$5011,A285,$B$12:$B$5011,B285)&gt;1,"CPF + dia duplicado",IF(OR(AND(E285&lt;&gt;"",E285&lt;B285),AND(F285&lt;&gt;"",F285&lt;B285)),"Evento anterior à entrada",IF(AND(F285&lt;&gt;"",E285=""),"Conversa sem agendamento",IF(OR(E285&gt;TODAY(),F285&gt;TODAY()),"Verificar evento futuro","OK"))))))</f>
        <v/>
      </c>
    </row>
    <row r="286" spans="9:12">
      <c r="I286" s="5">
        <f>IF(OR(A286="",B286=""),"",B286-WEEKDAY(B286,2)+1)</f>
        <v/>
      </c>
      <c r="J286" s="5">
        <f>IF(I286="","",I286+6)</f>
        <v/>
      </c>
      <c r="K286" s="6">
        <f>IF(OR(A286="",B286=""),"",DATE(YEAR(B286),MONTH(B286),1))</f>
        <v/>
      </c>
      <c r="L286" s="7">
        <f>IF(COUNTA(A286,B286)=0,"",IF(OR(A286="",B286=""),"Preencher CPF e entrada",IF(COUNTIFS($A$12:$A$5011,A286,$B$12:$B$5011,B286)&gt;1,"CPF + dia duplicado",IF(OR(AND(E286&lt;&gt;"",E286&lt;B286),AND(F286&lt;&gt;"",F286&lt;B286)),"Evento anterior à entrada",IF(AND(F286&lt;&gt;"",E286=""),"Conversa sem agendamento",IF(OR(E286&gt;TODAY(),F286&gt;TODAY()),"Verificar evento futuro","OK"))))))</f>
        <v/>
      </c>
    </row>
    <row r="287" spans="9:12">
      <c r="I287" s="5">
        <f>IF(OR(A287="",B287=""),"",B287-WEEKDAY(B287,2)+1)</f>
        <v/>
      </c>
      <c r="J287" s="5">
        <f>IF(I287="","",I287+6)</f>
        <v/>
      </c>
      <c r="K287" s="6">
        <f>IF(OR(A287="",B287=""),"",DATE(YEAR(B287),MONTH(B287),1))</f>
        <v/>
      </c>
      <c r="L287" s="7">
        <f>IF(COUNTA(A287,B287)=0,"",IF(OR(A287="",B287=""),"Preencher CPF e entrada",IF(COUNTIFS($A$12:$A$5011,A287,$B$12:$B$5011,B287)&gt;1,"CPF + dia duplicado",IF(OR(AND(E287&lt;&gt;"",E287&lt;B287),AND(F287&lt;&gt;"",F287&lt;B287)),"Evento anterior à entrada",IF(AND(F287&lt;&gt;"",E287=""),"Conversa sem agendamento",IF(OR(E287&gt;TODAY(),F287&gt;TODAY()),"Verificar evento futuro","OK"))))))</f>
        <v/>
      </c>
    </row>
    <row r="288" spans="9:12">
      <c r="I288" s="5">
        <f>IF(OR(A288="",B288=""),"",B288-WEEKDAY(B288,2)+1)</f>
        <v/>
      </c>
      <c r="J288" s="5">
        <f>IF(I288="","",I288+6)</f>
        <v/>
      </c>
      <c r="K288" s="6">
        <f>IF(OR(A288="",B288=""),"",DATE(YEAR(B288),MONTH(B288),1))</f>
        <v/>
      </c>
      <c r="L288" s="7">
        <f>IF(COUNTA(A288,B288)=0,"",IF(OR(A288="",B288=""),"Preencher CPF e entrada",IF(COUNTIFS($A$12:$A$5011,A288,$B$12:$B$5011,B288)&gt;1,"CPF + dia duplicado",IF(OR(AND(E288&lt;&gt;"",E288&lt;B288),AND(F288&lt;&gt;"",F288&lt;B288)),"Evento anterior à entrada",IF(AND(F288&lt;&gt;"",E288=""),"Conversa sem agendamento",IF(OR(E288&gt;TODAY(),F288&gt;TODAY()),"Verificar evento futuro","OK"))))))</f>
        <v/>
      </c>
    </row>
    <row r="289" spans="9:12">
      <c r="I289" s="5">
        <f>IF(OR(A289="",B289=""),"",B289-WEEKDAY(B289,2)+1)</f>
        <v/>
      </c>
      <c r="J289" s="5">
        <f>IF(I289="","",I289+6)</f>
        <v/>
      </c>
      <c r="K289" s="6">
        <f>IF(OR(A289="",B289=""),"",DATE(YEAR(B289),MONTH(B289),1))</f>
        <v/>
      </c>
      <c r="L289" s="7">
        <f>IF(COUNTA(A289,B289)=0,"",IF(OR(A289="",B289=""),"Preencher CPF e entrada",IF(COUNTIFS($A$12:$A$5011,A289,$B$12:$B$5011,B289)&gt;1,"CPF + dia duplicado",IF(OR(AND(E289&lt;&gt;"",E289&lt;B289),AND(F289&lt;&gt;"",F289&lt;B289)),"Evento anterior à entrada",IF(AND(F289&lt;&gt;"",E289=""),"Conversa sem agendamento",IF(OR(E289&gt;TODAY(),F289&gt;TODAY()),"Verificar evento futuro","OK"))))))</f>
        <v/>
      </c>
    </row>
    <row r="290" spans="9:12">
      <c r="I290" s="5">
        <f>IF(OR(A290="",B290=""),"",B290-WEEKDAY(B290,2)+1)</f>
        <v/>
      </c>
      <c r="J290" s="5">
        <f>IF(I290="","",I290+6)</f>
        <v/>
      </c>
      <c r="K290" s="6">
        <f>IF(OR(A290="",B290=""),"",DATE(YEAR(B290),MONTH(B290),1))</f>
        <v/>
      </c>
      <c r="L290" s="7">
        <f>IF(COUNTA(A290,B290)=0,"",IF(OR(A290="",B290=""),"Preencher CPF e entrada",IF(COUNTIFS($A$12:$A$5011,A290,$B$12:$B$5011,B290)&gt;1,"CPF + dia duplicado",IF(OR(AND(E290&lt;&gt;"",E290&lt;B290),AND(F290&lt;&gt;"",F290&lt;B290)),"Evento anterior à entrada",IF(AND(F290&lt;&gt;"",E290=""),"Conversa sem agendamento",IF(OR(E290&gt;TODAY(),F290&gt;TODAY()),"Verificar evento futuro","OK"))))))</f>
        <v/>
      </c>
    </row>
    <row r="291" spans="9:12">
      <c r="I291" s="5">
        <f>IF(OR(A291="",B291=""),"",B291-WEEKDAY(B291,2)+1)</f>
        <v/>
      </c>
      <c r="J291" s="5">
        <f>IF(I291="","",I291+6)</f>
        <v/>
      </c>
      <c r="K291" s="6">
        <f>IF(OR(A291="",B291=""),"",DATE(YEAR(B291),MONTH(B291),1))</f>
        <v/>
      </c>
      <c r="L291" s="7">
        <f>IF(COUNTA(A291,B291)=0,"",IF(OR(A291="",B291=""),"Preencher CPF e entrada",IF(COUNTIFS($A$12:$A$5011,A291,$B$12:$B$5011,B291)&gt;1,"CPF + dia duplicado",IF(OR(AND(E291&lt;&gt;"",E291&lt;B291),AND(F291&lt;&gt;"",F291&lt;B291)),"Evento anterior à entrada",IF(AND(F291&lt;&gt;"",E291=""),"Conversa sem agendamento",IF(OR(E291&gt;TODAY(),F291&gt;TODAY()),"Verificar evento futuro","OK"))))))</f>
        <v/>
      </c>
    </row>
    <row r="292" spans="9:12">
      <c r="I292" s="5">
        <f>IF(OR(A292="",B292=""),"",B292-WEEKDAY(B292,2)+1)</f>
        <v/>
      </c>
      <c r="J292" s="5">
        <f>IF(I292="","",I292+6)</f>
        <v/>
      </c>
      <c r="K292" s="6">
        <f>IF(OR(A292="",B292=""),"",DATE(YEAR(B292),MONTH(B292),1))</f>
        <v/>
      </c>
      <c r="L292" s="7">
        <f>IF(COUNTA(A292,B292)=0,"",IF(OR(A292="",B292=""),"Preencher CPF e entrada",IF(COUNTIFS($A$12:$A$5011,A292,$B$12:$B$5011,B292)&gt;1,"CPF + dia duplicado",IF(OR(AND(E292&lt;&gt;"",E292&lt;B292),AND(F292&lt;&gt;"",F292&lt;B292)),"Evento anterior à entrada",IF(AND(F292&lt;&gt;"",E292=""),"Conversa sem agendamento",IF(OR(E292&gt;TODAY(),F292&gt;TODAY()),"Verificar evento futuro","OK"))))))</f>
        <v/>
      </c>
    </row>
    <row r="293" spans="9:12">
      <c r="I293" s="5">
        <f>IF(OR(A293="",B293=""),"",B293-WEEKDAY(B293,2)+1)</f>
        <v/>
      </c>
      <c r="J293" s="5">
        <f>IF(I293="","",I293+6)</f>
        <v/>
      </c>
      <c r="K293" s="6">
        <f>IF(OR(A293="",B293=""),"",DATE(YEAR(B293),MONTH(B293),1))</f>
        <v/>
      </c>
      <c r="L293" s="7">
        <f>IF(COUNTA(A293,B293)=0,"",IF(OR(A293="",B293=""),"Preencher CPF e entrada",IF(COUNTIFS($A$12:$A$5011,A293,$B$12:$B$5011,B293)&gt;1,"CPF + dia duplicado",IF(OR(AND(E293&lt;&gt;"",E293&lt;B293),AND(F293&lt;&gt;"",F293&lt;B293)),"Evento anterior à entrada",IF(AND(F293&lt;&gt;"",E293=""),"Conversa sem agendamento",IF(OR(E293&gt;TODAY(),F293&gt;TODAY()),"Verificar evento futuro","OK"))))))</f>
        <v/>
      </c>
    </row>
    <row r="294" spans="9:12">
      <c r="I294" s="5">
        <f>IF(OR(A294="",B294=""),"",B294-WEEKDAY(B294,2)+1)</f>
        <v/>
      </c>
      <c r="J294" s="5">
        <f>IF(I294="","",I294+6)</f>
        <v/>
      </c>
      <c r="K294" s="6">
        <f>IF(OR(A294="",B294=""),"",DATE(YEAR(B294),MONTH(B294),1))</f>
        <v/>
      </c>
      <c r="L294" s="7">
        <f>IF(COUNTA(A294,B294)=0,"",IF(OR(A294="",B294=""),"Preencher CPF e entrada",IF(COUNTIFS($A$12:$A$5011,A294,$B$12:$B$5011,B294)&gt;1,"CPF + dia duplicado",IF(OR(AND(E294&lt;&gt;"",E294&lt;B294),AND(F294&lt;&gt;"",F294&lt;B294)),"Evento anterior à entrada",IF(AND(F294&lt;&gt;"",E294=""),"Conversa sem agendamento",IF(OR(E294&gt;TODAY(),F294&gt;TODAY()),"Verificar evento futuro","OK"))))))</f>
        <v/>
      </c>
    </row>
    <row r="295" spans="9:12">
      <c r="I295" s="5">
        <f>IF(OR(A295="",B295=""),"",B295-WEEKDAY(B295,2)+1)</f>
        <v/>
      </c>
      <c r="J295" s="5">
        <f>IF(I295="","",I295+6)</f>
        <v/>
      </c>
      <c r="K295" s="6">
        <f>IF(OR(A295="",B295=""),"",DATE(YEAR(B295),MONTH(B295),1))</f>
        <v/>
      </c>
      <c r="L295" s="7">
        <f>IF(COUNTA(A295,B295)=0,"",IF(OR(A295="",B295=""),"Preencher CPF e entrada",IF(COUNTIFS($A$12:$A$5011,A295,$B$12:$B$5011,B295)&gt;1,"CPF + dia duplicado",IF(OR(AND(E295&lt;&gt;"",E295&lt;B295),AND(F295&lt;&gt;"",F295&lt;B295)),"Evento anterior à entrada",IF(AND(F295&lt;&gt;"",E295=""),"Conversa sem agendamento",IF(OR(E295&gt;TODAY(),F295&gt;TODAY()),"Verificar evento futuro","OK"))))))</f>
        <v/>
      </c>
    </row>
    <row r="296" spans="9:12">
      <c r="I296" s="5">
        <f>IF(OR(A296="",B296=""),"",B296-WEEKDAY(B296,2)+1)</f>
        <v/>
      </c>
      <c r="J296" s="5">
        <f>IF(I296="","",I296+6)</f>
        <v/>
      </c>
      <c r="K296" s="6">
        <f>IF(OR(A296="",B296=""),"",DATE(YEAR(B296),MONTH(B296),1))</f>
        <v/>
      </c>
      <c r="L296" s="7">
        <f>IF(COUNTA(A296,B296)=0,"",IF(OR(A296="",B296=""),"Preencher CPF e entrada",IF(COUNTIFS($A$12:$A$5011,A296,$B$12:$B$5011,B296)&gt;1,"CPF + dia duplicado",IF(OR(AND(E296&lt;&gt;"",E296&lt;B296),AND(F296&lt;&gt;"",F296&lt;B296)),"Evento anterior à entrada",IF(AND(F296&lt;&gt;"",E296=""),"Conversa sem agendamento",IF(OR(E296&gt;TODAY(),F296&gt;TODAY()),"Verificar evento futuro","OK"))))))</f>
        <v/>
      </c>
    </row>
    <row r="297" spans="9:12">
      <c r="I297" s="5">
        <f>IF(OR(A297="",B297=""),"",B297-WEEKDAY(B297,2)+1)</f>
        <v/>
      </c>
      <c r="J297" s="5">
        <f>IF(I297="","",I297+6)</f>
        <v/>
      </c>
      <c r="K297" s="6">
        <f>IF(OR(A297="",B297=""),"",DATE(YEAR(B297),MONTH(B297),1))</f>
        <v/>
      </c>
      <c r="L297" s="7">
        <f>IF(COUNTA(A297,B297)=0,"",IF(OR(A297="",B297=""),"Preencher CPF e entrada",IF(COUNTIFS($A$12:$A$5011,A297,$B$12:$B$5011,B297)&gt;1,"CPF + dia duplicado",IF(OR(AND(E297&lt;&gt;"",E297&lt;B297),AND(F297&lt;&gt;"",F297&lt;B297)),"Evento anterior à entrada",IF(AND(F297&lt;&gt;"",E297=""),"Conversa sem agendamento",IF(OR(E297&gt;TODAY(),F297&gt;TODAY()),"Verificar evento futuro","OK"))))))</f>
        <v/>
      </c>
    </row>
    <row r="298" spans="9:12">
      <c r="I298" s="5">
        <f>IF(OR(A298="",B298=""),"",B298-WEEKDAY(B298,2)+1)</f>
        <v/>
      </c>
      <c r="J298" s="5">
        <f>IF(I298="","",I298+6)</f>
        <v/>
      </c>
      <c r="K298" s="6">
        <f>IF(OR(A298="",B298=""),"",DATE(YEAR(B298),MONTH(B298),1))</f>
        <v/>
      </c>
      <c r="L298" s="7">
        <f>IF(COUNTA(A298,B298)=0,"",IF(OR(A298="",B298=""),"Preencher CPF e entrada",IF(COUNTIFS($A$12:$A$5011,A298,$B$12:$B$5011,B298)&gt;1,"CPF + dia duplicado",IF(OR(AND(E298&lt;&gt;"",E298&lt;B298),AND(F298&lt;&gt;"",F298&lt;B298)),"Evento anterior à entrada",IF(AND(F298&lt;&gt;"",E298=""),"Conversa sem agendamento",IF(OR(E298&gt;TODAY(),F298&gt;TODAY()),"Verificar evento futuro","OK"))))))</f>
        <v/>
      </c>
    </row>
    <row r="299" spans="9:12">
      <c r="I299" s="5">
        <f>IF(OR(A299="",B299=""),"",B299-WEEKDAY(B299,2)+1)</f>
        <v/>
      </c>
      <c r="J299" s="5">
        <f>IF(I299="","",I299+6)</f>
        <v/>
      </c>
      <c r="K299" s="6">
        <f>IF(OR(A299="",B299=""),"",DATE(YEAR(B299),MONTH(B299),1))</f>
        <v/>
      </c>
      <c r="L299" s="7">
        <f>IF(COUNTA(A299,B299)=0,"",IF(OR(A299="",B299=""),"Preencher CPF e entrada",IF(COUNTIFS($A$12:$A$5011,A299,$B$12:$B$5011,B299)&gt;1,"CPF + dia duplicado",IF(OR(AND(E299&lt;&gt;"",E299&lt;B299),AND(F299&lt;&gt;"",F299&lt;B299)),"Evento anterior à entrada",IF(AND(F299&lt;&gt;"",E299=""),"Conversa sem agendamento",IF(OR(E299&gt;TODAY(),F299&gt;TODAY()),"Verificar evento futuro","OK"))))))</f>
        <v/>
      </c>
    </row>
    <row r="300" spans="9:12">
      <c r="I300" s="5">
        <f>IF(OR(A300="",B300=""),"",B300-WEEKDAY(B300,2)+1)</f>
        <v/>
      </c>
      <c r="J300" s="5">
        <f>IF(I300="","",I300+6)</f>
        <v/>
      </c>
      <c r="K300" s="6">
        <f>IF(OR(A300="",B300=""),"",DATE(YEAR(B300),MONTH(B300),1))</f>
        <v/>
      </c>
      <c r="L300" s="7">
        <f>IF(COUNTA(A300,B300)=0,"",IF(OR(A300="",B300=""),"Preencher CPF e entrada",IF(COUNTIFS($A$12:$A$5011,A300,$B$12:$B$5011,B300)&gt;1,"CPF + dia duplicado",IF(OR(AND(E300&lt;&gt;"",E300&lt;B300),AND(F300&lt;&gt;"",F300&lt;B300)),"Evento anterior à entrada",IF(AND(F300&lt;&gt;"",E300=""),"Conversa sem agendamento",IF(OR(E300&gt;TODAY(),F300&gt;TODAY()),"Verificar evento futuro","OK"))))))</f>
        <v/>
      </c>
    </row>
    <row r="301" spans="9:12">
      <c r="I301" s="5">
        <f>IF(OR(A301="",B301=""),"",B301-WEEKDAY(B301,2)+1)</f>
        <v/>
      </c>
      <c r="J301" s="5">
        <f>IF(I301="","",I301+6)</f>
        <v/>
      </c>
      <c r="K301" s="6">
        <f>IF(OR(A301="",B301=""),"",DATE(YEAR(B301),MONTH(B301),1))</f>
        <v/>
      </c>
      <c r="L301" s="7">
        <f>IF(COUNTA(A301,B301)=0,"",IF(OR(A301="",B301=""),"Preencher CPF e entrada",IF(COUNTIFS($A$12:$A$5011,A301,$B$12:$B$5011,B301)&gt;1,"CPF + dia duplicado",IF(OR(AND(E301&lt;&gt;"",E301&lt;B301),AND(F301&lt;&gt;"",F301&lt;B301)),"Evento anterior à entrada",IF(AND(F301&lt;&gt;"",E301=""),"Conversa sem agendamento",IF(OR(E301&gt;TODAY(),F301&gt;TODAY()),"Verificar evento futuro","OK"))))))</f>
        <v/>
      </c>
    </row>
    <row r="302" spans="9:12">
      <c r="I302" s="5">
        <f>IF(OR(A302="",B302=""),"",B302-WEEKDAY(B302,2)+1)</f>
        <v/>
      </c>
      <c r="J302" s="5">
        <f>IF(I302="","",I302+6)</f>
        <v/>
      </c>
      <c r="K302" s="6">
        <f>IF(OR(A302="",B302=""),"",DATE(YEAR(B302),MONTH(B302),1))</f>
        <v/>
      </c>
      <c r="L302" s="7">
        <f>IF(COUNTA(A302,B302)=0,"",IF(OR(A302="",B302=""),"Preencher CPF e entrada",IF(COUNTIFS($A$12:$A$5011,A302,$B$12:$B$5011,B302)&gt;1,"CPF + dia duplicado",IF(OR(AND(E302&lt;&gt;"",E302&lt;B302),AND(F302&lt;&gt;"",F302&lt;B302)),"Evento anterior à entrada",IF(AND(F302&lt;&gt;"",E302=""),"Conversa sem agendamento",IF(OR(E302&gt;TODAY(),F302&gt;TODAY()),"Verificar evento futuro","OK"))))))</f>
        <v/>
      </c>
    </row>
    <row r="303" spans="9:12">
      <c r="I303" s="5">
        <f>IF(OR(A303="",B303=""),"",B303-WEEKDAY(B303,2)+1)</f>
        <v/>
      </c>
      <c r="J303" s="5">
        <f>IF(I303="","",I303+6)</f>
        <v/>
      </c>
      <c r="K303" s="6">
        <f>IF(OR(A303="",B303=""),"",DATE(YEAR(B303),MONTH(B303),1))</f>
        <v/>
      </c>
      <c r="L303" s="7">
        <f>IF(COUNTA(A303,B303)=0,"",IF(OR(A303="",B303=""),"Preencher CPF e entrada",IF(COUNTIFS($A$12:$A$5011,A303,$B$12:$B$5011,B303)&gt;1,"CPF + dia duplicado",IF(OR(AND(E303&lt;&gt;"",E303&lt;B303),AND(F303&lt;&gt;"",F303&lt;B303)),"Evento anterior à entrada",IF(AND(F303&lt;&gt;"",E303=""),"Conversa sem agendamento",IF(OR(E303&gt;TODAY(),F303&gt;TODAY()),"Verificar evento futuro","OK"))))))</f>
        <v/>
      </c>
    </row>
    <row r="304" spans="9:12">
      <c r="I304" s="5">
        <f>IF(OR(A304="",B304=""),"",B304-WEEKDAY(B304,2)+1)</f>
        <v/>
      </c>
      <c r="J304" s="5">
        <f>IF(I304="","",I304+6)</f>
        <v/>
      </c>
      <c r="K304" s="6">
        <f>IF(OR(A304="",B304=""),"",DATE(YEAR(B304),MONTH(B304),1))</f>
        <v/>
      </c>
      <c r="L304" s="7">
        <f>IF(COUNTA(A304,B304)=0,"",IF(OR(A304="",B304=""),"Preencher CPF e entrada",IF(COUNTIFS($A$12:$A$5011,A304,$B$12:$B$5011,B304)&gt;1,"CPF + dia duplicado",IF(OR(AND(E304&lt;&gt;"",E304&lt;B304),AND(F304&lt;&gt;"",F304&lt;B304)),"Evento anterior à entrada",IF(AND(F304&lt;&gt;"",E304=""),"Conversa sem agendamento",IF(OR(E304&gt;TODAY(),F304&gt;TODAY()),"Verificar evento futuro","OK"))))))</f>
        <v/>
      </c>
    </row>
    <row r="305" spans="9:12">
      <c r="I305" s="5">
        <f>IF(OR(A305="",B305=""),"",B305-WEEKDAY(B305,2)+1)</f>
        <v/>
      </c>
      <c r="J305" s="5">
        <f>IF(I305="","",I305+6)</f>
        <v/>
      </c>
      <c r="K305" s="6">
        <f>IF(OR(A305="",B305=""),"",DATE(YEAR(B305),MONTH(B305),1))</f>
        <v/>
      </c>
      <c r="L305" s="7">
        <f>IF(COUNTA(A305,B305)=0,"",IF(OR(A305="",B305=""),"Preencher CPF e entrada",IF(COUNTIFS($A$12:$A$5011,A305,$B$12:$B$5011,B305)&gt;1,"CPF + dia duplicado",IF(OR(AND(E305&lt;&gt;"",E305&lt;B305),AND(F305&lt;&gt;"",F305&lt;B305)),"Evento anterior à entrada",IF(AND(F305&lt;&gt;"",E305=""),"Conversa sem agendamento",IF(OR(E305&gt;TODAY(),F305&gt;TODAY()),"Verificar evento futuro","OK"))))))</f>
        <v/>
      </c>
    </row>
    <row r="306" spans="9:12">
      <c r="I306" s="5">
        <f>IF(OR(A306="",B306=""),"",B306-WEEKDAY(B306,2)+1)</f>
        <v/>
      </c>
      <c r="J306" s="5">
        <f>IF(I306="","",I306+6)</f>
        <v/>
      </c>
      <c r="K306" s="6">
        <f>IF(OR(A306="",B306=""),"",DATE(YEAR(B306),MONTH(B306),1))</f>
        <v/>
      </c>
      <c r="L306" s="7">
        <f>IF(COUNTA(A306,B306)=0,"",IF(OR(A306="",B306=""),"Preencher CPF e entrada",IF(COUNTIFS($A$12:$A$5011,A306,$B$12:$B$5011,B306)&gt;1,"CPF + dia duplicado",IF(OR(AND(E306&lt;&gt;"",E306&lt;B306),AND(F306&lt;&gt;"",F306&lt;B306)),"Evento anterior à entrada",IF(AND(F306&lt;&gt;"",E306=""),"Conversa sem agendamento",IF(OR(E306&gt;TODAY(),F306&gt;TODAY()),"Verificar evento futuro","OK"))))))</f>
        <v/>
      </c>
    </row>
    <row r="307" spans="9:12">
      <c r="I307" s="5">
        <f>IF(OR(A307="",B307=""),"",B307-WEEKDAY(B307,2)+1)</f>
        <v/>
      </c>
      <c r="J307" s="5">
        <f>IF(I307="","",I307+6)</f>
        <v/>
      </c>
      <c r="K307" s="6">
        <f>IF(OR(A307="",B307=""),"",DATE(YEAR(B307),MONTH(B307),1))</f>
        <v/>
      </c>
      <c r="L307" s="7">
        <f>IF(COUNTA(A307,B307)=0,"",IF(OR(A307="",B307=""),"Preencher CPF e entrada",IF(COUNTIFS($A$12:$A$5011,A307,$B$12:$B$5011,B307)&gt;1,"CPF + dia duplicado",IF(OR(AND(E307&lt;&gt;"",E307&lt;B307),AND(F307&lt;&gt;"",F307&lt;B307)),"Evento anterior à entrada",IF(AND(F307&lt;&gt;"",E307=""),"Conversa sem agendamento",IF(OR(E307&gt;TODAY(),F307&gt;TODAY()),"Verificar evento futuro","OK"))))))</f>
        <v/>
      </c>
    </row>
    <row r="308" spans="9:12">
      <c r="I308" s="5">
        <f>IF(OR(A308="",B308=""),"",B308-WEEKDAY(B308,2)+1)</f>
        <v/>
      </c>
      <c r="J308" s="5">
        <f>IF(I308="","",I308+6)</f>
        <v/>
      </c>
      <c r="K308" s="6">
        <f>IF(OR(A308="",B308=""),"",DATE(YEAR(B308),MONTH(B308),1))</f>
        <v/>
      </c>
      <c r="L308" s="7">
        <f>IF(COUNTA(A308,B308)=0,"",IF(OR(A308="",B308=""),"Preencher CPF e entrada",IF(COUNTIFS($A$12:$A$5011,A308,$B$12:$B$5011,B308)&gt;1,"CPF + dia duplicado",IF(OR(AND(E308&lt;&gt;"",E308&lt;B308),AND(F308&lt;&gt;"",F308&lt;B308)),"Evento anterior à entrada",IF(AND(F308&lt;&gt;"",E308=""),"Conversa sem agendamento",IF(OR(E308&gt;TODAY(),F308&gt;TODAY()),"Verificar evento futuro","OK"))))))</f>
        <v/>
      </c>
    </row>
    <row r="309" spans="9:12">
      <c r="I309" s="5">
        <f>IF(OR(A309="",B309=""),"",B309-WEEKDAY(B309,2)+1)</f>
        <v/>
      </c>
      <c r="J309" s="5">
        <f>IF(I309="","",I309+6)</f>
        <v/>
      </c>
      <c r="K309" s="6">
        <f>IF(OR(A309="",B309=""),"",DATE(YEAR(B309),MONTH(B309),1))</f>
        <v/>
      </c>
      <c r="L309" s="7">
        <f>IF(COUNTA(A309,B309)=0,"",IF(OR(A309="",B309=""),"Preencher CPF e entrada",IF(COUNTIFS($A$12:$A$5011,A309,$B$12:$B$5011,B309)&gt;1,"CPF + dia duplicado",IF(OR(AND(E309&lt;&gt;"",E309&lt;B309),AND(F309&lt;&gt;"",F309&lt;B309)),"Evento anterior à entrada",IF(AND(F309&lt;&gt;"",E309=""),"Conversa sem agendamento",IF(OR(E309&gt;TODAY(),F309&gt;TODAY()),"Verificar evento futuro","OK"))))))</f>
        <v/>
      </c>
    </row>
    <row r="310" spans="9:12">
      <c r="I310" s="5">
        <f>IF(OR(A310="",B310=""),"",B310-WEEKDAY(B310,2)+1)</f>
        <v/>
      </c>
      <c r="J310" s="5">
        <f>IF(I310="","",I310+6)</f>
        <v/>
      </c>
      <c r="K310" s="6">
        <f>IF(OR(A310="",B310=""),"",DATE(YEAR(B310),MONTH(B310),1))</f>
        <v/>
      </c>
      <c r="L310" s="7">
        <f>IF(COUNTA(A310,B310)=0,"",IF(OR(A310="",B310=""),"Preencher CPF e entrada",IF(COUNTIFS($A$12:$A$5011,A310,$B$12:$B$5011,B310)&gt;1,"CPF + dia duplicado",IF(OR(AND(E310&lt;&gt;"",E310&lt;B310),AND(F310&lt;&gt;"",F310&lt;B310)),"Evento anterior à entrada",IF(AND(F310&lt;&gt;"",E310=""),"Conversa sem agendamento",IF(OR(E310&gt;TODAY(),F310&gt;TODAY()),"Verificar evento futuro","OK"))))))</f>
        <v/>
      </c>
    </row>
    <row r="311" spans="9:12">
      <c r="I311" s="5">
        <f>IF(OR(A311="",B311=""),"",B311-WEEKDAY(B311,2)+1)</f>
        <v/>
      </c>
      <c r="J311" s="5">
        <f>IF(I311="","",I311+6)</f>
        <v/>
      </c>
      <c r="K311" s="6">
        <f>IF(OR(A311="",B311=""),"",DATE(YEAR(B311),MONTH(B311),1))</f>
        <v/>
      </c>
      <c r="L311" s="7">
        <f>IF(COUNTA(A311,B311)=0,"",IF(OR(A311="",B311=""),"Preencher CPF e entrada",IF(COUNTIFS($A$12:$A$5011,A311,$B$12:$B$5011,B311)&gt;1,"CPF + dia duplicado",IF(OR(AND(E311&lt;&gt;"",E311&lt;B311),AND(F311&lt;&gt;"",F311&lt;B311)),"Evento anterior à entrada",IF(AND(F311&lt;&gt;"",E311=""),"Conversa sem agendamento",IF(OR(E311&gt;TODAY(),F311&gt;TODAY()),"Verificar evento futuro","OK"))))))</f>
        <v/>
      </c>
    </row>
    <row r="312" spans="9:12">
      <c r="I312" s="5">
        <f>IF(OR(A312="",B312=""),"",B312-WEEKDAY(B312,2)+1)</f>
        <v/>
      </c>
      <c r="J312" s="5">
        <f>IF(I312="","",I312+6)</f>
        <v/>
      </c>
      <c r="K312" s="6">
        <f>IF(OR(A312="",B312=""),"",DATE(YEAR(B312),MONTH(B312),1))</f>
        <v/>
      </c>
      <c r="L312" s="7">
        <f>IF(COUNTA(A312,B312)=0,"",IF(OR(A312="",B312=""),"Preencher CPF e entrada",IF(COUNTIFS($A$12:$A$5011,A312,$B$12:$B$5011,B312)&gt;1,"CPF + dia duplicado",IF(OR(AND(E312&lt;&gt;"",E312&lt;B312),AND(F312&lt;&gt;"",F312&lt;B312)),"Evento anterior à entrada",IF(AND(F312&lt;&gt;"",E312=""),"Conversa sem agendamento",IF(OR(E312&gt;TODAY(),F312&gt;TODAY()),"Verificar evento futuro","OK"))))))</f>
        <v/>
      </c>
    </row>
    <row r="313" spans="9:12">
      <c r="I313" s="5">
        <f>IF(OR(A313="",B313=""),"",B313-WEEKDAY(B313,2)+1)</f>
        <v/>
      </c>
      <c r="J313" s="5">
        <f>IF(I313="","",I313+6)</f>
        <v/>
      </c>
      <c r="K313" s="6">
        <f>IF(OR(A313="",B313=""),"",DATE(YEAR(B313),MONTH(B313),1))</f>
        <v/>
      </c>
      <c r="L313" s="7">
        <f>IF(COUNTA(A313,B313)=0,"",IF(OR(A313="",B313=""),"Preencher CPF e entrada",IF(COUNTIFS($A$12:$A$5011,A313,$B$12:$B$5011,B313)&gt;1,"CPF + dia duplicado",IF(OR(AND(E313&lt;&gt;"",E313&lt;B313),AND(F313&lt;&gt;"",F313&lt;B313)),"Evento anterior à entrada",IF(AND(F313&lt;&gt;"",E313=""),"Conversa sem agendamento",IF(OR(E313&gt;TODAY(),F313&gt;TODAY()),"Verificar evento futuro","OK"))))))</f>
        <v/>
      </c>
    </row>
    <row r="314" spans="9:12">
      <c r="I314" s="5">
        <f>IF(OR(A314="",B314=""),"",B314-WEEKDAY(B314,2)+1)</f>
        <v/>
      </c>
      <c r="J314" s="5">
        <f>IF(I314="","",I314+6)</f>
        <v/>
      </c>
      <c r="K314" s="6">
        <f>IF(OR(A314="",B314=""),"",DATE(YEAR(B314),MONTH(B314),1))</f>
        <v/>
      </c>
      <c r="L314" s="7">
        <f>IF(COUNTA(A314,B314)=0,"",IF(OR(A314="",B314=""),"Preencher CPF e entrada",IF(COUNTIFS($A$12:$A$5011,A314,$B$12:$B$5011,B314)&gt;1,"CPF + dia duplicado",IF(OR(AND(E314&lt;&gt;"",E314&lt;B314),AND(F314&lt;&gt;"",F314&lt;B314)),"Evento anterior à entrada",IF(AND(F314&lt;&gt;"",E314=""),"Conversa sem agendamento",IF(OR(E314&gt;TODAY(),F314&gt;TODAY()),"Verificar evento futuro","OK"))))))</f>
        <v/>
      </c>
    </row>
    <row r="315" spans="9:12">
      <c r="I315" s="5">
        <f>IF(OR(A315="",B315=""),"",B315-WEEKDAY(B315,2)+1)</f>
        <v/>
      </c>
      <c r="J315" s="5">
        <f>IF(I315="","",I315+6)</f>
        <v/>
      </c>
      <c r="K315" s="6">
        <f>IF(OR(A315="",B315=""),"",DATE(YEAR(B315),MONTH(B315),1))</f>
        <v/>
      </c>
      <c r="L315" s="7">
        <f>IF(COUNTA(A315,B315)=0,"",IF(OR(A315="",B315=""),"Preencher CPF e entrada",IF(COUNTIFS($A$12:$A$5011,A315,$B$12:$B$5011,B315)&gt;1,"CPF + dia duplicado",IF(OR(AND(E315&lt;&gt;"",E315&lt;B315),AND(F315&lt;&gt;"",F315&lt;B315)),"Evento anterior à entrada",IF(AND(F315&lt;&gt;"",E315=""),"Conversa sem agendamento",IF(OR(E315&gt;TODAY(),F315&gt;TODAY()),"Verificar evento futuro","OK"))))))</f>
        <v/>
      </c>
    </row>
    <row r="316" spans="9:12">
      <c r="I316" s="5">
        <f>IF(OR(A316="",B316=""),"",B316-WEEKDAY(B316,2)+1)</f>
        <v/>
      </c>
      <c r="J316" s="5">
        <f>IF(I316="","",I316+6)</f>
        <v/>
      </c>
      <c r="K316" s="6">
        <f>IF(OR(A316="",B316=""),"",DATE(YEAR(B316),MONTH(B316),1))</f>
        <v/>
      </c>
      <c r="L316" s="7">
        <f>IF(COUNTA(A316,B316)=0,"",IF(OR(A316="",B316=""),"Preencher CPF e entrada",IF(COUNTIFS($A$12:$A$5011,A316,$B$12:$B$5011,B316)&gt;1,"CPF + dia duplicado",IF(OR(AND(E316&lt;&gt;"",E316&lt;B316),AND(F316&lt;&gt;"",F316&lt;B316)),"Evento anterior à entrada",IF(AND(F316&lt;&gt;"",E316=""),"Conversa sem agendamento",IF(OR(E316&gt;TODAY(),F316&gt;TODAY()),"Verificar evento futuro","OK"))))))</f>
        <v/>
      </c>
    </row>
    <row r="317" spans="9:12">
      <c r="I317" s="5">
        <f>IF(OR(A317="",B317=""),"",B317-WEEKDAY(B317,2)+1)</f>
        <v/>
      </c>
      <c r="J317" s="5">
        <f>IF(I317="","",I317+6)</f>
        <v/>
      </c>
      <c r="K317" s="6">
        <f>IF(OR(A317="",B317=""),"",DATE(YEAR(B317),MONTH(B317),1))</f>
        <v/>
      </c>
      <c r="L317" s="7">
        <f>IF(COUNTA(A317,B317)=0,"",IF(OR(A317="",B317=""),"Preencher CPF e entrada",IF(COUNTIFS($A$12:$A$5011,A317,$B$12:$B$5011,B317)&gt;1,"CPF + dia duplicado",IF(OR(AND(E317&lt;&gt;"",E317&lt;B317),AND(F317&lt;&gt;"",F317&lt;B317)),"Evento anterior à entrada",IF(AND(F317&lt;&gt;"",E317=""),"Conversa sem agendamento",IF(OR(E317&gt;TODAY(),F317&gt;TODAY()),"Verificar evento futuro","OK"))))))</f>
        <v/>
      </c>
    </row>
    <row r="318" spans="9:12">
      <c r="I318" s="5">
        <f>IF(OR(A318="",B318=""),"",B318-WEEKDAY(B318,2)+1)</f>
        <v/>
      </c>
      <c r="J318" s="5">
        <f>IF(I318="","",I318+6)</f>
        <v/>
      </c>
      <c r="K318" s="6">
        <f>IF(OR(A318="",B318=""),"",DATE(YEAR(B318),MONTH(B318),1))</f>
        <v/>
      </c>
      <c r="L318" s="7">
        <f>IF(COUNTA(A318,B318)=0,"",IF(OR(A318="",B318=""),"Preencher CPF e entrada",IF(COUNTIFS($A$12:$A$5011,A318,$B$12:$B$5011,B318)&gt;1,"CPF + dia duplicado",IF(OR(AND(E318&lt;&gt;"",E318&lt;B318),AND(F318&lt;&gt;"",F318&lt;B318)),"Evento anterior à entrada",IF(AND(F318&lt;&gt;"",E318=""),"Conversa sem agendamento",IF(OR(E318&gt;TODAY(),F318&gt;TODAY()),"Verificar evento futuro","OK"))))))</f>
        <v/>
      </c>
    </row>
    <row r="319" spans="9:12">
      <c r="I319" s="5">
        <f>IF(OR(A319="",B319=""),"",B319-WEEKDAY(B319,2)+1)</f>
        <v/>
      </c>
      <c r="J319" s="5">
        <f>IF(I319="","",I319+6)</f>
        <v/>
      </c>
      <c r="K319" s="6">
        <f>IF(OR(A319="",B319=""),"",DATE(YEAR(B319),MONTH(B319),1))</f>
        <v/>
      </c>
      <c r="L319" s="7">
        <f>IF(COUNTA(A319,B319)=0,"",IF(OR(A319="",B319=""),"Preencher CPF e entrada",IF(COUNTIFS($A$12:$A$5011,A319,$B$12:$B$5011,B319)&gt;1,"CPF + dia duplicado",IF(OR(AND(E319&lt;&gt;"",E319&lt;B319),AND(F319&lt;&gt;"",F319&lt;B319)),"Evento anterior à entrada",IF(AND(F319&lt;&gt;"",E319=""),"Conversa sem agendamento",IF(OR(E319&gt;TODAY(),F319&gt;TODAY()),"Verificar evento futuro","OK"))))))</f>
        <v/>
      </c>
    </row>
    <row r="320" spans="9:12">
      <c r="I320" s="5">
        <f>IF(OR(A320="",B320=""),"",B320-WEEKDAY(B320,2)+1)</f>
        <v/>
      </c>
      <c r="J320" s="5">
        <f>IF(I320="","",I320+6)</f>
        <v/>
      </c>
      <c r="K320" s="6">
        <f>IF(OR(A320="",B320=""),"",DATE(YEAR(B320),MONTH(B320),1))</f>
        <v/>
      </c>
      <c r="L320" s="7">
        <f>IF(COUNTA(A320,B320)=0,"",IF(OR(A320="",B320=""),"Preencher CPF e entrada",IF(COUNTIFS($A$12:$A$5011,A320,$B$12:$B$5011,B320)&gt;1,"CPF + dia duplicado",IF(OR(AND(E320&lt;&gt;"",E320&lt;B320),AND(F320&lt;&gt;"",F320&lt;B320)),"Evento anterior à entrada",IF(AND(F320&lt;&gt;"",E320=""),"Conversa sem agendamento",IF(OR(E320&gt;TODAY(),F320&gt;TODAY()),"Verificar evento futuro","OK"))))))</f>
        <v/>
      </c>
    </row>
    <row r="321" spans="9:12">
      <c r="I321" s="5">
        <f>IF(OR(A321="",B321=""),"",B321-WEEKDAY(B321,2)+1)</f>
        <v/>
      </c>
      <c r="J321" s="5">
        <f>IF(I321="","",I321+6)</f>
        <v/>
      </c>
      <c r="K321" s="6">
        <f>IF(OR(A321="",B321=""),"",DATE(YEAR(B321),MONTH(B321),1))</f>
        <v/>
      </c>
      <c r="L321" s="7">
        <f>IF(COUNTA(A321,B321)=0,"",IF(OR(A321="",B321=""),"Preencher CPF e entrada",IF(COUNTIFS($A$12:$A$5011,A321,$B$12:$B$5011,B321)&gt;1,"CPF + dia duplicado",IF(OR(AND(E321&lt;&gt;"",E321&lt;B321),AND(F321&lt;&gt;"",F321&lt;B321)),"Evento anterior à entrada",IF(AND(F321&lt;&gt;"",E321=""),"Conversa sem agendamento",IF(OR(E321&gt;TODAY(),F321&gt;TODAY()),"Verificar evento futuro","OK"))))))</f>
        <v/>
      </c>
    </row>
    <row r="322" spans="9:12">
      <c r="I322" s="5">
        <f>IF(OR(A322="",B322=""),"",B322-WEEKDAY(B322,2)+1)</f>
        <v/>
      </c>
      <c r="J322" s="5">
        <f>IF(I322="","",I322+6)</f>
        <v/>
      </c>
      <c r="K322" s="6">
        <f>IF(OR(A322="",B322=""),"",DATE(YEAR(B322),MONTH(B322),1))</f>
        <v/>
      </c>
      <c r="L322" s="7">
        <f>IF(COUNTA(A322,B322)=0,"",IF(OR(A322="",B322=""),"Preencher CPF e entrada",IF(COUNTIFS($A$12:$A$5011,A322,$B$12:$B$5011,B322)&gt;1,"CPF + dia duplicado",IF(OR(AND(E322&lt;&gt;"",E322&lt;B322),AND(F322&lt;&gt;"",F322&lt;B322)),"Evento anterior à entrada",IF(AND(F322&lt;&gt;"",E322=""),"Conversa sem agendamento",IF(OR(E322&gt;TODAY(),F322&gt;TODAY()),"Verificar evento futuro","OK"))))))</f>
        <v/>
      </c>
    </row>
    <row r="323" spans="9:12">
      <c r="I323" s="5">
        <f>IF(OR(A323="",B323=""),"",B323-WEEKDAY(B323,2)+1)</f>
        <v/>
      </c>
      <c r="J323" s="5">
        <f>IF(I323="","",I323+6)</f>
        <v/>
      </c>
      <c r="K323" s="6">
        <f>IF(OR(A323="",B323=""),"",DATE(YEAR(B323),MONTH(B323),1))</f>
        <v/>
      </c>
      <c r="L323" s="7">
        <f>IF(COUNTA(A323,B323)=0,"",IF(OR(A323="",B323=""),"Preencher CPF e entrada",IF(COUNTIFS($A$12:$A$5011,A323,$B$12:$B$5011,B323)&gt;1,"CPF + dia duplicado",IF(OR(AND(E323&lt;&gt;"",E323&lt;B323),AND(F323&lt;&gt;"",F323&lt;B323)),"Evento anterior à entrada",IF(AND(F323&lt;&gt;"",E323=""),"Conversa sem agendamento",IF(OR(E323&gt;TODAY(),F323&gt;TODAY()),"Verificar evento futuro","OK"))))))</f>
        <v/>
      </c>
    </row>
    <row r="324" spans="9:12">
      <c r="I324" s="5">
        <f>IF(OR(A324="",B324=""),"",B324-WEEKDAY(B324,2)+1)</f>
        <v/>
      </c>
      <c r="J324" s="5">
        <f>IF(I324="","",I324+6)</f>
        <v/>
      </c>
      <c r="K324" s="6">
        <f>IF(OR(A324="",B324=""),"",DATE(YEAR(B324),MONTH(B324),1))</f>
        <v/>
      </c>
      <c r="L324" s="7">
        <f>IF(COUNTA(A324,B324)=0,"",IF(OR(A324="",B324=""),"Preencher CPF e entrada",IF(COUNTIFS($A$12:$A$5011,A324,$B$12:$B$5011,B324)&gt;1,"CPF + dia duplicado",IF(OR(AND(E324&lt;&gt;"",E324&lt;B324),AND(F324&lt;&gt;"",F324&lt;B324)),"Evento anterior à entrada",IF(AND(F324&lt;&gt;"",E324=""),"Conversa sem agendamento",IF(OR(E324&gt;TODAY(),F324&gt;TODAY()),"Verificar evento futuro","OK"))))))</f>
        <v/>
      </c>
    </row>
    <row r="325" spans="9:12">
      <c r="I325" s="5">
        <f>IF(OR(A325="",B325=""),"",B325-WEEKDAY(B325,2)+1)</f>
        <v/>
      </c>
      <c r="J325" s="5">
        <f>IF(I325="","",I325+6)</f>
        <v/>
      </c>
      <c r="K325" s="6">
        <f>IF(OR(A325="",B325=""),"",DATE(YEAR(B325),MONTH(B325),1))</f>
        <v/>
      </c>
      <c r="L325" s="7">
        <f>IF(COUNTA(A325,B325)=0,"",IF(OR(A325="",B325=""),"Preencher CPF e entrada",IF(COUNTIFS($A$12:$A$5011,A325,$B$12:$B$5011,B325)&gt;1,"CPF + dia duplicado",IF(OR(AND(E325&lt;&gt;"",E325&lt;B325),AND(F325&lt;&gt;"",F325&lt;B325)),"Evento anterior à entrada",IF(AND(F325&lt;&gt;"",E325=""),"Conversa sem agendamento",IF(OR(E325&gt;TODAY(),F325&gt;TODAY()),"Verificar evento futuro","OK"))))))</f>
        <v/>
      </c>
    </row>
    <row r="326" spans="9:12">
      <c r="I326" s="5">
        <f>IF(OR(A326="",B326=""),"",B326-WEEKDAY(B326,2)+1)</f>
        <v/>
      </c>
      <c r="J326" s="5">
        <f>IF(I326="","",I326+6)</f>
        <v/>
      </c>
      <c r="K326" s="6">
        <f>IF(OR(A326="",B326=""),"",DATE(YEAR(B326),MONTH(B326),1))</f>
        <v/>
      </c>
      <c r="L326" s="7">
        <f>IF(COUNTA(A326,B326)=0,"",IF(OR(A326="",B326=""),"Preencher CPF e entrada",IF(COUNTIFS($A$12:$A$5011,A326,$B$12:$B$5011,B326)&gt;1,"CPF + dia duplicado",IF(OR(AND(E326&lt;&gt;"",E326&lt;B326),AND(F326&lt;&gt;"",F326&lt;B326)),"Evento anterior à entrada",IF(AND(F326&lt;&gt;"",E326=""),"Conversa sem agendamento",IF(OR(E326&gt;TODAY(),F326&gt;TODAY()),"Verificar evento futuro","OK"))))))</f>
        <v/>
      </c>
    </row>
    <row r="327" spans="9:12">
      <c r="I327" s="5">
        <f>IF(OR(A327="",B327=""),"",B327-WEEKDAY(B327,2)+1)</f>
        <v/>
      </c>
      <c r="J327" s="5">
        <f>IF(I327="","",I327+6)</f>
        <v/>
      </c>
      <c r="K327" s="6">
        <f>IF(OR(A327="",B327=""),"",DATE(YEAR(B327),MONTH(B327),1))</f>
        <v/>
      </c>
      <c r="L327" s="7">
        <f>IF(COUNTA(A327,B327)=0,"",IF(OR(A327="",B327=""),"Preencher CPF e entrada",IF(COUNTIFS($A$12:$A$5011,A327,$B$12:$B$5011,B327)&gt;1,"CPF + dia duplicado",IF(OR(AND(E327&lt;&gt;"",E327&lt;B327),AND(F327&lt;&gt;"",F327&lt;B327)),"Evento anterior à entrada",IF(AND(F327&lt;&gt;"",E327=""),"Conversa sem agendamento",IF(OR(E327&gt;TODAY(),F327&gt;TODAY()),"Verificar evento futuro","OK"))))))</f>
        <v/>
      </c>
    </row>
    <row r="328" spans="9:12">
      <c r="I328" s="5">
        <f>IF(OR(A328="",B328=""),"",B328-WEEKDAY(B328,2)+1)</f>
        <v/>
      </c>
      <c r="J328" s="5">
        <f>IF(I328="","",I328+6)</f>
        <v/>
      </c>
      <c r="K328" s="6">
        <f>IF(OR(A328="",B328=""),"",DATE(YEAR(B328),MONTH(B328),1))</f>
        <v/>
      </c>
      <c r="L328" s="7">
        <f>IF(COUNTA(A328,B328)=0,"",IF(OR(A328="",B328=""),"Preencher CPF e entrada",IF(COUNTIFS($A$12:$A$5011,A328,$B$12:$B$5011,B328)&gt;1,"CPF + dia duplicado",IF(OR(AND(E328&lt;&gt;"",E328&lt;B328),AND(F328&lt;&gt;"",F328&lt;B328)),"Evento anterior à entrada",IF(AND(F328&lt;&gt;"",E328=""),"Conversa sem agendamento",IF(OR(E328&gt;TODAY(),F328&gt;TODAY()),"Verificar evento futuro","OK"))))))</f>
        <v/>
      </c>
    </row>
    <row r="329" spans="9:12">
      <c r="I329" s="5">
        <f>IF(OR(A329="",B329=""),"",B329-WEEKDAY(B329,2)+1)</f>
        <v/>
      </c>
      <c r="J329" s="5">
        <f>IF(I329="","",I329+6)</f>
        <v/>
      </c>
      <c r="K329" s="6">
        <f>IF(OR(A329="",B329=""),"",DATE(YEAR(B329),MONTH(B329),1))</f>
        <v/>
      </c>
      <c r="L329" s="7">
        <f>IF(COUNTA(A329,B329)=0,"",IF(OR(A329="",B329=""),"Preencher CPF e entrada",IF(COUNTIFS($A$12:$A$5011,A329,$B$12:$B$5011,B329)&gt;1,"CPF + dia duplicado",IF(OR(AND(E329&lt;&gt;"",E329&lt;B329),AND(F329&lt;&gt;"",F329&lt;B329)),"Evento anterior à entrada",IF(AND(F329&lt;&gt;"",E329=""),"Conversa sem agendamento",IF(OR(E329&gt;TODAY(),F329&gt;TODAY()),"Verificar evento futuro","OK"))))))</f>
        <v/>
      </c>
    </row>
    <row r="330" spans="9:12">
      <c r="I330" s="5">
        <f>IF(OR(A330="",B330=""),"",B330-WEEKDAY(B330,2)+1)</f>
        <v/>
      </c>
      <c r="J330" s="5">
        <f>IF(I330="","",I330+6)</f>
        <v/>
      </c>
      <c r="K330" s="6">
        <f>IF(OR(A330="",B330=""),"",DATE(YEAR(B330),MONTH(B330),1))</f>
        <v/>
      </c>
      <c r="L330" s="7">
        <f>IF(COUNTA(A330,B330)=0,"",IF(OR(A330="",B330=""),"Preencher CPF e entrada",IF(COUNTIFS($A$12:$A$5011,A330,$B$12:$B$5011,B330)&gt;1,"CPF + dia duplicado",IF(OR(AND(E330&lt;&gt;"",E330&lt;B330),AND(F330&lt;&gt;"",F330&lt;B330)),"Evento anterior à entrada",IF(AND(F330&lt;&gt;"",E330=""),"Conversa sem agendamento",IF(OR(E330&gt;TODAY(),F330&gt;TODAY()),"Verificar evento futuro","OK"))))))</f>
        <v/>
      </c>
    </row>
    <row r="331" spans="9:12">
      <c r="I331" s="5">
        <f>IF(OR(A331="",B331=""),"",B331-WEEKDAY(B331,2)+1)</f>
        <v/>
      </c>
      <c r="J331" s="5">
        <f>IF(I331="","",I331+6)</f>
        <v/>
      </c>
      <c r="K331" s="6">
        <f>IF(OR(A331="",B331=""),"",DATE(YEAR(B331),MONTH(B331),1))</f>
        <v/>
      </c>
      <c r="L331" s="7">
        <f>IF(COUNTA(A331,B331)=0,"",IF(OR(A331="",B331=""),"Preencher CPF e entrada",IF(COUNTIFS($A$12:$A$5011,A331,$B$12:$B$5011,B331)&gt;1,"CPF + dia duplicado",IF(OR(AND(E331&lt;&gt;"",E331&lt;B331),AND(F331&lt;&gt;"",F331&lt;B331)),"Evento anterior à entrada",IF(AND(F331&lt;&gt;"",E331=""),"Conversa sem agendamento",IF(OR(E331&gt;TODAY(),F331&gt;TODAY()),"Verificar evento futuro","OK"))))))</f>
        <v/>
      </c>
    </row>
    <row r="332" spans="9:12">
      <c r="I332" s="5">
        <f>IF(OR(A332="",B332=""),"",B332-WEEKDAY(B332,2)+1)</f>
        <v/>
      </c>
      <c r="J332" s="5">
        <f>IF(I332="","",I332+6)</f>
        <v/>
      </c>
      <c r="K332" s="6">
        <f>IF(OR(A332="",B332=""),"",DATE(YEAR(B332),MONTH(B332),1))</f>
        <v/>
      </c>
      <c r="L332" s="7">
        <f>IF(COUNTA(A332,B332)=0,"",IF(OR(A332="",B332=""),"Preencher CPF e entrada",IF(COUNTIFS($A$12:$A$5011,A332,$B$12:$B$5011,B332)&gt;1,"CPF + dia duplicado",IF(OR(AND(E332&lt;&gt;"",E332&lt;B332),AND(F332&lt;&gt;"",F332&lt;B332)),"Evento anterior à entrada",IF(AND(F332&lt;&gt;"",E332=""),"Conversa sem agendamento",IF(OR(E332&gt;TODAY(),F332&gt;TODAY()),"Verificar evento futuro","OK"))))))</f>
        <v/>
      </c>
    </row>
    <row r="333" spans="9:12">
      <c r="I333" s="5">
        <f>IF(OR(A333="",B333=""),"",B333-WEEKDAY(B333,2)+1)</f>
        <v/>
      </c>
      <c r="J333" s="5">
        <f>IF(I333="","",I333+6)</f>
        <v/>
      </c>
      <c r="K333" s="6">
        <f>IF(OR(A333="",B333=""),"",DATE(YEAR(B333),MONTH(B333),1))</f>
        <v/>
      </c>
      <c r="L333" s="7">
        <f>IF(COUNTA(A333,B333)=0,"",IF(OR(A333="",B333=""),"Preencher CPF e entrada",IF(COUNTIFS($A$12:$A$5011,A333,$B$12:$B$5011,B333)&gt;1,"CPF + dia duplicado",IF(OR(AND(E333&lt;&gt;"",E333&lt;B333),AND(F333&lt;&gt;"",F333&lt;B333)),"Evento anterior à entrada",IF(AND(F333&lt;&gt;"",E333=""),"Conversa sem agendamento",IF(OR(E333&gt;TODAY(),F333&gt;TODAY()),"Verificar evento futuro","OK"))))))</f>
        <v/>
      </c>
    </row>
    <row r="334" spans="9:12">
      <c r="I334" s="5">
        <f>IF(OR(A334="",B334=""),"",B334-WEEKDAY(B334,2)+1)</f>
        <v/>
      </c>
      <c r="J334" s="5">
        <f>IF(I334="","",I334+6)</f>
        <v/>
      </c>
      <c r="K334" s="6">
        <f>IF(OR(A334="",B334=""),"",DATE(YEAR(B334),MONTH(B334),1))</f>
        <v/>
      </c>
      <c r="L334" s="7">
        <f>IF(COUNTA(A334,B334)=0,"",IF(OR(A334="",B334=""),"Preencher CPF e entrada",IF(COUNTIFS($A$12:$A$5011,A334,$B$12:$B$5011,B334)&gt;1,"CPF + dia duplicado",IF(OR(AND(E334&lt;&gt;"",E334&lt;B334),AND(F334&lt;&gt;"",F334&lt;B334)),"Evento anterior à entrada",IF(AND(F334&lt;&gt;"",E334=""),"Conversa sem agendamento",IF(OR(E334&gt;TODAY(),F334&gt;TODAY()),"Verificar evento futuro","OK"))))))</f>
        <v/>
      </c>
    </row>
    <row r="335" spans="9:12">
      <c r="I335" s="5">
        <f>IF(OR(A335="",B335=""),"",B335-WEEKDAY(B335,2)+1)</f>
        <v/>
      </c>
      <c r="J335" s="5">
        <f>IF(I335="","",I335+6)</f>
        <v/>
      </c>
      <c r="K335" s="6">
        <f>IF(OR(A335="",B335=""),"",DATE(YEAR(B335),MONTH(B335),1))</f>
        <v/>
      </c>
      <c r="L335" s="7">
        <f>IF(COUNTA(A335,B335)=0,"",IF(OR(A335="",B335=""),"Preencher CPF e entrada",IF(COUNTIFS($A$12:$A$5011,A335,$B$12:$B$5011,B335)&gt;1,"CPF + dia duplicado",IF(OR(AND(E335&lt;&gt;"",E335&lt;B335),AND(F335&lt;&gt;"",F335&lt;B335)),"Evento anterior à entrada",IF(AND(F335&lt;&gt;"",E335=""),"Conversa sem agendamento",IF(OR(E335&gt;TODAY(),F335&gt;TODAY()),"Verificar evento futuro","OK"))))))</f>
        <v/>
      </c>
    </row>
    <row r="336" spans="9:12">
      <c r="I336" s="5">
        <f>IF(OR(A336="",B336=""),"",B336-WEEKDAY(B336,2)+1)</f>
        <v/>
      </c>
      <c r="J336" s="5">
        <f>IF(I336="","",I336+6)</f>
        <v/>
      </c>
      <c r="K336" s="6">
        <f>IF(OR(A336="",B336=""),"",DATE(YEAR(B336),MONTH(B336),1))</f>
        <v/>
      </c>
      <c r="L336" s="7">
        <f>IF(COUNTA(A336,B336)=0,"",IF(OR(A336="",B336=""),"Preencher CPF e entrada",IF(COUNTIFS($A$12:$A$5011,A336,$B$12:$B$5011,B336)&gt;1,"CPF + dia duplicado",IF(OR(AND(E336&lt;&gt;"",E336&lt;B336),AND(F336&lt;&gt;"",F336&lt;B336)),"Evento anterior à entrada",IF(AND(F336&lt;&gt;"",E336=""),"Conversa sem agendamento",IF(OR(E336&gt;TODAY(),F336&gt;TODAY()),"Verificar evento futuro","OK"))))))</f>
        <v/>
      </c>
    </row>
    <row r="337" spans="9:12">
      <c r="I337" s="5">
        <f>IF(OR(A337="",B337=""),"",B337-WEEKDAY(B337,2)+1)</f>
        <v/>
      </c>
      <c r="J337" s="5">
        <f>IF(I337="","",I337+6)</f>
        <v/>
      </c>
      <c r="K337" s="6">
        <f>IF(OR(A337="",B337=""),"",DATE(YEAR(B337),MONTH(B337),1))</f>
        <v/>
      </c>
      <c r="L337" s="7">
        <f>IF(COUNTA(A337,B337)=0,"",IF(OR(A337="",B337=""),"Preencher CPF e entrada",IF(COUNTIFS($A$12:$A$5011,A337,$B$12:$B$5011,B337)&gt;1,"CPF + dia duplicado",IF(OR(AND(E337&lt;&gt;"",E337&lt;B337),AND(F337&lt;&gt;"",F337&lt;B337)),"Evento anterior à entrada",IF(AND(F337&lt;&gt;"",E337=""),"Conversa sem agendamento",IF(OR(E337&gt;TODAY(),F337&gt;TODAY()),"Verificar evento futuro","OK"))))))</f>
        <v/>
      </c>
    </row>
    <row r="338" spans="9:12">
      <c r="I338" s="5">
        <f>IF(OR(A338="",B338=""),"",B338-WEEKDAY(B338,2)+1)</f>
        <v/>
      </c>
      <c r="J338" s="5">
        <f>IF(I338="","",I338+6)</f>
        <v/>
      </c>
      <c r="K338" s="6">
        <f>IF(OR(A338="",B338=""),"",DATE(YEAR(B338),MONTH(B338),1))</f>
        <v/>
      </c>
      <c r="L338" s="7">
        <f>IF(COUNTA(A338,B338)=0,"",IF(OR(A338="",B338=""),"Preencher CPF e entrada",IF(COUNTIFS($A$12:$A$5011,A338,$B$12:$B$5011,B338)&gt;1,"CPF + dia duplicado",IF(OR(AND(E338&lt;&gt;"",E338&lt;B338),AND(F338&lt;&gt;"",F338&lt;B338)),"Evento anterior à entrada",IF(AND(F338&lt;&gt;"",E338=""),"Conversa sem agendamento",IF(OR(E338&gt;TODAY(),F338&gt;TODAY()),"Verificar evento futuro","OK"))))))</f>
        <v/>
      </c>
    </row>
    <row r="339" spans="9:12">
      <c r="I339" s="5">
        <f>IF(OR(A339="",B339=""),"",B339-WEEKDAY(B339,2)+1)</f>
        <v/>
      </c>
      <c r="J339" s="5">
        <f>IF(I339="","",I339+6)</f>
        <v/>
      </c>
      <c r="K339" s="6">
        <f>IF(OR(A339="",B339=""),"",DATE(YEAR(B339),MONTH(B339),1))</f>
        <v/>
      </c>
      <c r="L339" s="7">
        <f>IF(COUNTA(A339,B339)=0,"",IF(OR(A339="",B339=""),"Preencher CPF e entrada",IF(COUNTIFS($A$12:$A$5011,A339,$B$12:$B$5011,B339)&gt;1,"CPF + dia duplicado",IF(OR(AND(E339&lt;&gt;"",E339&lt;B339),AND(F339&lt;&gt;"",F339&lt;B339)),"Evento anterior à entrada",IF(AND(F339&lt;&gt;"",E339=""),"Conversa sem agendamento",IF(OR(E339&gt;TODAY(),F339&gt;TODAY()),"Verificar evento futuro","OK"))))))</f>
        <v/>
      </c>
    </row>
    <row r="340" spans="9:12">
      <c r="I340" s="5">
        <f>IF(OR(A340="",B340=""),"",B340-WEEKDAY(B340,2)+1)</f>
        <v/>
      </c>
      <c r="J340" s="5">
        <f>IF(I340="","",I340+6)</f>
        <v/>
      </c>
      <c r="K340" s="6">
        <f>IF(OR(A340="",B340=""),"",DATE(YEAR(B340),MONTH(B340),1))</f>
        <v/>
      </c>
      <c r="L340" s="7">
        <f>IF(COUNTA(A340,B340)=0,"",IF(OR(A340="",B340=""),"Preencher CPF e entrada",IF(COUNTIFS($A$12:$A$5011,A340,$B$12:$B$5011,B340)&gt;1,"CPF + dia duplicado",IF(OR(AND(E340&lt;&gt;"",E340&lt;B340),AND(F340&lt;&gt;"",F340&lt;B340)),"Evento anterior à entrada",IF(AND(F340&lt;&gt;"",E340=""),"Conversa sem agendamento",IF(OR(E340&gt;TODAY(),F340&gt;TODAY()),"Verificar evento futuro","OK"))))))</f>
        <v/>
      </c>
    </row>
    <row r="341" spans="9:12">
      <c r="I341" s="5">
        <f>IF(OR(A341="",B341=""),"",B341-WEEKDAY(B341,2)+1)</f>
        <v/>
      </c>
      <c r="J341" s="5">
        <f>IF(I341="","",I341+6)</f>
        <v/>
      </c>
      <c r="K341" s="6">
        <f>IF(OR(A341="",B341=""),"",DATE(YEAR(B341),MONTH(B341),1))</f>
        <v/>
      </c>
      <c r="L341" s="7">
        <f>IF(COUNTA(A341,B341)=0,"",IF(OR(A341="",B341=""),"Preencher CPF e entrada",IF(COUNTIFS($A$12:$A$5011,A341,$B$12:$B$5011,B341)&gt;1,"CPF + dia duplicado",IF(OR(AND(E341&lt;&gt;"",E341&lt;B341),AND(F341&lt;&gt;"",F341&lt;B341)),"Evento anterior à entrada",IF(AND(F341&lt;&gt;"",E341=""),"Conversa sem agendamento",IF(OR(E341&gt;TODAY(),F341&gt;TODAY()),"Verificar evento futuro","OK"))))))</f>
        <v/>
      </c>
    </row>
    <row r="342" spans="9:12">
      <c r="I342" s="5">
        <f>IF(OR(A342="",B342=""),"",B342-WEEKDAY(B342,2)+1)</f>
        <v/>
      </c>
      <c r="J342" s="5">
        <f>IF(I342="","",I342+6)</f>
        <v/>
      </c>
      <c r="K342" s="6">
        <f>IF(OR(A342="",B342=""),"",DATE(YEAR(B342),MONTH(B342),1))</f>
        <v/>
      </c>
      <c r="L342" s="7">
        <f>IF(COUNTA(A342,B342)=0,"",IF(OR(A342="",B342=""),"Preencher CPF e entrada",IF(COUNTIFS($A$12:$A$5011,A342,$B$12:$B$5011,B342)&gt;1,"CPF + dia duplicado",IF(OR(AND(E342&lt;&gt;"",E342&lt;B342),AND(F342&lt;&gt;"",F342&lt;B342)),"Evento anterior à entrada",IF(AND(F342&lt;&gt;"",E342=""),"Conversa sem agendamento",IF(OR(E342&gt;TODAY(),F342&gt;TODAY()),"Verificar evento futuro","OK"))))))</f>
        <v/>
      </c>
    </row>
    <row r="343" spans="9:12">
      <c r="I343" s="5">
        <f>IF(OR(A343="",B343=""),"",B343-WEEKDAY(B343,2)+1)</f>
        <v/>
      </c>
      <c r="J343" s="5">
        <f>IF(I343="","",I343+6)</f>
        <v/>
      </c>
      <c r="K343" s="6">
        <f>IF(OR(A343="",B343=""),"",DATE(YEAR(B343),MONTH(B343),1))</f>
        <v/>
      </c>
      <c r="L343" s="7">
        <f>IF(COUNTA(A343,B343)=0,"",IF(OR(A343="",B343=""),"Preencher CPF e entrada",IF(COUNTIFS($A$12:$A$5011,A343,$B$12:$B$5011,B343)&gt;1,"CPF + dia duplicado",IF(OR(AND(E343&lt;&gt;"",E343&lt;B343),AND(F343&lt;&gt;"",F343&lt;B343)),"Evento anterior à entrada",IF(AND(F343&lt;&gt;"",E343=""),"Conversa sem agendamento",IF(OR(E343&gt;TODAY(),F343&gt;TODAY()),"Verificar evento futuro","OK"))))))</f>
        <v/>
      </c>
    </row>
    <row r="344" spans="9:12">
      <c r="I344" s="5">
        <f>IF(OR(A344="",B344=""),"",B344-WEEKDAY(B344,2)+1)</f>
        <v/>
      </c>
      <c r="J344" s="5">
        <f>IF(I344="","",I344+6)</f>
        <v/>
      </c>
      <c r="K344" s="6">
        <f>IF(OR(A344="",B344=""),"",DATE(YEAR(B344),MONTH(B344),1))</f>
        <v/>
      </c>
      <c r="L344" s="7">
        <f>IF(COUNTA(A344,B344)=0,"",IF(OR(A344="",B344=""),"Preencher CPF e entrada",IF(COUNTIFS($A$12:$A$5011,A344,$B$12:$B$5011,B344)&gt;1,"CPF + dia duplicado",IF(OR(AND(E344&lt;&gt;"",E344&lt;B344),AND(F344&lt;&gt;"",F344&lt;B344)),"Evento anterior à entrada",IF(AND(F344&lt;&gt;"",E344=""),"Conversa sem agendamento",IF(OR(E344&gt;TODAY(),F344&gt;TODAY()),"Verificar evento futuro","OK"))))))</f>
        <v/>
      </c>
    </row>
    <row r="345" spans="9:12">
      <c r="I345" s="5">
        <f>IF(OR(A345="",B345=""),"",B345-WEEKDAY(B345,2)+1)</f>
        <v/>
      </c>
      <c r="J345" s="5">
        <f>IF(I345="","",I345+6)</f>
        <v/>
      </c>
      <c r="K345" s="6">
        <f>IF(OR(A345="",B345=""),"",DATE(YEAR(B345),MONTH(B345),1))</f>
        <v/>
      </c>
      <c r="L345" s="7">
        <f>IF(COUNTA(A345,B345)=0,"",IF(OR(A345="",B345=""),"Preencher CPF e entrada",IF(COUNTIFS($A$12:$A$5011,A345,$B$12:$B$5011,B345)&gt;1,"CPF + dia duplicado",IF(OR(AND(E345&lt;&gt;"",E345&lt;B345),AND(F345&lt;&gt;"",F345&lt;B345)),"Evento anterior à entrada",IF(AND(F345&lt;&gt;"",E345=""),"Conversa sem agendamento",IF(OR(E345&gt;TODAY(),F345&gt;TODAY()),"Verificar evento futuro","OK"))))))</f>
        <v/>
      </c>
    </row>
    <row r="346" spans="9:12">
      <c r="I346" s="5">
        <f>IF(OR(A346="",B346=""),"",B346-WEEKDAY(B346,2)+1)</f>
        <v/>
      </c>
      <c r="J346" s="5">
        <f>IF(I346="","",I346+6)</f>
        <v/>
      </c>
      <c r="K346" s="6">
        <f>IF(OR(A346="",B346=""),"",DATE(YEAR(B346),MONTH(B346),1))</f>
        <v/>
      </c>
      <c r="L346" s="7">
        <f>IF(COUNTA(A346,B346)=0,"",IF(OR(A346="",B346=""),"Preencher CPF e entrada",IF(COUNTIFS($A$12:$A$5011,A346,$B$12:$B$5011,B346)&gt;1,"CPF + dia duplicado",IF(OR(AND(E346&lt;&gt;"",E346&lt;B346),AND(F346&lt;&gt;"",F346&lt;B346)),"Evento anterior à entrada",IF(AND(F346&lt;&gt;"",E346=""),"Conversa sem agendamento",IF(OR(E346&gt;TODAY(),F346&gt;TODAY()),"Verificar evento futuro","OK"))))))</f>
        <v/>
      </c>
    </row>
    <row r="347" spans="9:12">
      <c r="I347" s="5">
        <f>IF(OR(A347="",B347=""),"",B347-WEEKDAY(B347,2)+1)</f>
        <v/>
      </c>
      <c r="J347" s="5">
        <f>IF(I347="","",I347+6)</f>
        <v/>
      </c>
      <c r="K347" s="6">
        <f>IF(OR(A347="",B347=""),"",DATE(YEAR(B347),MONTH(B347),1))</f>
        <v/>
      </c>
      <c r="L347" s="7">
        <f>IF(COUNTA(A347,B347)=0,"",IF(OR(A347="",B347=""),"Preencher CPF e entrada",IF(COUNTIFS($A$12:$A$5011,A347,$B$12:$B$5011,B347)&gt;1,"CPF + dia duplicado",IF(OR(AND(E347&lt;&gt;"",E347&lt;B347),AND(F347&lt;&gt;"",F347&lt;B347)),"Evento anterior à entrada",IF(AND(F347&lt;&gt;"",E347=""),"Conversa sem agendamento",IF(OR(E347&gt;TODAY(),F347&gt;TODAY()),"Verificar evento futuro","OK"))))))</f>
        <v/>
      </c>
    </row>
    <row r="348" spans="9:12">
      <c r="I348" s="5">
        <f>IF(OR(A348="",B348=""),"",B348-WEEKDAY(B348,2)+1)</f>
        <v/>
      </c>
      <c r="J348" s="5">
        <f>IF(I348="","",I348+6)</f>
        <v/>
      </c>
      <c r="K348" s="6">
        <f>IF(OR(A348="",B348=""),"",DATE(YEAR(B348),MONTH(B348),1))</f>
        <v/>
      </c>
      <c r="L348" s="7">
        <f>IF(COUNTA(A348,B348)=0,"",IF(OR(A348="",B348=""),"Preencher CPF e entrada",IF(COUNTIFS($A$12:$A$5011,A348,$B$12:$B$5011,B348)&gt;1,"CPF + dia duplicado",IF(OR(AND(E348&lt;&gt;"",E348&lt;B348),AND(F348&lt;&gt;"",F348&lt;B348)),"Evento anterior à entrada",IF(AND(F348&lt;&gt;"",E348=""),"Conversa sem agendamento",IF(OR(E348&gt;TODAY(),F348&gt;TODAY()),"Verificar evento futuro","OK"))))))</f>
        <v/>
      </c>
    </row>
    <row r="349" spans="9:12">
      <c r="I349" s="5">
        <f>IF(OR(A349="",B349=""),"",B349-WEEKDAY(B349,2)+1)</f>
        <v/>
      </c>
      <c r="J349" s="5">
        <f>IF(I349="","",I349+6)</f>
        <v/>
      </c>
      <c r="K349" s="6">
        <f>IF(OR(A349="",B349=""),"",DATE(YEAR(B349),MONTH(B349),1))</f>
        <v/>
      </c>
      <c r="L349" s="7">
        <f>IF(COUNTA(A349,B349)=0,"",IF(OR(A349="",B349=""),"Preencher CPF e entrada",IF(COUNTIFS($A$12:$A$5011,A349,$B$12:$B$5011,B349)&gt;1,"CPF + dia duplicado",IF(OR(AND(E349&lt;&gt;"",E349&lt;B349),AND(F349&lt;&gt;"",F349&lt;B349)),"Evento anterior à entrada",IF(AND(F349&lt;&gt;"",E349=""),"Conversa sem agendamento",IF(OR(E349&gt;TODAY(),F349&gt;TODAY()),"Verificar evento futuro","OK"))))))</f>
        <v/>
      </c>
    </row>
    <row r="350" spans="9:12">
      <c r="I350" s="5">
        <f>IF(OR(A350="",B350=""),"",B350-WEEKDAY(B350,2)+1)</f>
        <v/>
      </c>
      <c r="J350" s="5">
        <f>IF(I350="","",I350+6)</f>
        <v/>
      </c>
      <c r="K350" s="6">
        <f>IF(OR(A350="",B350=""),"",DATE(YEAR(B350),MONTH(B350),1))</f>
        <v/>
      </c>
      <c r="L350" s="7">
        <f>IF(COUNTA(A350,B350)=0,"",IF(OR(A350="",B350=""),"Preencher CPF e entrada",IF(COUNTIFS($A$12:$A$5011,A350,$B$12:$B$5011,B350)&gt;1,"CPF + dia duplicado",IF(OR(AND(E350&lt;&gt;"",E350&lt;B350),AND(F350&lt;&gt;"",F350&lt;B350)),"Evento anterior à entrada",IF(AND(F350&lt;&gt;"",E350=""),"Conversa sem agendamento",IF(OR(E350&gt;TODAY(),F350&gt;TODAY()),"Verificar evento futuro","OK"))))))</f>
        <v/>
      </c>
    </row>
    <row r="351" spans="9:12">
      <c r="I351" s="5">
        <f>IF(OR(A351="",B351=""),"",B351-WEEKDAY(B351,2)+1)</f>
        <v/>
      </c>
      <c r="J351" s="5">
        <f>IF(I351="","",I351+6)</f>
        <v/>
      </c>
      <c r="K351" s="6">
        <f>IF(OR(A351="",B351=""),"",DATE(YEAR(B351),MONTH(B351),1))</f>
        <v/>
      </c>
      <c r="L351" s="7">
        <f>IF(COUNTA(A351,B351)=0,"",IF(OR(A351="",B351=""),"Preencher CPF e entrada",IF(COUNTIFS($A$12:$A$5011,A351,$B$12:$B$5011,B351)&gt;1,"CPF + dia duplicado",IF(OR(AND(E351&lt;&gt;"",E351&lt;B351),AND(F351&lt;&gt;"",F351&lt;B351)),"Evento anterior à entrada",IF(AND(F351&lt;&gt;"",E351=""),"Conversa sem agendamento",IF(OR(E351&gt;TODAY(),F351&gt;TODAY()),"Verificar evento futuro","OK"))))))</f>
        <v/>
      </c>
    </row>
    <row r="352" spans="9:12">
      <c r="I352" s="5">
        <f>IF(OR(A352="",B352=""),"",B352-WEEKDAY(B352,2)+1)</f>
        <v/>
      </c>
      <c r="J352" s="5">
        <f>IF(I352="","",I352+6)</f>
        <v/>
      </c>
      <c r="K352" s="6">
        <f>IF(OR(A352="",B352=""),"",DATE(YEAR(B352),MONTH(B352),1))</f>
        <v/>
      </c>
      <c r="L352" s="7">
        <f>IF(COUNTA(A352,B352)=0,"",IF(OR(A352="",B352=""),"Preencher CPF e entrada",IF(COUNTIFS($A$12:$A$5011,A352,$B$12:$B$5011,B352)&gt;1,"CPF + dia duplicado",IF(OR(AND(E352&lt;&gt;"",E352&lt;B352),AND(F352&lt;&gt;"",F352&lt;B352)),"Evento anterior à entrada",IF(AND(F352&lt;&gt;"",E352=""),"Conversa sem agendamento",IF(OR(E352&gt;TODAY(),F352&gt;TODAY()),"Verificar evento futuro","OK"))))))</f>
        <v/>
      </c>
    </row>
    <row r="353" spans="9:12">
      <c r="I353" s="5">
        <f>IF(OR(A353="",B353=""),"",B353-WEEKDAY(B353,2)+1)</f>
        <v/>
      </c>
      <c r="J353" s="5">
        <f>IF(I353="","",I353+6)</f>
        <v/>
      </c>
      <c r="K353" s="6">
        <f>IF(OR(A353="",B353=""),"",DATE(YEAR(B353),MONTH(B353),1))</f>
        <v/>
      </c>
      <c r="L353" s="7">
        <f>IF(COUNTA(A353,B353)=0,"",IF(OR(A353="",B353=""),"Preencher CPF e entrada",IF(COUNTIFS($A$12:$A$5011,A353,$B$12:$B$5011,B353)&gt;1,"CPF + dia duplicado",IF(OR(AND(E353&lt;&gt;"",E353&lt;B353),AND(F353&lt;&gt;"",F353&lt;B353)),"Evento anterior à entrada",IF(AND(F353&lt;&gt;"",E353=""),"Conversa sem agendamento",IF(OR(E353&gt;TODAY(),F353&gt;TODAY()),"Verificar evento futuro","OK"))))))</f>
        <v/>
      </c>
    </row>
    <row r="354" spans="9:12">
      <c r="I354" s="5">
        <f>IF(OR(A354="",B354=""),"",B354-WEEKDAY(B354,2)+1)</f>
        <v/>
      </c>
      <c r="J354" s="5">
        <f>IF(I354="","",I354+6)</f>
        <v/>
      </c>
      <c r="K354" s="6">
        <f>IF(OR(A354="",B354=""),"",DATE(YEAR(B354),MONTH(B354),1))</f>
        <v/>
      </c>
      <c r="L354" s="7">
        <f>IF(COUNTA(A354,B354)=0,"",IF(OR(A354="",B354=""),"Preencher CPF e entrada",IF(COUNTIFS($A$12:$A$5011,A354,$B$12:$B$5011,B354)&gt;1,"CPF + dia duplicado",IF(OR(AND(E354&lt;&gt;"",E354&lt;B354),AND(F354&lt;&gt;"",F354&lt;B354)),"Evento anterior à entrada",IF(AND(F354&lt;&gt;"",E354=""),"Conversa sem agendamento",IF(OR(E354&gt;TODAY(),F354&gt;TODAY()),"Verificar evento futuro","OK"))))))</f>
        <v/>
      </c>
    </row>
    <row r="355" spans="9:12">
      <c r="I355" s="5">
        <f>IF(OR(A355="",B355=""),"",B355-WEEKDAY(B355,2)+1)</f>
        <v/>
      </c>
      <c r="J355" s="5">
        <f>IF(I355="","",I355+6)</f>
        <v/>
      </c>
      <c r="K355" s="6">
        <f>IF(OR(A355="",B355=""),"",DATE(YEAR(B355),MONTH(B355),1))</f>
        <v/>
      </c>
      <c r="L355" s="7">
        <f>IF(COUNTA(A355,B355)=0,"",IF(OR(A355="",B355=""),"Preencher CPF e entrada",IF(COUNTIFS($A$12:$A$5011,A355,$B$12:$B$5011,B355)&gt;1,"CPF + dia duplicado",IF(OR(AND(E355&lt;&gt;"",E355&lt;B355),AND(F355&lt;&gt;"",F355&lt;B355)),"Evento anterior à entrada",IF(AND(F355&lt;&gt;"",E355=""),"Conversa sem agendamento",IF(OR(E355&gt;TODAY(),F355&gt;TODAY()),"Verificar evento futuro","OK"))))))</f>
        <v/>
      </c>
    </row>
    <row r="356" spans="9:12">
      <c r="I356" s="5">
        <f>IF(OR(A356="",B356=""),"",B356-WEEKDAY(B356,2)+1)</f>
        <v/>
      </c>
      <c r="J356" s="5">
        <f>IF(I356="","",I356+6)</f>
        <v/>
      </c>
      <c r="K356" s="6">
        <f>IF(OR(A356="",B356=""),"",DATE(YEAR(B356),MONTH(B356),1))</f>
        <v/>
      </c>
      <c r="L356" s="7">
        <f>IF(COUNTA(A356,B356)=0,"",IF(OR(A356="",B356=""),"Preencher CPF e entrada",IF(COUNTIFS($A$12:$A$5011,A356,$B$12:$B$5011,B356)&gt;1,"CPF + dia duplicado",IF(OR(AND(E356&lt;&gt;"",E356&lt;B356),AND(F356&lt;&gt;"",F356&lt;B356)),"Evento anterior à entrada",IF(AND(F356&lt;&gt;"",E356=""),"Conversa sem agendamento",IF(OR(E356&gt;TODAY(),F356&gt;TODAY()),"Verificar evento futuro","OK"))))))</f>
        <v/>
      </c>
    </row>
    <row r="357" spans="9:12">
      <c r="I357" s="5">
        <f>IF(OR(A357="",B357=""),"",B357-WEEKDAY(B357,2)+1)</f>
        <v/>
      </c>
      <c r="J357" s="5">
        <f>IF(I357="","",I357+6)</f>
        <v/>
      </c>
      <c r="K357" s="6">
        <f>IF(OR(A357="",B357=""),"",DATE(YEAR(B357),MONTH(B357),1))</f>
        <v/>
      </c>
      <c r="L357" s="7">
        <f>IF(COUNTA(A357,B357)=0,"",IF(OR(A357="",B357=""),"Preencher CPF e entrada",IF(COUNTIFS($A$12:$A$5011,A357,$B$12:$B$5011,B357)&gt;1,"CPF + dia duplicado",IF(OR(AND(E357&lt;&gt;"",E357&lt;B357),AND(F357&lt;&gt;"",F357&lt;B357)),"Evento anterior à entrada",IF(AND(F357&lt;&gt;"",E357=""),"Conversa sem agendamento",IF(OR(E357&gt;TODAY(),F357&gt;TODAY()),"Verificar evento futuro","OK"))))))</f>
        <v/>
      </c>
    </row>
    <row r="358" spans="9:12">
      <c r="I358" s="5">
        <f>IF(OR(A358="",B358=""),"",B358-WEEKDAY(B358,2)+1)</f>
        <v/>
      </c>
      <c r="J358" s="5">
        <f>IF(I358="","",I358+6)</f>
        <v/>
      </c>
      <c r="K358" s="6">
        <f>IF(OR(A358="",B358=""),"",DATE(YEAR(B358),MONTH(B358),1))</f>
        <v/>
      </c>
      <c r="L358" s="7">
        <f>IF(COUNTA(A358,B358)=0,"",IF(OR(A358="",B358=""),"Preencher CPF e entrada",IF(COUNTIFS($A$12:$A$5011,A358,$B$12:$B$5011,B358)&gt;1,"CPF + dia duplicado",IF(OR(AND(E358&lt;&gt;"",E358&lt;B358),AND(F358&lt;&gt;"",F358&lt;B358)),"Evento anterior à entrada",IF(AND(F358&lt;&gt;"",E358=""),"Conversa sem agendamento",IF(OR(E358&gt;TODAY(),F358&gt;TODAY()),"Verificar evento futuro","OK"))))))</f>
        <v/>
      </c>
    </row>
    <row r="359" spans="9:12">
      <c r="I359" s="5">
        <f>IF(OR(A359="",B359=""),"",B359-WEEKDAY(B359,2)+1)</f>
        <v/>
      </c>
      <c r="J359" s="5">
        <f>IF(I359="","",I359+6)</f>
        <v/>
      </c>
      <c r="K359" s="6">
        <f>IF(OR(A359="",B359=""),"",DATE(YEAR(B359),MONTH(B359),1))</f>
        <v/>
      </c>
      <c r="L359" s="7">
        <f>IF(COUNTA(A359,B359)=0,"",IF(OR(A359="",B359=""),"Preencher CPF e entrada",IF(COUNTIFS($A$12:$A$5011,A359,$B$12:$B$5011,B359)&gt;1,"CPF + dia duplicado",IF(OR(AND(E359&lt;&gt;"",E359&lt;B359),AND(F359&lt;&gt;"",F359&lt;B359)),"Evento anterior à entrada",IF(AND(F359&lt;&gt;"",E359=""),"Conversa sem agendamento",IF(OR(E359&gt;TODAY(),F359&gt;TODAY()),"Verificar evento futuro","OK"))))))</f>
        <v/>
      </c>
    </row>
    <row r="360" spans="9:12">
      <c r="I360" s="5">
        <f>IF(OR(A360="",B360=""),"",B360-WEEKDAY(B360,2)+1)</f>
        <v/>
      </c>
      <c r="J360" s="5">
        <f>IF(I360="","",I360+6)</f>
        <v/>
      </c>
      <c r="K360" s="6">
        <f>IF(OR(A360="",B360=""),"",DATE(YEAR(B360),MONTH(B360),1))</f>
        <v/>
      </c>
      <c r="L360" s="7">
        <f>IF(COUNTA(A360,B360)=0,"",IF(OR(A360="",B360=""),"Preencher CPF e entrada",IF(COUNTIFS($A$12:$A$5011,A360,$B$12:$B$5011,B360)&gt;1,"CPF + dia duplicado",IF(OR(AND(E360&lt;&gt;"",E360&lt;B360),AND(F360&lt;&gt;"",F360&lt;B360)),"Evento anterior à entrada",IF(AND(F360&lt;&gt;"",E360=""),"Conversa sem agendamento",IF(OR(E360&gt;TODAY(),F360&gt;TODAY()),"Verificar evento futuro","OK"))))))</f>
        <v/>
      </c>
    </row>
    <row r="361" spans="9:12">
      <c r="I361" s="5">
        <f>IF(OR(A361="",B361=""),"",B361-WEEKDAY(B361,2)+1)</f>
        <v/>
      </c>
      <c r="J361" s="5">
        <f>IF(I361="","",I361+6)</f>
        <v/>
      </c>
      <c r="K361" s="6">
        <f>IF(OR(A361="",B361=""),"",DATE(YEAR(B361),MONTH(B361),1))</f>
        <v/>
      </c>
      <c r="L361" s="7">
        <f>IF(COUNTA(A361,B361)=0,"",IF(OR(A361="",B361=""),"Preencher CPF e entrada",IF(COUNTIFS($A$12:$A$5011,A361,$B$12:$B$5011,B361)&gt;1,"CPF + dia duplicado",IF(OR(AND(E361&lt;&gt;"",E361&lt;B361),AND(F361&lt;&gt;"",F361&lt;B361)),"Evento anterior à entrada",IF(AND(F361&lt;&gt;"",E361=""),"Conversa sem agendamento",IF(OR(E361&gt;TODAY(),F361&gt;TODAY()),"Verificar evento futuro","OK"))))))</f>
        <v/>
      </c>
    </row>
    <row r="362" spans="9:12">
      <c r="I362" s="5">
        <f>IF(OR(A362="",B362=""),"",B362-WEEKDAY(B362,2)+1)</f>
        <v/>
      </c>
      <c r="J362" s="5">
        <f>IF(I362="","",I362+6)</f>
        <v/>
      </c>
      <c r="K362" s="6">
        <f>IF(OR(A362="",B362=""),"",DATE(YEAR(B362),MONTH(B362),1))</f>
        <v/>
      </c>
      <c r="L362" s="7">
        <f>IF(COUNTA(A362,B362)=0,"",IF(OR(A362="",B362=""),"Preencher CPF e entrada",IF(COUNTIFS($A$12:$A$5011,A362,$B$12:$B$5011,B362)&gt;1,"CPF + dia duplicado",IF(OR(AND(E362&lt;&gt;"",E362&lt;B362),AND(F362&lt;&gt;"",F362&lt;B362)),"Evento anterior à entrada",IF(AND(F362&lt;&gt;"",E362=""),"Conversa sem agendamento",IF(OR(E362&gt;TODAY(),F362&gt;TODAY()),"Verificar evento futuro","OK"))))))</f>
        <v/>
      </c>
    </row>
    <row r="363" spans="9:12">
      <c r="I363" s="5">
        <f>IF(OR(A363="",B363=""),"",B363-WEEKDAY(B363,2)+1)</f>
        <v/>
      </c>
      <c r="J363" s="5">
        <f>IF(I363="","",I363+6)</f>
        <v/>
      </c>
      <c r="K363" s="6">
        <f>IF(OR(A363="",B363=""),"",DATE(YEAR(B363),MONTH(B363),1))</f>
        <v/>
      </c>
      <c r="L363" s="7">
        <f>IF(COUNTA(A363,B363)=0,"",IF(OR(A363="",B363=""),"Preencher CPF e entrada",IF(COUNTIFS($A$12:$A$5011,A363,$B$12:$B$5011,B363)&gt;1,"CPF + dia duplicado",IF(OR(AND(E363&lt;&gt;"",E363&lt;B363),AND(F363&lt;&gt;"",F363&lt;B363)),"Evento anterior à entrada",IF(AND(F363&lt;&gt;"",E363=""),"Conversa sem agendamento",IF(OR(E363&gt;TODAY(),F363&gt;TODAY()),"Verificar evento futuro","OK"))))))</f>
        <v/>
      </c>
    </row>
    <row r="364" spans="9:12">
      <c r="I364" s="5">
        <f>IF(OR(A364="",B364=""),"",B364-WEEKDAY(B364,2)+1)</f>
        <v/>
      </c>
      <c r="J364" s="5">
        <f>IF(I364="","",I364+6)</f>
        <v/>
      </c>
      <c r="K364" s="6">
        <f>IF(OR(A364="",B364=""),"",DATE(YEAR(B364),MONTH(B364),1))</f>
        <v/>
      </c>
      <c r="L364" s="7">
        <f>IF(COUNTA(A364,B364)=0,"",IF(OR(A364="",B364=""),"Preencher CPF e entrada",IF(COUNTIFS($A$12:$A$5011,A364,$B$12:$B$5011,B364)&gt;1,"CPF + dia duplicado",IF(OR(AND(E364&lt;&gt;"",E364&lt;B364),AND(F364&lt;&gt;"",F364&lt;B364)),"Evento anterior à entrada",IF(AND(F364&lt;&gt;"",E364=""),"Conversa sem agendamento",IF(OR(E364&gt;TODAY(),F364&gt;TODAY()),"Verificar evento futuro","OK"))))))</f>
        <v/>
      </c>
    </row>
    <row r="365" spans="9:12">
      <c r="I365" s="5">
        <f>IF(OR(A365="",B365=""),"",B365-WEEKDAY(B365,2)+1)</f>
        <v/>
      </c>
      <c r="J365" s="5">
        <f>IF(I365="","",I365+6)</f>
        <v/>
      </c>
      <c r="K365" s="6">
        <f>IF(OR(A365="",B365=""),"",DATE(YEAR(B365),MONTH(B365),1))</f>
        <v/>
      </c>
      <c r="L365" s="7">
        <f>IF(COUNTA(A365,B365)=0,"",IF(OR(A365="",B365=""),"Preencher CPF e entrada",IF(COUNTIFS($A$12:$A$5011,A365,$B$12:$B$5011,B365)&gt;1,"CPF + dia duplicado",IF(OR(AND(E365&lt;&gt;"",E365&lt;B365),AND(F365&lt;&gt;"",F365&lt;B365)),"Evento anterior à entrada",IF(AND(F365&lt;&gt;"",E365=""),"Conversa sem agendamento",IF(OR(E365&gt;TODAY(),F365&gt;TODAY()),"Verificar evento futuro","OK"))))))</f>
        <v/>
      </c>
    </row>
    <row r="366" spans="9:12">
      <c r="I366" s="5">
        <f>IF(OR(A366="",B366=""),"",B366-WEEKDAY(B366,2)+1)</f>
        <v/>
      </c>
      <c r="J366" s="5">
        <f>IF(I366="","",I366+6)</f>
        <v/>
      </c>
      <c r="K366" s="6">
        <f>IF(OR(A366="",B366=""),"",DATE(YEAR(B366),MONTH(B366),1))</f>
        <v/>
      </c>
      <c r="L366" s="7">
        <f>IF(COUNTA(A366,B366)=0,"",IF(OR(A366="",B366=""),"Preencher CPF e entrada",IF(COUNTIFS($A$12:$A$5011,A366,$B$12:$B$5011,B366)&gt;1,"CPF + dia duplicado",IF(OR(AND(E366&lt;&gt;"",E366&lt;B366),AND(F366&lt;&gt;"",F366&lt;B366)),"Evento anterior à entrada",IF(AND(F366&lt;&gt;"",E366=""),"Conversa sem agendamento",IF(OR(E366&gt;TODAY(),F366&gt;TODAY()),"Verificar evento futuro","OK"))))))</f>
        <v/>
      </c>
    </row>
    <row r="367" spans="9:12">
      <c r="I367" s="5">
        <f>IF(OR(A367="",B367=""),"",B367-WEEKDAY(B367,2)+1)</f>
        <v/>
      </c>
      <c r="J367" s="5">
        <f>IF(I367="","",I367+6)</f>
        <v/>
      </c>
      <c r="K367" s="6">
        <f>IF(OR(A367="",B367=""),"",DATE(YEAR(B367),MONTH(B367),1))</f>
        <v/>
      </c>
      <c r="L367" s="7">
        <f>IF(COUNTA(A367,B367)=0,"",IF(OR(A367="",B367=""),"Preencher CPF e entrada",IF(COUNTIFS($A$12:$A$5011,A367,$B$12:$B$5011,B367)&gt;1,"CPF + dia duplicado",IF(OR(AND(E367&lt;&gt;"",E367&lt;B367),AND(F367&lt;&gt;"",F367&lt;B367)),"Evento anterior à entrada",IF(AND(F367&lt;&gt;"",E367=""),"Conversa sem agendamento",IF(OR(E367&gt;TODAY(),F367&gt;TODAY()),"Verificar evento futuro","OK"))))))</f>
        <v/>
      </c>
    </row>
    <row r="368" spans="9:12">
      <c r="I368" s="5">
        <f>IF(OR(A368="",B368=""),"",B368-WEEKDAY(B368,2)+1)</f>
        <v/>
      </c>
      <c r="J368" s="5">
        <f>IF(I368="","",I368+6)</f>
        <v/>
      </c>
      <c r="K368" s="6">
        <f>IF(OR(A368="",B368=""),"",DATE(YEAR(B368),MONTH(B368),1))</f>
        <v/>
      </c>
      <c r="L368" s="7">
        <f>IF(COUNTA(A368,B368)=0,"",IF(OR(A368="",B368=""),"Preencher CPF e entrada",IF(COUNTIFS($A$12:$A$5011,A368,$B$12:$B$5011,B368)&gt;1,"CPF + dia duplicado",IF(OR(AND(E368&lt;&gt;"",E368&lt;B368),AND(F368&lt;&gt;"",F368&lt;B368)),"Evento anterior à entrada",IF(AND(F368&lt;&gt;"",E368=""),"Conversa sem agendamento",IF(OR(E368&gt;TODAY(),F368&gt;TODAY()),"Verificar evento futuro","OK"))))))</f>
        <v/>
      </c>
    </row>
    <row r="369" spans="9:12">
      <c r="I369" s="5">
        <f>IF(OR(A369="",B369=""),"",B369-WEEKDAY(B369,2)+1)</f>
        <v/>
      </c>
      <c r="J369" s="5">
        <f>IF(I369="","",I369+6)</f>
        <v/>
      </c>
      <c r="K369" s="6">
        <f>IF(OR(A369="",B369=""),"",DATE(YEAR(B369),MONTH(B369),1))</f>
        <v/>
      </c>
      <c r="L369" s="7">
        <f>IF(COUNTA(A369,B369)=0,"",IF(OR(A369="",B369=""),"Preencher CPF e entrada",IF(COUNTIFS($A$12:$A$5011,A369,$B$12:$B$5011,B369)&gt;1,"CPF + dia duplicado",IF(OR(AND(E369&lt;&gt;"",E369&lt;B369),AND(F369&lt;&gt;"",F369&lt;B369)),"Evento anterior à entrada",IF(AND(F369&lt;&gt;"",E369=""),"Conversa sem agendamento",IF(OR(E369&gt;TODAY(),F369&gt;TODAY()),"Verificar evento futuro","OK"))))))</f>
        <v/>
      </c>
    </row>
    <row r="370" spans="9:12">
      <c r="I370" s="5">
        <f>IF(OR(A370="",B370=""),"",B370-WEEKDAY(B370,2)+1)</f>
        <v/>
      </c>
      <c r="J370" s="5">
        <f>IF(I370="","",I370+6)</f>
        <v/>
      </c>
      <c r="K370" s="6">
        <f>IF(OR(A370="",B370=""),"",DATE(YEAR(B370),MONTH(B370),1))</f>
        <v/>
      </c>
      <c r="L370" s="7">
        <f>IF(COUNTA(A370,B370)=0,"",IF(OR(A370="",B370=""),"Preencher CPF e entrada",IF(COUNTIFS($A$12:$A$5011,A370,$B$12:$B$5011,B370)&gt;1,"CPF + dia duplicado",IF(OR(AND(E370&lt;&gt;"",E370&lt;B370),AND(F370&lt;&gt;"",F370&lt;B370)),"Evento anterior à entrada",IF(AND(F370&lt;&gt;"",E370=""),"Conversa sem agendamento",IF(OR(E370&gt;TODAY(),F370&gt;TODAY()),"Verificar evento futuro","OK"))))))</f>
        <v/>
      </c>
    </row>
    <row r="371" spans="9:12">
      <c r="I371" s="5">
        <f>IF(OR(A371="",B371=""),"",B371-WEEKDAY(B371,2)+1)</f>
        <v/>
      </c>
      <c r="J371" s="5">
        <f>IF(I371="","",I371+6)</f>
        <v/>
      </c>
      <c r="K371" s="6">
        <f>IF(OR(A371="",B371=""),"",DATE(YEAR(B371),MONTH(B371),1))</f>
        <v/>
      </c>
      <c r="L371" s="7">
        <f>IF(COUNTA(A371,B371)=0,"",IF(OR(A371="",B371=""),"Preencher CPF e entrada",IF(COUNTIFS($A$12:$A$5011,A371,$B$12:$B$5011,B371)&gt;1,"CPF + dia duplicado",IF(OR(AND(E371&lt;&gt;"",E371&lt;B371),AND(F371&lt;&gt;"",F371&lt;B371)),"Evento anterior à entrada",IF(AND(F371&lt;&gt;"",E371=""),"Conversa sem agendamento",IF(OR(E371&gt;TODAY(),F371&gt;TODAY()),"Verificar evento futuro","OK"))))))</f>
        <v/>
      </c>
    </row>
    <row r="372" spans="9:12">
      <c r="I372" s="5">
        <f>IF(OR(A372="",B372=""),"",B372-WEEKDAY(B372,2)+1)</f>
        <v/>
      </c>
      <c r="J372" s="5">
        <f>IF(I372="","",I372+6)</f>
        <v/>
      </c>
      <c r="K372" s="6">
        <f>IF(OR(A372="",B372=""),"",DATE(YEAR(B372),MONTH(B372),1))</f>
        <v/>
      </c>
      <c r="L372" s="7">
        <f>IF(COUNTA(A372,B372)=0,"",IF(OR(A372="",B372=""),"Preencher CPF e entrada",IF(COUNTIFS($A$12:$A$5011,A372,$B$12:$B$5011,B372)&gt;1,"CPF + dia duplicado",IF(OR(AND(E372&lt;&gt;"",E372&lt;B372),AND(F372&lt;&gt;"",F372&lt;B372)),"Evento anterior à entrada",IF(AND(F372&lt;&gt;"",E372=""),"Conversa sem agendamento",IF(OR(E372&gt;TODAY(),F372&gt;TODAY()),"Verificar evento futuro","OK"))))))</f>
        <v/>
      </c>
    </row>
    <row r="373" spans="9:12">
      <c r="I373" s="5">
        <f>IF(OR(A373="",B373=""),"",B373-WEEKDAY(B373,2)+1)</f>
        <v/>
      </c>
      <c r="J373" s="5">
        <f>IF(I373="","",I373+6)</f>
        <v/>
      </c>
      <c r="K373" s="6">
        <f>IF(OR(A373="",B373=""),"",DATE(YEAR(B373),MONTH(B373),1))</f>
        <v/>
      </c>
      <c r="L373" s="7">
        <f>IF(COUNTA(A373,B373)=0,"",IF(OR(A373="",B373=""),"Preencher CPF e entrada",IF(COUNTIFS($A$12:$A$5011,A373,$B$12:$B$5011,B373)&gt;1,"CPF + dia duplicado",IF(OR(AND(E373&lt;&gt;"",E373&lt;B373),AND(F373&lt;&gt;"",F373&lt;B373)),"Evento anterior à entrada",IF(AND(F373&lt;&gt;"",E373=""),"Conversa sem agendamento",IF(OR(E373&gt;TODAY(),F373&gt;TODAY()),"Verificar evento futuro","OK"))))))</f>
        <v/>
      </c>
    </row>
    <row r="374" spans="9:12">
      <c r="I374" s="5">
        <f>IF(OR(A374="",B374=""),"",B374-WEEKDAY(B374,2)+1)</f>
        <v/>
      </c>
      <c r="J374" s="5">
        <f>IF(I374="","",I374+6)</f>
        <v/>
      </c>
      <c r="K374" s="6">
        <f>IF(OR(A374="",B374=""),"",DATE(YEAR(B374),MONTH(B374),1))</f>
        <v/>
      </c>
      <c r="L374" s="7">
        <f>IF(COUNTA(A374,B374)=0,"",IF(OR(A374="",B374=""),"Preencher CPF e entrada",IF(COUNTIFS($A$12:$A$5011,A374,$B$12:$B$5011,B374)&gt;1,"CPF + dia duplicado",IF(OR(AND(E374&lt;&gt;"",E374&lt;B374),AND(F374&lt;&gt;"",F374&lt;B374)),"Evento anterior à entrada",IF(AND(F374&lt;&gt;"",E374=""),"Conversa sem agendamento",IF(OR(E374&gt;TODAY(),F374&gt;TODAY()),"Verificar evento futuro","OK"))))))</f>
        <v/>
      </c>
    </row>
    <row r="375" spans="9:12">
      <c r="I375" s="5">
        <f>IF(OR(A375="",B375=""),"",B375-WEEKDAY(B375,2)+1)</f>
        <v/>
      </c>
      <c r="J375" s="5">
        <f>IF(I375="","",I375+6)</f>
        <v/>
      </c>
      <c r="K375" s="6">
        <f>IF(OR(A375="",B375=""),"",DATE(YEAR(B375),MONTH(B375),1))</f>
        <v/>
      </c>
      <c r="L375" s="7">
        <f>IF(COUNTA(A375,B375)=0,"",IF(OR(A375="",B375=""),"Preencher CPF e entrada",IF(COUNTIFS($A$12:$A$5011,A375,$B$12:$B$5011,B375)&gt;1,"CPF + dia duplicado",IF(OR(AND(E375&lt;&gt;"",E375&lt;B375),AND(F375&lt;&gt;"",F375&lt;B375)),"Evento anterior à entrada",IF(AND(F375&lt;&gt;"",E375=""),"Conversa sem agendamento",IF(OR(E375&gt;TODAY(),F375&gt;TODAY()),"Verificar evento futuro","OK"))))))</f>
        <v/>
      </c>
    </row>
    <row r="376" spans="9:12">
      <c r="I376" s="5">
        <f>IF(OR(A376="",B376=""),"",B376-WEEKDAY(B376,2)+1)</f>
        <v/>
      </c>
      <c r="J376" s="5">
        <f>IF(I376="","",I376+6)</f>
        <v/>
      </c>
      <c r="K376" s="6">
        <f>IF(OR(A376="",B376=""),"",DATE(YEAR(B376),MONTH(B376),1))</f>
        <v/>
      </c>
      <c r="L376" s="7">
        <f>IF(COUNTA(A376,B376)=0,"",IF(OR(A376="",B376=""),"Preencher CPF e entrada",IF(COUNTIFS($A$12:$A$5011,A376,$B$12:$B$5011,B376)&gt;1,"CPF + dia duplicado",IF(OR(AND(E376&lt;&gt;"",E376&lt;B376),AND(F376&lt;&gt;"",F376&lt;B376)),"Evento anterior à entrada",IF(AND(F376&lt;&gt;"",E376=""),"Conversa sem agendamento",IF(OR(E376&gt;TODAY(),F376&gt;TODAY()),"Verificar evento futuro","OK"))))))</f>
        <v/>
      </c>
    </row>
    <row r="377" spans="9:12">
      <c r="I377" s="5">
        <f>IF(OR(A377="",B377=""),"",B377-WEEKDAY(B377,2)+1)</f>
        <v/>
      </c>
      <c r="J377" s="5">
        <f>IF(I377="","",I377+6)</f>
        <v/>
      </c>
      <c r="K377" s="6">
        <f>IF(OR(A377="",B377=""),"",DATE(YEAR(B377),MONTH(B377),1))</f>
        <v/>
      </c>
      <c r="L377" s="7">
        <f>IF(COUNTA(A377,B377)=0,"",IF(OR(A377="",B377=""),"Preencher CPF e entrada",IF(COUNTIFS($A$12:$A$5011,A377,$B$12:$B$5011,B377)&gt;1,"CPF + dia duplicado",IF(OR(AND(E377&lt;&gt;"",E377&lt;B377),AND(F377&lt;&gt;"",F377&lt;B377)),"Evento anterior à entrada",IF(AND(F377&lt;&gt;"",E377=""),"Conversa sem agendamento",IF(OR(E377&gt;TODAY(),F377&gt;TODAY()),"Verificar evento futuro","OK"))))))</f>
        <v/>
      </c>
    </row>
    <row r="378" spans="9:12">
      <c r="I378" s="5">
        <f>IF(OR(A378="",B378=""),"",B378-WEEKDAY(B378,2)+1)</f>
        <v/>
      </c>
      <c r="J378" s="5">
        <f>IF(I378="","",I378+6)</f>
        <v/>
      </c>
      <c r="K378" s="6">
        <f>IF(OR(A378="",B378=""),"",DATE(YEAR(B378),MONTH(B378),1))</f>
        <v/>
      </c>
      <c r="L378" s="7">
        <f>IF(COUNTA(A378,B378)=0,"",IF(OR(A378="",B378=""),"Preencher CPF e entrada",IF(COUNTIFS($A$12:$A$5011,A378,$B$12:$B$5011,B378)&gt;1,"CPF + dia duplicado",IF(OR(AND(E378&lt;&gt;"",E378&lt;B378),AND(F378&lt;&gt;"",F378&lt;B378)),"Evento anterior à entrada",IF(AND(F378&lt;&gt;"",E378=""),"Conversa sem agendamento",IF(OR(E378&gt;TODAY(),F378&gt;TODAY()),"Verificar evento futuro","OK"))))))</f>
        <v/>
      </c>
    </row>
    <row r="379" spans="9:12">
      <c r="I379" s="5">
        <f>IF(OR(A379="",B379=""),"",B379-WEEKDAY(B379,2)+1)</f>
        <v/>
      </c>
      <c r="J379" s="5">
        <f>IF(I379="","",I379+6)</f>
        <v/>
      </c>
      <c r="K379" s="6">
        <f>IF(OR(A379="",B379=""),"",DATE(YEAR(B379),MONTH(B379),1))</f>
        <v/>
      </c>
      <c r="L379" s="7">
        <f>IF(COUNTA(A379,B379)=0,"",IF(OR(A379="",B379=""),"Preencher CPF e entrada",IF(COUNTIFS($A$12:$A$5011,A379,$B$12:$B$5011,B379)&gt;1,"CPF + dia duplicado",IF(OR(AND(E379&lt;&gt;"",E379&lt;B379),AND(F379&lt;&gt;"",F379&lt;B379)),"Evento anterior à entrada",IF(AND(F379&lt;&gt;"",E379=""),"Conversa sem agendamento",IF(OR(E379&gt;TODAY(),F379&gt;TODAY()),"Verificar evento futuro","OK"))))))</f>
        <v/>
      </c>
    </row>
    <row r="380" spans="9:12">
      <c r="I380" s="5">
        <f>IF(OR(A380="",B380=""),"",B380-WEEKDAY(B380,2)+1)</f>
        <v/>
      </c>
      <c r="J380" s="5">
        <f>IF(I380="","",I380+6)</f>
        <v/>
      </c>
      <c r="K380" s="6">
        <f>IF(OR(A380="",B380=""),"",DATE(YEAR(B380),MONTH(B380),1))</f>
        <v/>
      </c>
      <c r="L380" s="7">
        <f>IF(COUNTA(A380,B380)=0,"",IF(OR(A380="",B380=""),"Preencher CPF e entrada",IF(COUNTIFS($A$12:$A$5011,A380,$B$12:$B$5011,B380)&gt;1,"CPF + dia duplicado",IF(OR(AND(E380&lt;&gt;"",E380&lt;B380),AND(F380&lt;&gt;"",F380&lt;B380)),"Evento anterior à entrada",IF(AND(F380&lt;&gt;"",E380=""),"Conversa sem agendamento",IF(OR(E380&gt;TODAY(),F380&gt;TODAY()),"Verificar evento futuro","OK"))))))</f>
        <v/>
      </c>
    </row>
    <row r="381" spans="9:12">
      <c r="I381" s="5">
        <f>IF(OR(A381="",B381=""),"",B381-WEEKDAY(B381,2)+1)</f>
        <v/>
      </c>
      <c r="J381" s="5">
        <f>IF(I381="","",I381+6)</f>
        <v/>
      </c>
      <c r="K381" s="6">
        <f>IF(OR(A381="",B381=""),"",DATE(YEAR(B381),MONTH(B381),1))</f>
        <v/>
      </c>
      <c r="L381" s="7">
        <f>IF(COUNTA(A381,B381)=0,"",IF(OR(A381="",B381=""),"Preencher CPF e entrada",IF(COUNTIFS($A$12:$A$5011,A381,$B$12:$B$5011,B381)&gt;1,"CPF + dia duplicado",IF(OR(AND(E381&lt;&gt;"",E381&lt;B381),AND(F381&lt;&gt;"",F381&lt;B381)),"Evento anterior à entrada",IF(AND(F381&lt;&gt;"",E381=""),"Conversa sem agendamento",IF(OR(E381&gt;TODAY(),F381&gt;TODAY()),"Verificar evento futuro","OK"))))))</f>
        <v/>
      </c>
    </row>
    <row r="382" spans="9:12">
      <c r="I382" s="5">
        <f>IF(OR(A382="",B382=""),"",B382-WEEKDAY(B382,2)+1)</f>
        <v/>
      </c>
      <c r="J382" s="5">
        <f>IF(I382="","",I382+6)</f>
        <v/>
      </c>
      <c r="K382" s="6">
        <f>IF(OR(A382="",B382=""),"",DATE(YEAR(B382),MONTH(B382),1))</f>
        <v/>
      </c>
      <c r="L382" s="7">
        <f>IF(COUNTA(A382,B382)=0,"",IF(OR(A382="",B382=""),"Preencher CPF e entrada",IF(COUNTIFS($A$12:$A$5011,A382,$B$12:$B$5011,B382)&gt;1,"CPF + dia duplicado",IF(OR(AND(E382&lt;&gt;"",E382&lt;B382),AND(F382&lt;&gt;"",F382&lt;B382)),"Evento anterior à entrada",IF(AND(F382&lt;&gt;"",E382=""),"Conversa sem agendamento",IF(OR(E382&gt;TODAY(),F382&gt;TODAY()),"Verificar evento futuro","OK"))))))</f>
        <v/>
      </c>
    </row>
    <row r="383" spans="9:12">
      <c r="I383" s="5">
        <f>IF(OR(A383="",B383=""),"",B383-WEEKDAY(B383,2)+1)</f>
        <v/>
      </c>
      <c r="J383" s="5">
        <f>IF(I383="","",I383+6)</f>
        <v/>
      </c>
      <c r="K383" s="6">
        <f>IF(OR(A383="",B383=""),"",DATE(YEAR(B383),MONTH(B383),1))</f>
        <v/>
      </c>
      <c r="L383" s="7">
        <f>IF(COUNTA(A383,B383)=0,"",IF(OR(A383="",B383=""),"Preencher CPF e entrada",IF(COUNTIFS($A$12:$A$5011,A383,$B$12:$B$5011,B383)&gt;1,"CPF + dia duplicado",IF(OR(AND(E383&lt;&gt;"",E383&lt;B383),AND(F383&lt;&gt;"",F383&lt;B383)),"Evento anterior à entrada",IF(AND(F383&lt;&gt;"",E383=""),"Conversa sem agendamento",IF(OR(E383&gt;TODAY(),F383&gt;TODAY()),"Verificar evento futuro","OK"))))))</f>
        <v/>
      </c>
    </row>
    <row r="384" spans="9:12">
      <c r="I384" s="5">
        <f>IF(OR(A384="",B384=""),"",B384-WEEKDAY(B384,2)+1)</f>
        <v/>
      </c>
      <c r="J384" s="5">
        <f>IF(I384="","",I384+6)</f>
        <v/>
      </c>
      <c r="K384" s="6">
        <f>IF(OR(A384="",B384=""),"",DATE(YEAR(B384),MONTH(B384),1))</f>
        <v/>
      </c>
      <c r="L384" s="7">
        <f>IF(COUNTA(A384,B384)=0,"",IF(OR(A384="",B384=""),"Preencher CPF e entrada",IF(COUNTIFS($A$12:$A$5011,A384,$B$12:$B$5011,B384)&gt;1,"CPF + dia duplicado",IF(OR(AND(E384&lt;&gt;"",E384&lt;B384),AND(F384&lt;&gt;"",F384&lt;B384)),"Evento anterior à entrada",IF(AND(F384&lt;&gt;"",E384=""),"Conversa sem agendamento",IF(OR(E384&gt;TODAY(),F384&gt;TODAY()),"Verificar evento futuro","OK"))))))</f>
        <v/>
      </c>
    </row>
    <row r="385" spans="9:12">
      <c r="I385" s="5">
        <f>IF(OR(A385="",B385=""),"",B385-WEEKDAY(B385,2)+1)</f>
        <v/>
      </c>
      <c r="J385" s="5">
        <f>IF(I385="","",I385+6)</f>
        <v/>
      </c>
      <c r="K385" s="6">
        <f>IF(OR(A385="",B385=""),"",DATE(YEAR(B385),MONTH(B385),1))</f>
        <v/>
      </c>
      <c r="L385" s="7">
        <f>IF(COUNTA(A385,B385)=0,"",IF(OR(A385="",B385=""),"Preencher CPF e entrada",IF(COUNTIFS($A$12:$A$5011,A385,$B$12:$B$5011,B385)&gt;1,"CPF + dia duplicado",IF(OR(AND(E385&lt;&gt;"",E385&lt;B385),AND(F385&lt;&gt;"",F385&lt;B385)),"Evento anterior à entrada",IF(AND(F385&lt;&gt;"",E385=""),"Conversa sem agendamento",IF(OR(E385&gt;TODAY(),F385&gt;TODAY()),"Verificar evento futuro","OK"))))))</f>
        <v/>
      </c>
    </row>
    <row r="386" spans="9:12">
      <c r="I386" s="5">
        <f>IF(OR(A386="",B386=""),"",B386-WEEKDAY(B386,2)+1)</f>
        <v/>
      </c>
      <c r="J386" s="5">
        <f>IF(I386="","",I386+6)</f>
        <v/>
      </c>
      <c r="K386" s="6">
        <f>IF(OR(A386="",B386=""),"",DATE(YEAR(B386),MONTH(B386),1))</f>
        <v/>
      </c>
      <c r="L386" s="7">
        <f>IF(COUNTA(A386,B386)=0,"",IF(OR(A386="",B386=""),"Preencher CPF e entrada",IF(COUNTIFS($A$12:$A$5011,A386,$B$12:$B$5011,B386)&gt;1,"CPF + dia duplicado",IF(OR(AND(E386&lt;&gt;"",E386&lt;B386),AND(F386&lt;&gt;"",F386&lt;B386)),"Evento anterior à entrada",IF(AND(F386&lt;&gt;"",E386=""),"Conversa sem agendamento",IF(OR(E386&gt;TODAY(),F386&gt;TODAY()),"Verificar evento futuro","OK"))))))</f>
        <v/>
      </c>
    </row>
    <row r="387" spans="9:12">
      <c r="I387" s="5">
        <f>IF(OR(A387="",B387=""),"",B387-WEEKDAY(B387,2)+1)</f>
        <v/>
      </c>
      <c r="J387" s="5">
        <f>IF(I387="","",I387+6)</f>
        <v/>
      </c>
      <c r="K387" s="6">
        <f>IF(OR(A387="",B387=""),"",DATE(YEAR(B387),MONTH(B387),1))</f>
        <v/>
      </c>
      <c r="L387" s="7">
        <f>IF(COUNTA(A387,B387)=0,"",IF(OR(A387="",B387=""),"Preencher CPF e entrada",IF(COUNTIFS($A$12:$A$5011,A387,$B$12:$B$5011,B387)&gt;1,"CPF + dia duplicado",IF(OR(AND(E387&lt;&gt;"",E387&lt;B387),AND(F387&lt;&gt;"",F387&lt;B387)),"Evento anterior à entrada",IF(AND(F387&lt;&gt;"",E387=""),"Conversa sem agendamento",IF(OR(E387&gt;TODAY(),F387&gt;TODAY()),"Verificar evento futuro","OK"))))))</f>
        <v/>
      </c>
    </row>
    <row r="388" spans="9:12">
      <c r="I388" s="5">
        <f>IF(OR(A388="",B388=""),"",B388-WEEKDAY(B388,2)+1)</f>
        <v/>
      </c>
      <c r="J388" s="5">
        <f>IF(I388="","",I388+6)</f>
        <v/>
      </c>
      <c r="K388" s="6">
        <f>IF(OR(A388="",B388=""),"",DATE(YEAR(B388),MONTH(B388),1))</f>
        <v/>
      </c>
      <c r="L388" s="7">
        <f>IF(COUNTA(A388,B388)=0,"",IF(OR(A388="",B388=""),"Preencher CPF e entrada",IF(COUNTIFS($A$12:$A$5011,A388,$B$12:$B$5011,B388)&gt;1,"CPF + dia duplicado",IF(OR(AND(E388&lt;&gt;"",E388&lt;B388),AND(F388&lt;&gt;"",F388&lt;B388)),"Evento anterior à entrada",IF(AND(F388&lt;&gt;"",E388=""),"Conversa sem agendamento",IF(OR(E388&gt;TODAY(),F388&gt;TODAY()),"Verificar evento futuro","OK"))))))</f>
        <v/>
      </c>
    </row>
    <row r="389" spans="9:12">
      <c r="I389" s="5">
        <f>IF(OR(A389="",B389=""),"",B389-WEEKDAY(B389,2)+1)</f>
        <v/>
      </c>
      <c r="J389" s="5">
        <f>IF(I389="","",I389+6)</f>
        <v/>
      </c>
      <c r="K389" s="6">
        <f>IF(OR(A389="",B389=""),"",DATE(YEAR(B389),MONTH(B389),1))</f>
        <v/>
      </c>
      <c r="L389" s="7">
        <f>IF(COUNTA(A389,B389)=0,"",IF(OR(A389="",B389=""),"Preencher CPF e entrada",IF(COUNTIFS($A$12:$A$5011,A389,$B$12:$B$5011,B389)&gt;1,"CPF + dia duplicado",IF(OR(AND(E389&lt;&gt;"",E389&lt;B389),AND(F389&lt;&gt;"",F389&lt;B389)),"Evento anterior à entrada",IF(AND(F389&lt;&gt;"",E389=""),"Conversa sem agendamento",IF(OR(E389&gt;TODAY(),F389&gt;TODAY()),"Verificar evento futuro","OK"))))))</f>
        <v/>
      </c>
    </row>
    <row r="390" spans="9:12">
      <c r="I390" s="5">
        <f>IF(OR(A390="",B390=""),"",B390-WEEKDAY(B390,2)+1)</f>
        <v/>
      </c>
      <c r="J390" s="5">
        <f>IF(I390="","",I390+6)</f>
        <v/>
      </c>
      <c r="K390" s="6">
        <f>IF(OR(A390="",B390=""),"",DATE(YEAR(B390),MONTH(B390),1))</f>
        <v/>
      </c>
      <c r="L390" s="7">
        <f>IF(COUNTA(A390,B390)=0,"",IF(OR(A390="",B390=""),"Preencher CPF e entrada",IF(COUNTIFS($A$12:$A$5011,A390,$B$12:$B$5011,B390)&gt;1,"CPF + dia duplicado",IF(OR(AND(E390&lt;&gt;"",E390&lt;B390),AND(F390&lt;&gt;"",F390&lt;B390)),"Evento anterior à entrada",IF(AND(F390&lt;&gt;"",E390=""),"Conversa sem agendamento",IF(OR(E390&gt;TODAY(),F390&gt;TODAY()),"Verificar evento futuro","OK"))))))</f>
        <v/>
      </c>
    </row>
    <row r="391" spans="9:12">
      <c r="I391" s="5">
        <f>IF(OR(A391="",B391=""),"",B391-WEEKDAY(B391,2)+1)</f>
        <v/>
      </c>
      <c r="J391" s="5">
        <f>IF(I391="","",I391+6)</f>
        <v/>
      </c>
      <c r="K391" s="6">
        <f>IF(OR(A391="",B391=""),"",DATE(YEAR(B391),MONTH(B391),1))</f>
        <v/>
      </c>
      <c r="L391" s="7">
        <f>IF(COUNTA(A391,B391)=0,"",IF(OR(A391="",B391=""),"Preencher CPF e entrada",IF(COUNTIFS($A$12:$A$5011,A391,$B$12:$B$5011,B391)&gt;1,"CPF + dia duplicado",IF(OR(AND(E391&lt;&gt;"",E391&lt;B391),AND(F391&lt;&gt;"",F391&lt;B391)),"Evento anterior à entrada",IF(AND(F391&lt;&gt;"",E391=""),"Conversa sem agendamento",IF(OR(E391&gt;TODAY(),F391&gt;TODAY()),"Verificar evento futuro","OK"))))))</f>
        <v/>
      </c>
    </row>
    <row r="392" spans="9:12">
      <c r="I392" s="5">
        <f>IF(OR(A392="",B392=""),"",B392-WEEKDAY(B392,2)+1)</f>
        <v/>
      </c>
      <c r="J392" s="5">
        <f>IF(I392="","",I392+6)</f>
        <v/>
      </c>
      <c r="K392" s="6">
        <f>IF(OR(A392="",B392=""),"",DATE(YEAR(B392),MONTH(B392),1))</f>
        <v/>
      </c>
      <c r="L392" s="7">
        <f>IF(COUNTA(A392,B392)=0,"",IF(OR(A392="",B392=""),"Preencher CPF e entrada",IF(COUNTIFS($A$12:$A$5011,A392,$B$12:$B$5011,B392)&gt;1,"CPF + dia duplicado",IF(OR(AND(E392&lt;&gt;"",E392&lt;B392),AND(F392&lt;&gt;"",F392&lt;B392)),"Evento anterior à entrada",IF(AND(F392&lt;&gt;"",E392=""),"Conversa sem agendamento",IF(OR(E392&gt;TODAY(),F392&gt;TODAY()),"Verificar evento futuro","OK"))))))</f>
        <v/>
      </c>
    </row>
    <row r="393" spans="9:12">
      <c r="I393" s="5">
        <f>IF(OR(A393="",B393=""),"",B393-WEEKDAY(B393,2)+1)</f>
        <v/>
      </c>
      <c r="J393" s="5">
        <f>IF(I393="","",I393+6)</f>
        <v/>
      </c>
      <c r="K393" s="6">
        <f>IF(OR(A393="",B393=""),"",DATE(YEAR(B393),MONTH(B393),1))</f>
        <v/>
      </c>
      <c r="L393" s="7">
        <f>IF(COUNTA(A393,B393)=0,"",IF(OR(A393="",B393=""),"Preencher CPF e entrada",IF(COUNTIFS($A$12:$A$5011,A393,$B$12:$B$5011,B393)&gt;1,"CPF + dia duplicado",IF(OR(AND(E393&lt;&gt;"",E393&lt;B393),AND(F393&lt;&gt;"",F393&lt;B393)),"Evento anterior à entrada",IF(AND(F393&lt;&gt;"",E393=""),"Conversa sem agendamento",IF(OR(E393&gt;TODAY(),F393&gt;TODAY()),"Verificar evento futuro","OK"))))))</f>
        <v/>
      </c>
    </row>
    <row r="394" spans="9:12">
      <c r="I394" s="5">
        <f>IF(OR(A394="",B394=""),"",B394-WEEKDAY(B394,2)+1)</f>
        <v/>
      </c>
      <c r="J394" s="5">
        <f>IF(I394="","",I394+6)</f>
        <v/>
      </c>
      <c r="K394" s="6">
        <f>IF(OR(A394="",B394=""),"",DATE(YEAR(B394),MONTH(B394),1))</f>
        <v/>
      </c>
      <c r="L394" s="7">
        <f>IF(COUNTA(A394,B394)=0,"",IF(OR(A394="",B394=""),"Preencher CPF e entrada",IF(COUNTIFS($A$12:$A$5011,A394,$B$12:$B$5011,B394)&gt;1,"CPF + dia duplicado",IF(OR(AND(E394&lt;&gt;"",E394&lt;B394),AND(F394&lt;&gt;"",F394&lt;B394)),"Evento anterior à entrada",IF(AND(F394&lt;&gt;"",E394=""),"Conversa sem agendamento",IF(OR(E394&gt;TODAY(),F394&gt;TODAY()),"Verificar evento futuro","OK"))))))</f>
        <v/>
      </c>
    </row>
    <row r="395" spans="9:12">
      <c r="I395" s="5">
        <f>IF(OR(A395="",B395=""),"",B395-WEEKDAY(B395,2)+1)</f>
        <v/>
      </c>
      <c r="J395" s="5">
        <f>IF(I395="","",I395+6)</f>
        <v/>
      </c>
      <c r="K395" s="6">
        <f>IF(OR(A395="",B395=""),"",DATE(YEAR(B395),MONTH(B395),1))</f>
        <v/>
      </c>
      <c r="L395" s="7">
        <f>IF(COUNTA(A395,B395)=0,"",IF(OR(A395="",B395=""),"Preencher CPF e entrada",IF(COUNTIFS($A$12:$A$5011,A395,$B$12:$B$5011,B395)&gt;1,"CPF + dia duplicado",IF(OR(AND(E395&lt;&gt;"",E395&lt;B395),AND(F395&lt;&gt;"",F395&lt;B395)),"Evento anterior à entrada",IF(AND(F395&lt;&gt;"",E395=""),"Conversa sem agendamento",IF(OR(E395&gt;TODAY(),F395&gt;TODAY()),"Verificar evento futuro","OK"))))))</f>
        <v/>
      </c>
    </row>
    <row r="396" spans="9:12">
      <c r="I396" s="5">
        <f>IF(OR(A396="",B396=""),"",B396-WEEKDAY(B396,2)+1)</f>
        <v/>
      </c>
      <c r="J396" s="5">
        <f>IF(I396="","",I396+6)</f>
        <v/>
      </c>
      <c r="K396" s="6">
        <f>IF(OR(A396="",B396=""),"",DATE(YEAR(B396),MONTH(B396),1))</f>
        <v/>
      </c>
      <c r="L396" s="7">
        <f>IF(COUNTA(A396,B396)=0,"",IF(OR(A396="",B396=""),"Preencher CPF e entrada",IF(COUNTIFS($A$12:$A$5011,A396,$B$12:$B$5011,B396)&gt;1,"CPF + dia duplicado",IF(OR(AND(E396&lt;&gt;"",E396&lt;B396),AND(F396&lt;&gt;"",F396&lt;B396)),"Evento anterior à entrada",IF(AND(F396&lt;&gt;"",E396=""),"Conversa sem agendamento",IF(OR(E396&gt;TODAY(),F396&gt;TODAY()),"Verificar evento futuro","OK"))))))</f>
        <v/>
      </c>
    </row>
    <row r="397" spans="9:12">
      <c r="I397" s="5">
        <f>IF(OR(A397="",B397=""),"",B397-WEEKDAY(B397,2)+1)</f>
        <v/>
      </c>
      <c r="J397" s="5">
        <f>IF(I397="","",I397+6)</f>
        <v/>
      </c>
      <c r="K397" s="6">
        <f>IF(OR(A397="",B397=""),"",DATE(YEAR(B397),MONTH(B397),1))</f>
        <v/>
      </c>
      <c r="L397" s="7">
        <f>IF(COUNTA(A397,B397)=0,"",IF(OR(A397="",B397=""),"Preencher CPF e entrada",IF(COUNTIFS($A$12:$A$5011,A397,$B$12:$B$5011,B397)&gt;1,"CPF + dia duplicado",IF(OR(AND(E397&lt;&gt;"",E397&lt;B397),AND(F397&lt;&gt;"",F397&lt;B397)),"Evento anterior à entrada",IF(AND(F397&lt;&gt;"",E397=""),"Conversa sem agendamento",IF(OR(E397&gt;TODAY(),F397&gt;TODAY()),"Verificar evento futuro","OK"))))))</f>
        <v/>
      </c>
    </row>
    <row r="398" spans="9:12">
      <c r="I398" s="5">
        <f>IF(OR(A398="",B398=""),"",B398-WEEKDAY(B398,2)+1)</f>
        <v/>
      </c>
      <c r="J398" s="5">
        <f>IF(I398="","",I398+6)</f>
        <v/>
      </c>
      <c r="K398" s="6">
        <f>IF(OR(A398="",B398=""),"",DATE(YEAR(B398),MONTH(B398),1))</f>
        <v/>
      </c>
      <c r="L398" s="7">
        <f>IF(COUNTA(A398,B398)=0,"",IF(OR(A398="",B398=""),"Preencher CPF e entrada",IF(COUNTIFS($A$12:$A$5011,A398,$B$12:$B$5011,B398)&gt;1,"CPF + dia duplicado",IF(OR(AND(E398&lt;&gt;"",E398&lt;B398),AND(F398&lt;&gt;"",F398&lt;B398)),"Evento anterior à entrada",IF(AND(F398&lt;&gt;"",E398=""),"Conversa sem agendamento",IF(OR(E398&gt;TODAY(),F398&gt;TODAY()),"Verificar evento futuro","OK"))))))</f>
        <v/>
      </c>
    </row>
    <row r="399" spans="9:12">
      <c r="I399" s="5">
        <f>IF(OR(A399="",B399=""),"",B399-WEEKDAY(B399,2)+1)</f>
        <v/>
      </c>
      <c r="J399" s="5">
        <f>IF(I399="","",I399+6)</f>
        <v/>
      </c>
      <c r="K399" s="6">
        <f>IF(OR(A399="",B399=""),"",DATE(YEAR(B399),MONTH(B399),1))</f>
        <v/>
      </c>
      <c r="L399" s="7">
        <f>IF(COUNTA(A399,B399)=0,"",IF(OR(A399="",B399=""),"Preencher CPF e entrada",IF(COUNTIFS($A$12:$A$5011,A399,$B$12:$B$5011,B399)&gt;1,"CPF + dia duplicado",IF(OR(AND(E399&lt;&gt;"",E399&lt;B399),AND(F399&lt;&gt;"",F399&lt;B399)),"Evento anterior à entrada",IF(AND(F399&lt;&gt;"",E399=""),"Conversa sem agendamento",IF(OR(E399&gt;TODAY(),F399&gt;TODAY()),"Verificar evento futuro","OK"))))))</f>
        <v/>
      </c>
    </row>
    <row r="400" spans="9:12">
      <c r="I400" s="5">
        <f>IF(OR(A400="",B400=""),"",B400-WEEKDAY(B400,2)+1)</f>
        <v/>
      </c>
      <c r="J400" s="5">
        <f>IF(I400="","",I400+6)</f>
        <v/>
      </c>
      <c r="K400" s="6">
        <f>IF(OR(A400="",B400=""),"",DATE(YEAR(B400),MONTH(B400),1))</f>
        <v/>
      </c>
      <c r="L400" s="7">
        <f>IF(COUNTA(A400,B400)=0,"",IF(OR(A400="",B400=""),"Preencher CPF e entrada",IF(COUNTIFS($A$12:$A$5011,A400,$B$12:$B$5011,B400)&gt;1,"CPF + dia duplicado",IF(OR(AND(E400&lt;&gt;"",E400&lt;B400),AND(F400&lt;&gt;"",F400&lt;B400)),"Evento anterior à entrada",IF(AND(F400&lt;&gt;"",E400=""),"Conversa sem agendamento",IF(OR(E400&gt;TODAY(),F400&gt;TODAY()),"Verificar evento futuro","OK"))))))</f>
        <v/>
      </c>
    </row>
    <row r="401" spans="9:12">
      <c r="I401" s="5">
        <f>IF(OR(A401="",B401=""),"",B401-WEEKDAY(B401,2)+1)</f>
        <v/>
      </c>
      <c r="J401" s="5">
        <f>IF(I401="","",I401+6)</f>
        <v/>
      </c>
      <c r="K401" s="6">
        <f>IF(OR(A401="",B401=""),"",DATE(YEAR(B401),MONTH(B401),1))</f>
        <v/>
      </c>
      <c r="L401" s="7">
        <f>IF(COUNTA(A401,B401)=0,"",IF(OR(A401="",B401=""),"Preencher CPF e entrada",IF(COUNTIFS($A$12:$A$5011,A401,$B$12:$B$5011,B401)&gt;1,"CPF + dia duplicado",IF(OR(AND(E401&lt;&gt;"",E401&lt;B401),AND(F401&lt;&gt;"",F401&lt;B401)),"Evento anterior à entrada",IF(AND(F401&lt;&gt;"",E401=""),"Conversa sem agendamento",IF(OR(E401&gt;TODAY(),F401&gt;TODAY()),"Verificar evento futuro","OK"))))))</f>
        <v/>
      </c>
    </row>
    <row r="402" spans="9:12">
      <c r="I402" s="5">
        <f>IF(OR(A402="",B402=""),"",B402-WEEKDAY(B402,2)+1)</f>
        <v/>
      </c>
      <c r="J402" s="5">
        <f>IF(I402="","",I402+6)</f>
        <v/>
      </c>
      <c r="K402" s="6">
        <f>IF(OR(A402="",B402=""),"",DATE(YEAR(B402),MONTH(B402),1))</f>
        <v/>
      </c>
      <c r="L402" s="7">
        <f>IF(COUNTA(A402,B402)=0,"",IF(OR(A402="",B402=""),"Preencher CPF e entrada",IF(COUNTIFS($A$12:$A$5011,A402,$B$12:$B$5011,B402)&gt;1,"CPF + dia duplicado",IF(OR(AND(E402&lt;&gt;"",E402&lt;B402),AND(F402&lt;&gt;"",F402&lt;B402)),"Evento anterior à entrada",IF(AND(F402&lt;&gt;"",E402=""),"Conversa sem agendamento",IF(OR(E402&gt;TODAY(),F402&gt;TODAY()),"Verificar evento futuro","OK"))))))</f>
        <v/>
      </c>
    </row>
    <row r="403" spans="9:12">
      <c r="I403" s="5">
        <f>IF(OR(A403="",B403=""),"",B403-WEEKDAY(B403,2)+1)</f>
        <v/>
      </c>
      <c r="J403" s="5">
        <f>IF(I403="","",I403+6)</f>
        <v/>
      </c>
      <c r="K403" s="6">
        <f>IF(OR(A403="",B403=""),"",DATE(YEAR(B403),MONTH(B403),1))</f>
        <v/>
      </c>
      <c r="L403" s="7">
        <f>IF(COUNTA(A403,B403)=0,"",IF(OR(A403="",B403=""),"Preencher CPF e entrada",IF(COUNTIFS($A$12:$A$5011,A403,$B$12:$B$5011,B403)&gt;1,"CPF + dia duplicado",IF(OR(AND(E403&lt;&gt;"",E403&lt;B403),AND(F403&lt;&gt;"",F403&lt;B403)),"Evento anterior à entrada",IF(AND(F403&lt;&gt;"",E403=""),"Conversa sem agendamento",IF(OR(E403&gt;TODAY(),F403&gt;TODAY()),"Verificar evento futuro","OK"))))))</f>
        <v/>
      </c>
    </row>
    <row r="404" spans="9:12">
      <c r="I404" s="5">
        <f>IF(OR(A404="",B404=""),"",B404-WEEKDAY(B404,2)+1)</f>
        <v/>
      </c>
      <c r="J404" s="5">
        <f>IF(I404="","",I404+6)</f>
        <v/>
      </c>
      <c r="K404" s="6">
        <f>IF(OR(A404="",B404=""),"",DATE(YEAR(B404),MONTH(B404),1))</f>
        <v/>
      </c>
      <c r="L404" s="7">
        <f>IF(COUNTA(A404,B404)=0,"",IF(OR(A404="",B404=""),"Preencher CPF e entrada",IF(COUNTIFS($A$12:$A$5011,A404,$B$12:$B$5011,B404)&gt;1,"CPF + dia duplicado",IF(OR(AND(E404&lt;&gt;"",E404&lt;B404),AND(F404&lt;&gt;"",F404&lt;B404)),"Evento anterior à entrada",IF(AND(F404&lt;&gt;"",E404=""),"Conversa sem agendamento",IF(OR(E404&gt;TODAY(),F404&gt;TODAY()),"Verificar evento futuro","OK"))))))</f>
        <v/>
      </c>
    </row>
    <row r="405" spans="9:12">
      <c r="I405" s="5">
        <f>IF(OR(A405="",B405=""),"",B405-WEEKDAY(B405,2)+1)</f>
        <v/>
      </c>
      <c r="J405" s="5">
        <f>IF(I405="","",I405+6)</f>
        <v/>
      </c>
      <c r="K405" s="6">
        <f>IF(OR(A405="",B405=""),"",DATE(YEAR(B405),MONTH(B405),1))</f>
        <v/>
      </c>
      <c r="L405" s="7">
        <f>IF(COUNTA(A405,B405)=0,"",IF(OR(A405="",B405=""),"Preencher CPF e entrada",IF(COUNTIFS($A$12:$A$5011,A405,$B$12:$B$5011,B405)&gt;1,"CPF + dia duplicado",IF(OR(AND(E405&lt;&gt;"",E405&lt;B405),AND(F405&lt;&gt;"",F405&lt;B405)),"Evento anterior à entrada",IF(AND(F405&lt;&gt;"",E405=""),"Conversa sem agendamento",IF(OR(E405&gt;TODAY(),F405&gt;TODAY()),"Verificar evento futuro","OK"))))))</f>
        <v/>
      </c>
    </row>
    <row r="406" spans="9:12">
      <c r="I406" s="5">
        <f>IF(OR(A406="",B406=""),"",B406-WEEKDAY(B406,2)+1)</f>
        <v/>
      </c>
      <c r="J406" s="5">
        <f>IF(I406="","",I406+6)</f>
        <v/>
      </c>
      <c r="K406" s="6">
        <f>IF(OR(A406="",B406=""),"",DATE(YEAR(B406),MONTH(B406),1))</f>
        <v/>
      </c>
      <c r="L406" s="7">
        <f>IF(COUNTA(A406,B406)=0,"",IF(OR(A406="",B406=""),"Preencher CPF e entrada",IF(COUNTIFS($A$12:$A$5011,A406,$B$12:$B$5011,B406)&gt;1,"CPF + dia duplicado",IF(OR(AND(E406&lt;&gt;"",E406&lt;B406),AND(F406&lt;&gt;"",F406&lt;B406)),"Evento anterior à entrada",IF(AND(F406&lt;&gt;"",E406=""),"Conversa sem agendamento",IF(OR(E406&gt;TODAY(),F406&gt;TODAY()),"Verificar evento futuro","OK"))))))</f>
        <v/>
      </c>
    </row>
    <row r="407" spans="9:12">
      <c r="I407" s="5">
        <f>IF(OR(A407="",B407=""),"",B407-WEEKDAY(B407,2)+1)</f>
        <v/>
      </c>
      <c r="J407" s="5">
        <f>IF(I407="","",I407+6)</f>
        <v/>
      </c>
      <c r="K407" s="6">
        <f>IF(OR(A407="",B407=""),"",DATE(YEAR(B407),MONTH(B407),1))</f>
        <v/>
      </c>
      <c r="L407" s="7">
        <f>IF(COUNTA(A407,B407)=0,"",IF(OR(A407="",B407=""),"Preencher CPF e entrada",IF(COUNTIFS($A$12:$A$5011,A407,$B$12:$B$5011,B407)&gt;1,"CPF + dia duplicado",IF(OR(AND(E407&lt;&gt;"",E407&lt;B407),AND(F407&lt;&gt;"",F407&lt;B407)),"Evento anterior à entrada",IF(AND(F407&lt;&gt;"",E407=""),"Conversa sem agendamento",IF(OR(E407&gt;TODAY(),F407&gt;TODAY()),"Verificar evento futuro","OK"))))))</f>
        <v/>
      </c>
    </row>
    <row r="408" spans="9:12">
      <c r="I408" s="5">
        <f>IF(OR(A408="",B408=""),"",B408-WEEKDAY(B408,2)+1)</f>
        <v/>
      </c>
      <c r="J408" s="5">
        <f>IF(I408="","",I408+6)</f>
        <v/>
      </c>
      <c r="K408" s="6">
        <f>IF(OR(A408="",B408=""),"",DATE(YEAR(B408),MONTH(B408),1))</f>
        <v/>
      </c>
      <c r="L408" s="7">
        <f>IF(COUNTA(A408,B408)=0,"",IF(OR(A408="",B408=""),"Preencher CPF e entrada",IF(COUNTIFS($A$12:$A$5011,A408,$B$12:$B$5011,B408)&gt;1,"CPF + dia duplicado",IF(OR(AND(E408&lt;&gt;"",E408&lt;B408),AND(F408&lt;&gt;"",F408&lt;B408)),"Evento anterior à entrada",IF(AND(F408&lt;&gt;"",E408=""),"Conversa sem agendamento",IF(OR(E408&gt;TODAY(),F408&gt;TODAY()),"Verificar evento futuro","OK"))))))</f>
        <v/>
      </c>
    </row>
    <row r="409" spans="9:12">
      <c r="I409" s="5">
        <f>IF(OR(A409="",B409=""),"",B409-WEEKDAY(B409,2)+1)</f>
        <v/>
      </c>
      <c r="J409" s="5">
        <f>IF(I409="","",I409+6)</f>
        <v/>
      </c>
      <c r="K409" s="6">
        <f>IF(OR(A409="",B409=""),"",DATE(YEAR(B409),MONTH(B409),1))</f>
        <v/>
      </c>
      <c r="L409" s="7">
        <f>IF(COUNTA(A409,B409)=0,"",IF(OR(A409="",B409=""),"Preencher CPF e entrada",IF(COUNTIFS($A$12:$A$5011,A409,$B$12:$B$5011,B409)&gt;1,"CPF + dia duplicado",IF(OR(AND(E409&lt;&gt;"",E409&lt;B409),AND(F409&lt;&gt;"",F409&lt;B409)),"Evento anterior à entrada",IF(AND(F409&lt;&gt;"",E409=""),"Conversa sem agendamento",IF(OR(E409&gt;TODAY(),F409&gt;TODAY()),"Verificar evento futuro","OK"))))))</f>
        <v/>
      </c>
    </row>
    <row r="410" spans="9:12">
      <c r="I410" s="5">
        <f>IF(OR(A410="",B410=""),"",B410-WEEKDAY(B410,2)+1)</f>
        <v/>
      </c>
      <c r="J410" s="5">
        <f>IF(I410="","",I410+6)</f>
        <v/>
      </c>
      <c r="K410" s="6">
        <f>IF(OR(A410="",B410=""),"",DATE(YEAR(B410),MONTH(B410),1))</f>
        <v/>
      </c>
      <c r="L410" s="7">
        <f>IF(COUNTA(A410,B410)=0,"",IF(OR(A410="",B410=""),"Preencher CPF e entrada",IF(COUNTIFS($A$12:$A$5011,A410,$B$12:$B$5011,B410)&gt;1,"CPF + dia duplicado",IF(OR(AND(E410&lt;&gt;"",E410&lt;B410),AND(F410&lt;&gt;"",F410&lt;B410)),"Evento anterior à entrada",IF(AND(F410&lt;&gt;"",E410=""),"Conversa sem agendamento",IF(OR(E410&gt;TODAY(),F410&gt;TODAY()),"Verificar evento futuro","OK"))))))</f>
        <v/>
      </c>
    </row>
    <row r="411" spans="9:12">
      <c r="I411" s="5">
        <f>IF(OR(A411="",B411=""),"",B411-WEEKDAY(B411,2)+1)</f>
        <v/>
      </c>
      <c r="J411" s="5">
        <f>IF(I411="","",I411+6)</f>
        <v/>
      </c>
      <c r="K411" s="6">
        <f>IF(OR(A411="",B411=""),"",DATE(YEAR(B411),MONTH(B411),1))</f>
        <v/>
      </c>
      <c r="L411" s="7">
        <f>IF(COUNTA(A411,B411)=0,"",IF(OR(A411="",B411=""),"Preencher CPF e entrada",IF(COUNTIFS($A$12:$A$5011,A411,$B$12:$B$5011,B411)&gt;1,"CPF + dia duplicado",IF(OR(AND(E411&lt;&gt;"",E411&lt;B411),AND(F411&lt;&gt;"",F411&lt;B411)),"Evento anterior à entrada",IF(AND(F411&lt;&gt;"",E411=""),"Conversa sem agendamento",IF(OR(E411&gt;TODAY(),F411&gt;TODAY()),"Verificar evento futuro","OK"))))))</f>
        <v/>
      </c>
    </row>
    <row r="412" spans="9:12">
      <c r="I412" s="5">
        <f>IF(OR(A412="",B412=""),"",B412-WEEKDAY(B412,2)+1)</f>
        <v/>
      </c>
      <c r="J412" s="5">
        <f>IF(I412="","",I412+6)</f>
        <v/>
      </c>
      <c r="K412" s="6">
        <f>IF(OR(A412="",B412=""),"",DATE(YEAR(B412),MONTH(B412),1))</f>
        <v/>
      </c>
      <c r="L412" s="7">
        <f>IF(COUNTA(A412,B412)=0,"",IF(OR(A412="",B412=""),"Preencher CPF e entrada",IF(COUNTIFS($A$12:$A$5011,A412,$B$12:$B$5011,B412)&gt;1,"CPF + dia duplicado",IF(OR(AND(E412&lt;&gt;"",E412&lt;B412),AND(F412&lt;&gt;"",F412&lt;B412)),"Evento anterior à entrada",IF(AND(F412&lt;&gt;"",E412=""),"Conversa sem agendamento",IF(OR(E412&gt;TODAY(),F412&gt;TODAY()),"Verificar evento futuro","OK"))))))</f>
        <v/>
      </c>
    </row>
    <row r="413" spans="9:12">
      <c r="I413" s="5">
        <f>IF(OR(A413="",B413=""),"",B413-WEEKDAY(B413,2)+1)</f>
        <v/>
      </c>
      <c r="J413" s="5">
        <f>IF(I413="","",I413+6)</f>
        <v/>
      </c>
      <c r="K413" s="6">
        <f>IF(OR(A413="",B413=""),"",DATE(YEAR(B413),MONTH(B413),1))</f>
        <v/>
      </c>
      <c r="L413" s="7">
        <f>IF(COUNTA(A413,B413)=0,"",IF(OR(A413="",B413=""),"Preencher CPF e entrada",IF(COUNTIFS($A$12:$A$5011,A413,$B$12:$B$5011,B413)&gt;1,"CPF + dia duplicado",IF(OR(AND(E413&lt;&gt;"",E413&lt;B413),AND(F413&lt;&gt;"",F413&lt;B413)),"Evento anterior à entrada",IF(AND(F413&lt;&gt;"",E413=""),"Conversa sem agendamento",IF(OR(E413&gt;TODAY(),F413&gt;TODAY()),"Verificar evento futuro","OK"))))))</f>
        <v/>
      </c>
    </row>
    <row r="414" spans="9:12">
      <c r="I414" s="5">
        <f>IF(OR(A414="",B414=""),"",B414-WEEKDAY(B414,2)+1)</f>
        <v/>
      </c>
      <c r="J414" s="5">
        <f>IF(I414="","",I414+6)</f>
        <v/>
      </c>
      <c r="K414" s="6">
        <f>IF(OR(A414="",B414=""),"",DATE(YEAR(B414),MONTH(B414),1))</f>
        <v/>
      </c>
      <c r="L414" s="7">
        <f>IF(COUNTA(A414,B414)=0,"",IF(OR(A414="",B414=""),"Preencher CPF e entrada",IF(COUNTIFS($A$12:$A$5011,A414,$B$12:$B$5011,B414)&gt;1,"CPF + dia duplicado",IF(OR(AND(E414&lt;&gt;"",E414&lt;B414),AND(F414&lt;&gt;"",F414&lt;B414)),"Evento anterior à entrada",IF(AND(F414&lt;&gt;"",E414=""),"Conversa sem agendamento",IF(OR(E414&gt;TODAY(),F414&gt;TODAY()),"Verificar evento futuro","OK"))))))</f>
        <v/>
      </c>
    </row>
    <row r="415" spans="9:12">
      <c r="I415" s="5">
        <f>IF(OR(A415="",B415=""),"",B415-WEEKDAY(B415,2)+1)</f>
        <v/>
      </c>
      <c r="J415" s="5">
        <f>IF(I415="","",I415+6)</f>
        <v/>
      </c>
      <c r="K415" s="6">
        <f>IF(OR(A415="",B415=""),"",DATE(YEAR(B415),MONTH(B415),1))</f>
        <v/>
      </c>
      <c r="L415" s="7">
        <f>IF(COUNTA(A415,B415)=0,"",IF(OR(A415="",B415=""),"Preencher CPF e entrada",IF(COUNTIFS($A$12:$A$5011,A415,$B$12:$B$5011,B415)&gt;1,"CPF + dia duplicado",IF(OR(AND(E415&lt;&gt;"",E415&lt;B415),AND(F415&lt;&gt;"",F415&lt;B415)),"Evento anterior à entrada",IF(AND(F415&lt;&gt;"",E415=""),"Conversa sem agendamento",IF(OR(E415&gt;TODAY(),F415&gt;TODAY()),"Verificar evento futuro","OK"))))))</f>
        <v/>
      </c>
    </row>
    <row r="416" spans="9:12">
      <c r="I416" s="5">
        <f>IF(OR(A416="",B416=""),"",B416-WEEKDAY(B416,2)+1)</f>
        <v/>
      </c>
      <c r="J416" s="5">
        <f>IF(I416="","",I416+6)</f>
        <v/>
      </c>
      <c r="K416" s="6">
        <f>IF(OR(A416="",B416=""),"",DATE(YEAR(B416),MONTH(B416),1))</f>
        <v/>
      </c>
      <c r="L416" s="7">
        <f>IF(COUNTA(A416,B416)=0,"",IF(OR(A416="",B416=""),"Preencher CPF e entrada",IF(COUNTIFS($A$12:$A$5011,A416,$B$12:$B$5011,B416)&gt;1,"CPF + dia duplicado",IF(OR(AND(E416&lt;&gt;"",E416&lt;B416),AND(F416&lt;&gt;"",F416&lt;B416)),"Evento anterior à entrada",IF(AND(F416&lt;&gt;"",E416=""),"Conversa sem agendamento",IF(OR(E416&gt;TODAY(),F416&gt;TODAY()),"Verificar evento futuro","OK"))))))</f>
        <v/>
      </c>
    </row>
    <row r="417" spans="9:12">
      <c r="I417" s="5">
        <f>IF(OR(A417="",B417=""),"",B417-WEEKDAY(B417,2)+1)</f>
        <v/>
      </c>
      <c r="J417" s="5">
        <f>IF(I417="","",I417+6)</f>
        <v/>
      </c>
      <c r="K417" s="6">
        <f>IF(OR(A417="",B417=""),"",DATE(YEAR(B417),MONTH(B417),1))</f>
        <v/>
      </c>
      <c r="L417" s="7">
        <f>IF(COUNTA(A417,B417)=0,"",IF(OR(A417="",B417=""),"Preencher CPF e entrada",IF(COUNTIFS($A$12:$A$5011,A417,$B$12:$B$5011,B417)&gt;1,"CPF + dia duplicado",IF(OR(AND(E417&lt;&gt;"",E417&lt;B417),AND(F417&lt;&gt;"",F417&lt;B417)),"Evento anterior à entrada",IF(AND(F417&lt;&gt;"",E417=""),"Conversa sem agendamento",IF(OR(E417&gt;TODAY(),F417&gt;TODAY()),"Verificar evento futuro","OK"))))))</f>
        <v/>
      </c>
    </row>
    <row r="418" spans="9:12">
      <c r="I418" s="5">
        <f>IF(OR(A418="",B418=""),"",B418-WEEKDAY(B418,2)+1)</f>
        <v/>
      </c>
      <c r="J418" s="5">
        <f>IF(I418="","",I418+6)</f>
        <v/>
      </c>
      <c r="K418" s="6">
        <f>IF(OR(A418="",B418=""),"",DATE(YEAR(B418),MONTH(B418),1))</f>
        <v/>
      </c>
      <c r="L418" s="7">
        <f>IF(COUNTA(A418,B418)=0,"",IF(OR(A418="",B418=""),"Preencher CPF e entrada",IF(COUNTIFS($A$12:$A$5011,A418,$B$12:$B$5011,B418)&gt;1,"CPF + dia duplicado",IF(OR(AND(E418&lt;&gt;"",E418&lt;B418),AND(F418&lt;&gt;"",F418&lt;B418)),"Evento anterior à entrada",IF(AND(F418&lt;&gt;"",E418=""),"Conversa sem agendamento",IF(OR(E418&gt;TODAY(),F418&gt;TODAY()),"Verificar evento futuro","OK"))))))</f>
        <v/>
      </c>
    </row>
    <row r="419" spans="9:12">
      <c r="I419" s="5">
        <f>IF(OR(A419="",B419=""),"",B419-WEEKDAY(B419,2)+1)</f>
        <v/>
      </c>
      <c r="J419" s="5">
        <f>IF(I419="","",I419+6)</f>
        <v/>
      </c>
      <c r="K419" s="6">
        <f>IF(OR(A419="",B419=""),"",DATE(YEAR(B419),MONTH(B419),1))</f>
        <v/>
      </c>
      <c r="L419" s="7">
        <f>IF(COUNTA(A419,B419)=0,"",IF(OR(A419="",B419=""),"Preencher CPF e entrada",IF(COUNTIFS($A$12:$A$5011,A419,$B$12:$B$5011,B419)&gt;1,"CPF + dia duplicado",IF(OR(AND(E419&lt;&gt;"",E419&lt;B419),AND(F419&lt;&gt;"",F419&lt;B419)),"Evento anterior à entrada",IF(AND(F419&lt;&gt;"",E419=""),"Conversa sem agendamento",IF(OR(E419&gt;TODAY(),F419&gt;TODAY()),"Verificar evento futuro","OK"))))))</f>
        <v/>
      </c>
    </row>
    <row r="420" spans="9:12">
      <c r="I420" s="5">
        <f>IF(OR(A420="",B420=""),"",B420-WEEKDAY(B420,2)+1)</f>
        <v/>
      </c>
      <c r="J420" s="5">
        <f>IF(I420="","",I420+6)</f>
        <v/>
      </c>
      <c r="K420" s="6">
        <f>IF(OR(A420="",B420=""),"",DATE(YEAR(B420),MONTH(B420),1))</f>
        <v/>
      </c>
      <c r="L420" s="7">
        <f>IF(COUNTA(A420,B420)=0,"",IF(OR(A420="",B420=""),"Preencher CPF e entrada",IF(COUNTIFS($A$12:$A$5011,A420,$B$12:$B$5011,B420)&gt;1,"CPF + dia duplicado",IF(OR(AND(E420&lt;&gt;"",E420&lt;B420),AND(F420&lt;&gt;"",F420&lt;B420)),"Evento anterior à entrada",IF(AND(F420&lt;&gt;"",E420=""),"Conversa sem agendamento",IF(OR(E420&gt;TODAY(),F420&gt;TODAY()),"Verificar evento futuro","OK"))))))</f>
        <v/>
      </c>
    </row>
    <row r="421" spans="9:12">
      <c r="I421" s="5">
        <f>IF(OR(A421="",B421=""),"",B421-WEEKDAY(B421,2)+1)</f>
        <v/>
      </c>
      <c r="J421" s="5">
        <f>IF(I421="","",I421+6)</f>
        <v/>
      </c>
      <c r="K421" s="6">
        <f>IF(OR(A421="",B421=""),"",DATE(YEAR(B421),MONTH(B421),1))</f>
        <v/>
      </c>
      <c r="L421" s="7">
        <f>IF(COUNTA(A421,B421)=0,"",IF(OR(A421="",B421=""),"Preencher CPF e entrada",IF(COUNTIFS($A$12:$A$5011,A421,$B$12:$B$5011,B421)&gt;1,"CPF + dia duplicado",IF(OR(AND(E421&lt;&gt;"",E421&lt;B421),AND(F421&lt;&gt;"",F421&lt;B421)),"Evento anterior à entrada",IF(AND(F421&lt;&gt;"",E421=""),"Conversa sem agendamento",IF(OR(E421&gt;TODAY(),F421&gt;TODAY()),"Verificar evento futuro","OK"))))))</f>
        <v/>
      </c>
    </row>
    <row r="422" spans="9:12">
      <c r="I422" s="5">
        <f>IF(OR(A422="",B422=""),"",B422-WEEKDAY(B422,2)+1)</f>
        <v/>
      </c>
      <c r="J422" s="5">
        <f>IF(I422="","",I422+6)</f>
        <v/>
      </c>
      <c r="K422" s="6">
        <f>IF(OR(A422="",B422=""),"",DATE(YEAR(B422),MONTH(B422),1))</f>
        <v/>
      </c>
      <c r="L422" s="7">
        <f>IF(COUNTA(A422,B422)=0,"",IF(OR(A422="",B422=""),"Preencher CPF e entrada",IF(COUNTIFS($A$12:$A$5011,A422,$B$12:$B$5011,B422)&gt;1,"CPF + dia duplicado",IF(OR(AND(E422&lt;&gt;"",E422&lt;B422),AND(F422&lt;&gt;"",F422&lt;B422)),"Evento anterior à entrada",IF(AND(F422&lt;&gt;"",E422=""),"Conversa sem agendamento",IF(OR(E422&gt;TODAY(),F422&gt;TODAY()),"Verificar evento futuro","OK"))))))</f>
        <v/>
      </c>
    </row>
    <row r="423" spans="9:12">
      <c r="I423" s="5">
        <f>IF(OR(A423="",B423=""),"",B423-WEEKDAY(B423,2)+1)</f>
        <v/>
      </c>
      <c r="J423" s="5">
        <f>IF(I423="","",I423+6)</f>
        <v/>
      </c>
      <c r="K423" s="6">
        <f>IF(OR(A423="",B423=""),"",DATE(YEAR(B423),MONTH(B423),1))</f>
        <v/>
      </c>
      <c r="L423" s="7">
        <f>IF(COUNTA(A423,B423)=0,"",IF(OR(A423="",B423=""),"Preencher CPF e entrada",IF(COUNTIFS($A$12:$A$5011,A423,$B$12:$B$5011,B423)&gt;1,"CPF + dia duplicado",IF(OR(AND(E423&lt;&gt;"",E423&lt;B423),AND(F423&lt;&gt;"",F423&lt;B423)),"Evento anterior à entrada",IF(AND(F423&lt;&gt;"",E423=""),"Conversa sem agendamento",IF(OR(E423&gt;TODAY(),F423&gt;TODAY()),"Verificar evento futuro","OK"))))))</f>
        <v/>
      </c>
    </row>
    <row r="424" spans="9:12">
      <c r="I424" s="5">
        <f>IF(OR(A424="",B424=""),"",B424-WEEKDAY(B424,2)+1)</f>
        <v/>
      </c>
      <c r="J424" s="5">
        <f>IF(I424="","",I424+6)</f>
        <v/>
      </c>
      <c r="K424" s="6">
        <f>IF(OR(A424="",B424=""),"",DATE(YEAR(B424),MONTH(B424),1))</f>
        <v/>
      </c>
      <c r="L424" s="7">
        <f>IF(COUNTA(A424,B424)=0,"",IF(OR(A424="",B424=""),"Preencher CPF e entrada",IF(COUNTIFS($A$12:$A$5011,A424,$B$12:$B$5011,B424)&gt;1,"CPF + dia duplicado",IF(OR(AND(E424&lt;&gt;"",E424&lt;B424),AND(F424&lt;&gt;"",F424&lt;B424)),"Evento anterior à entrada",IF(AND(F424&lt;&gt;"",E424=""),"Conversa sem agendamento",IF(OR(E424&gt;TODAY(),F424&gt;TODAY()),"Verificar evento futuro","OK"))))))</f>
        <v/>
      </c>
    </row>
    <row r="425" spans="9:12">
      <c r="I425" s="5">
        <f>IF(OR(A425="",B425=""),"",B425-WEEKDAY(B425,2)+1)</f>
        <v/>
      </c>
      <c r="J425" s="5">
        <f>IF(I425="","",I425+6)</f>
        <v/>
      </c>
      <c r="K425" s="6">
        <f>IF(OR(A425="",B425=""),"",DATE(YEAR(B425),MONTH(B425),1))</f>
        <v/>
      </c>
      <c r="L425" s="7">
        <f>IF(COUNTA(A425,B425)=0,"",IF(OR(A425="",B425=""),"Preencher CPF e entrada",IF(COUNTIFS($A$12:$A$5011,A425,$B$12:$B$5011,B425)&gt;1,"CPF + dia duplicado",IF(OR(AND(E425&lt;&gt;"",E425&lt;B425),AND(F425&lt;&gt;"",F425&lt;B425)),"Evento anterior à entrada",IF(AND(F425&lt;&gt;"",E425=""),"Conversa sem agendamento",IF(OR(E425&gt;TODAY(),F425&gt;TODAY()),"Verificar evento futuro","OK"))))))</f>
        <v/>
      </c>
    </row>
    <row r="426" spans="9:12">
      <c r="I426" s="5">
        <f>IF(OR(A426="",B426=""),"",B426-WEEKDAY(B426,2)+1)</f>
        <v/>
      </c>
      <c r="J426" s="5">
        <f>IF(I426="","",I426+6)</f>
        <v/>
      </c>
      <c r="K426" s="6">
        <f>IF(OR(A426="",B426=""),"",DATE(YEAR(B426),MONTH(B426),1))</f>
        <v/>
      </c>
      <c r="L426" s="7">
        <f>IF(COUNTA(A426,B426)=0,"",IF(OR(A426="",B426=""),"Preencher CPF e entrada",IF(COUNTIFS($A$12:$A$5011,A426,$B$12:$B$5011,B426)&gt;1,"CPF + dia duplicado",IF(OR(AND(E426&lt;&gt;"",E426&lt;B426),AND(F426&lt;&gt;"",F426&lt;B426)),"Evento anterior à entrada",IF(AND(F426&lt;&gt;"",E426=""),"Conversa sem agendamento",IF(OR(E426&gt;TODAY(),F426&gt;TODAY()),"Verificar evento futuro","OK"))))))</f>
        <v/>
      </c>
    </row>
    <row r="427" spans="9:12">
      <c r="I427" s="5">
        <f>IF(OR(A427="",B427=""),"",B427-WEEKDAY(B427,2)+1)</f>
        <v/>
      </c>
      <c r="J427" s="5">
        <f>IF(I427="","",I427+6)</f>
        <v/>
      </c>
      <c r="K427" s="6">
        <f>IF(OR(A427="",B427=""),"",DATE(YEAR(B427),MONTH(B427),1))</f>
        <v/>
      </c>
      <c r="L427" s="7">
        <f>IF(COUNTA(A427,B427)=0,"",IF(OR(A427="",B427=""),"Preencher CPF e entrada",IF(COUNTIFS($A$12:$A$5011,A427,$B$12:$B$5011,B427)&gt;1,"CPF + dia duplicado",IF(OR(AND(E427&lt;&gt;"",E427&lt;B427),AND(F427&lt;&gt;"",F427&lt;B427)),"Evento anterior à entrada",IF(AND(F427&lt;&gt;"",E427=""),"Conversa sem agendamento",IF(OR(E427&gt;TODAY(),F427&gt;TODAY()),"Verificar evento futuro","OK"))))))</f>
        <v/>
      </c>
    </row>
    <row r="428" spans="9:12">
      <c r="I428" s="5">
        <f>IF(OR(A428="",B428=""),"",B428-WEEKDAY(B428,2)+1)</f>
        <v/>
      </c>
      <c r="J428" s="5">
        <f>IF(I428="","",I428+6)</f>
        <v/>
      </c>
      <c r="K428" s="6">
        <f>IF(OR(A428="",B428=""),"",DATE(YEAR(B428),MONTH(B428),1))</f>
        <v/>
      </c>
      <c r="L428" s="7">
        <f>IF(COUNTA(A428,B428)=0,"",IF(OR(A428="",B428=""),"Preencher CPF e entrada",IF(COUNTIFS($A$12:$A$5011,A428,$B$12:$B$5011,B428)&gt;1,"CPF + dia duplicado",IF(OR(AND(E428&lt;&gt;"",E428&lt;B428),AND(F428&lt;&gt;"",F428&lt;B428)),"Evento anterior à entrada",IF(AND(F428&lt;&gt;"",E428=""),"Conversa sem agendamento",IF(OR(E428&gt;TODAY(),F428&gt;TODAY()),"Verificar evento futuro","OK"))))))</f>
        <v/>
      </c>
    </row>
    <row r="429" spans="9:12">
      <c r="I429" s="5">
        <f>IF(OR(A429="",B429=""),"",B429-WEEKDAY(B429,2)+1)</f>
        <v/>
      </c>
      <c r="J429" s="5">
        <f>IF(I429="","",I429+6)</f>
        <v/>
      </c>
      <c r="K429" s="6">
        <f>IF(OR(A429="",B429=""),"",DATE(YEAR(B429),MONTH(B429),1))</f>
        <v/>
      </c>
      <c r="L429" s="7">
        <f>IF(COUNTA(A429,B429)=0,"",IF(OR(A429="",B429=""),"Preencher CPF e entrada",IF(COUNTIFS($A$12:$A$5011,A429,$B$12:$B$5011,B429)&gt;1,"CPF + dia duplicado",IF(OR(AND(E429&lt;&gt;"",E429&lt;B429),AND(F429&lt;&gt;"",F429&lt;B429)),"Evento anterior à entrada",IF(AND(F429&lt;&gt;"",E429=""),"Conversa sem agendamento",IF(OR(E429&gt;TODAY(),F429&gt;TODAY()),"Verificar evento futuro","OK"))))))</f>
        <v/>
      </c>
    </row>
    <row r="430" spans="9:12">
      <c r="I430" s="5">
        <f>IF(OR(A430="",B430=""),"",B430-WEEKDAY(B430,2)+1)</f>
        <v/>
      </c>
      <c r="J430" s="5">
        <f>IF(I430="","",I430+6)</f>
        <v/>
      </c>
      <c r="K430" s="6">
        <f>IF(OR(A430="",B430=""),"",DATE(YEAR(B430),MONTH(B430),1))</f>
        <v/>
      </c>
      <c r="L430" s="7">
        <f>IF(COUNTA(A430,B430)=0,"",IF(OR(A430="",B430=""),"Preencher CPF e entrada",IF(COUNTIFS($A$12:$A$5011,A430,$B$12:$B$5011,B430)&gt;1,"CPF + dia duplicado",IF(OR(AND(E430&lt;&gt;"",E430&lt;B430),AND(F430&lt;&gt;"",F430&lt;B430)),"Evento anterior à entrada",IF(AND(F430&lt;&gt;"",E430=""),"Conversa sem agendamento",IF(OR(E430&gt;TODAY(),F430&gt;TODAY()),"Verificar evento futuro","OK"))))))</f>
        <v/>
      </c>
    </row>
    <row r="431" spans="9:12">
      <c r="I431" s="5">
        <f>IF(OR(A431="",B431=""),"",B431-WEEKDAY(B431,2)+1)</f>
        <v/>
      </c>
      <c r="J431" s="5">
        <f>IF(I431="","",I431+6)</f>
        <v/>
      </c>
      <c r="K431" s="6">
        <f>IF(OR(A431="",B431=""),"",DATE(YEAR(B431),MONTH(B431),1))</f>
        <v/>
      </c>
      <c r="L431" s="7">
        <f>IF(COUNTA(A431,B431)=0,"",IF(OR(A431="",B431=""),"Preencher CPF e entrada",IF(COUNTIFS($A$12:$A$5011,A431,$B$12:$B$5011,B431)&gt;1,"CPF + dia duplicado",IF(OR(AND(E431&lt;&gt;"",E431&lt;B431),AND(F431&lt;&gt;"",F431&lt;B431)),"Evento anterior à entrada",IF(AND(F431&lt;&gt;"",E431=""),"Conversa sem agendamento",IF(OR(E431&gt;TODAY(),F431&gt;TODAY()),"Verificar evento futuro","OK"))))))</f>
        <v/>
      </c>
    </row>
    <row r="432" spans="9:12">
      <c r="I432" s="5">
        <f>IF(OR(A432="",B432=""),"",B432-WEEKDAY(B432,2)+1)</f>
        <v/>
      </c>
      <c r="J432" s="5">
        <f>IF(I432="","",I432+6)</f>
        <v/>
      </c>
      <c r="K432" s="6">
        <f>IF(OR(A432="",B432=""),"",DATE(YEAR(B432),MONTH(B432),1))</f>
        <v/>
      </c>
      <c r="L432" s="7">
        <f>IF(COUNTA(A432,B432)=0,"",IF(OR(A432="",B432=""),"Preencher CPF e entrada",IF(COUNTIFS($A$12:$A$5011,A432,$B$12:$B$5011,B432)&gt;1,"CPF + dia duplicado",IF(OR(AND(E432&lt;&gt;"",E432&lt;B432),AND(F432&lt;&gt;"",F432&lt;B432)),"Evento anterior à entrada",IF(AND(F432&lt;&gt;"",E432=""),"Conversa sem agendamento",IF(OR(E432&gt;TODAY(),F432&gt;TODAY()),"Verificar evento futuro","OK"))))))</f>
        <v/>
      </c>
    </row>
    <row r="433" spans="9:12">
      <c r="I433" s="5">
        <f>IF(OR(A433="",B433=""),"",B433-WEEKDAY(B433,2)+1)</f>
        <v/>
      </c>
      <c r="J433" s="5">
        <f>IF(I433="","",I433+6)</f>
        <v/>
      </c>
      <c r="K433" s="6">
        <f>IF(OR(A433="",B433=""),"",DATE(YEAR(B433),MONTH(B433),1))</f>
        <v/>
      </c>
      <c r="L433" s="7">
        <f>IF(COUNTA(A433,B433)=0,"",IF(OR(A433="",B433=""),"Preencher CPF e entrada",IF(COUNTIFS($A$12:$A$5011,A433,$B$12:$B$5011,B433)&gt;1,"CPF + dia duplicado",IF(OR(AND(E433&lt;&gt;"",E433&lt;B433),AND(F433&lt;&gt;"",F433&lt;B433)),"Evento anterior à entrada",IF(AND(F433&lt;&gt;"",E433=""),"Conversa sem agendamento",IF(OR(E433&gt;TODAY(),F433&gt;TODAY()),"Verificar evento futuro","OK"))))))</f>
        <v/>
      </c>
    </row>
    <row r="434" spans="9:12">
      <c r="I434" s="5">
        <f>IF(OR(A434="",B434=""),"",B434-WEEKDAY(B434,2)+1)</f>
        <v/>
      </c>
      <c r="J434" s="5">
        <f>IF(I434="","",I434+6)</f>
        <v/>
      </c>
      <c r="K434" s="6">
        <f>IF(OR(A434="",B434=""),"",DATE(YEAR(B434),MONTH(B434),1))</f>
        <v/>
      </c>
      <c r="L434" s="7">
        <f>IF(COUNTA(A434,B434)=0,"",IF(OR(A434="",B434=""),"Preencher CPF e entrada",IF(COUNTIFS($A$12:$A$5011,A434,$B$12:$B$5011,B434)&gt;1,"CPF + dia duplicado",IF(OR(AND(E434&lt;&gt;"",E434&lt;B434),AND(F434&lt;&gt;"",F434&lt;B434)),"Evento anterior à entrada",IF(AND(F434&lt;&gt;"",E434=""),"Conversa sem agendamento",IF(OR(E434&gt;TODAY(),F434&gt;TODAY()),"Verificar evento futuro","OK"))))))</f>
        <v/>
      </c>
    </row>
    <row r="435" spans="9:12">
      <c r="I435" s="5">
        <f>IF(OR(A435="",B435=""),"",B435-WEEKDAY(B435,2)+1)</f>
        <v/>
      </c>
      <c r="J435" s="5">
        <f>IF(I435="","",I435+6)</f>
        <v/>
      </c>
      <c r="K435" s="6">
        <f>IF(OR(A435="",B435=""),"",DATE(YEAR(B435),MONTH(B435),1))</f>
        <v/>
      </c>
      <c r="L435" s="7">
        <f>IF(COUNTA(A435,B435)=0,"",IF(OR(A435="",B435=""),"Preencher CPF e entrada",IF(COUNTIFS($A$12:$A$5011,A435,$B$12:$B$5011,B435)&gt;1,"CPF + dia duplicado",IF(OR(AND(E435&lt;&gt;"",E435&lt;B435),AND(F435&lt;&gt;"",F435&lt;B435)),"Evento anterior à entrada",IF(AND(F435&lt;&gt;"",E435=""),"Conversa sem agendamento",IF(OR(E435&gt;TODAY(),F435&gt;TODAY()),"Verificar evento futuro","OK"))))))</f>
        <v/>
      </c>
    </row>
    <row r="436" spans="9:12">
      <c r="I436" s="5">
        <f>IF(OR(A436="",B436=""),"",B436-WEEKDAY(B436,2)+1)</f>
        <v/>
      </c>
      <c r="J436" s="5">
        <f>IF(I436="","",I436+6)</f>
        <v/>
      </c>
      <c r="K436" s="6">
        <f>IF(OR(A436="",B436=""),"",DATE(YEAR(B436),MONTH(B436),1))</f>
        <v/>
      </c>
      <c r="L436" s="7">
        <f>IF(COUNTA(A436,B436)=0,"",IF(OR(A436="",B436=""),"Preencher CPF e entrada",IF(COUNTIFS($A$12:$A$5011,A436,$B$12:$B$5011,B436)&gt;1,"CPF + dia duplicado",IF(OR(AND(E436&lt;&gt;"",E436&lt;B436),AND(F436&lt;&gt;"",F436&lt;B436)),"Evento anterior à entrada",IF(AND(F436&lt;&gt;"",E436=""),"Conversa sem agendamento",IF(OR(E436&gt;TODAY(),F436&gt;TODAY()),"Verificar evento futuro","OK"))))))</f>
        <v/>
      </c>
    </row>
    <row r="437" spans="9:12">
      <c r="I437" s="5">
        <f>IF(OR(A437="",B437=""),"",B437-WEEKDAY(B437,2)+1)</f>
        <v/>
      </c>
      <c r="J437" s="5">
        <f>IF(I437="","",I437+6)</f>
        <v/>
      </c>
      <c r="K437" s="6">
        <f>IF(OR(A437="",B437=""),"",DATE(YEAR(B437),MONTH(B437),1))</f>
        <v/>
      </c>
      <c r="L437" s="7">
        <f>IF(COUNTA(A437,B437)=0,"",IF(OR(A437="",B437=""),"Preencher CPF e entrada",IF(COUNTIFS($A$12:$A$5011,A437,$B$12:$B$5011,B437)&gt;1,"CPF + dia duplicado",IF(OR(AND(E437&lt;&gt;"",E437&lt;B437),AND(F437&lt;&gt;"",F437&lt;B437)),"Evento anterior à entrada",IF(AND(F437&lt;&gt;"",E437=""),"Conversa sem agendamento",IF(OR(E437&gt;TODAY(),F437&gt;TODAY()),"Verificar evento futuro","OK"))))))</f>
        <v/>
      </c>
    </row>
    <row r="438" spans="9:12">
      <c r="I438" s="5">
        <f>IF(OR(A438="",B438=""),"",B438-WEEKDAY(B438,2)+1)</f>
        <v/>
      </c>
      <c r="J438" s="5">
        <f>IF(I438="","",I438+6)</f>
        <v/>
      </c>
      <c r="K438" s="6">
        <f>IF(OR(A438="",B438=""),"",DATE(YEAR(B438),MONTH(B438),1))</f>
        <v/>
      </c>
      <c r="L438" s="7">
        <f>IF(COUNTA(A438,B438)=0,"",IF(OR(A438="",B438=""),"Preencher CPF e entrada",IF(COUNTIFS($A$12:$A$5011,A438,$B$12:$B$5011,B438)&gt;1,"CPF + dia duplicado",IF(OR(AND(E438&lt;&gt;"",E438&lt;B438),AND(F438&lt;&gt;"",F438&lt;B438)),"Evento anterior à entrada",IF(AND(F438&lt;&gt;"",E438=""),"Conversa sem agendamento",IF(OR(E438&gt;TODAY(),F438&gt;TODAY()),"Verificar evento futuro","OK"))))))</f>
        <v/>
      </c>
    </row>
    <row r="439" spans="9:12">
      <c r="I439" s="5">
        <f>IF(OR(A439="",B439=""),"",B439-WEEKDAY(B439,2)+1)</f>
        <v/>
      </c>
      <c r="J439" s="5">
        <f>IF(I439="","",I439+6)</f>
        <v/>
      </c>
      <c r="K439" s="6">
        <f>IF(OR(A439="",B439=""),"",DATE(YEAR(B439),MONTH(B439),1))</f>
        <v/>
      </c>
      <c r="L439" s="7">
        <f>IF(COUNTA(A439,B439)=0,"",IF(OR(A439="",B439=""),"Preencher CPF e entrada",IF(COUNTIFS($A$12:$A$5011,A439,$B$12:$B$5011,B439)&gt;1,"CPF + dia duplicado",IF(OR(AND(E439&lt;&gt;"",E439&lt;B439),AND(F439&lt;&gt;"",F439&lt;B439)),"Evento anterior à entrada",IF(AND(F439&lt;&gt;"",E439=""),"Conversa sem agendamento",IF(OR(E439&gt;TODAY(),F439&gt;TODAY()),"Verificar evento futuro","OK"))))))</f>
        <v/>
      </c>
    </row>
    <row r="440" spans="9:12">
      <c r="I440" s="5">
        <f>IF(OR(A440="",B440=""),"",B440-WEEKDAY(B440,2)+1)</f>
        <v/>
      </c>
      <c r="J440" s="5">
        <f>IF(I440="","",I440+6)</f>
        <v/>
      </c>
      <c r="K440" s="6">
        <f>IF(OR(A440="",B440=""),"",DATE(YEAR(B440),MONTH(B440),1))</f>
        <v/>
      </c>
      <c r="L440" s="7">
        <f>IF(COUNTA(A440,B440)=0,"",IF(OR(A440="",B440=""),"Preencher CPF e entrada",IF(COUNTIFS($A$12:$A$5011,A440,$B$12:$B$5011,B440)&gt;1,"CPF + dia duplicado",IF(OR(AND(E440&lt;&gt;"",E440&lt;B440),AND(F440&lt;&gt;"",F440&lt;B440)),"Evento anterior à entrada",IF(AND(F440&lt;&gt;"",E440=""),"Conversa sem agendamento",IF(OR(E440&gt;TODAY(),F440&gt;TODAY()),"Verificar evento futuro","OK"))))))</f>
        <v/>
      </c>
    </row>
    <row r="441" spans="9:12">
      <c r="I441" s="5">
        <f>IF(OR(A441="",B441=""),"",B441-WEEKDAY(B441,2)+1)</f>
        <v/>
      </c>
      <c r="J441" s="5">
        <f>IF(I441="","",I441+6)</f>
        <v/>
      </c>
      <c r="K441" s="6">
        <f>IF(OR(A441="",B441=""),"",DATE(YEAR(B441),MONTH(B441),1))</f>
        <v/>
      </c>
      <c r="L441" s="7">
        <f>IF(COUNTA(A441,B441)=0,"",IF(OR(A441="",B441=""),"Preencher CPF e entrada",IF(COUNTIFS($A$12:$A$5011,A441,$B$12:$B$5011,B441)&gt;1,"CPF + dia duplicado",IF(OR(AND(E441&lt;&gt;"",E441&lt;B441),AND(F441&lt;&gt;"",F441&lt;B441)),"Evento anterior à entrada",IF(AND(F441&lt;&gt;"",E441=""),"Conversa sem agendamento",IF(OR(E441&gt;TODAY(),F441&gt;TODAY()),"Verificar evento futuro","OK"))))))</f>
        <v/>
      </c>
    </row>
    <row r="442" spans="9:12">
      <c r="I442" s="5">
        <f>IF(OR(A442="",B442=""),"",B442-WEEKDAY(B442,2)+1)</f>
        <v/>
      </c>
      <c r="J442" s="5">
        <f>IF(I442="","",I442+6)</f>
        <v/>
      </c>
      <c r="K442" s="6">
        <f>IF(OR(A442="",B442=""),"",DATE(YEAR(B442),MONTH(B442),1))</f>
        <v/>
      </c>
      <c r="L442" s="7">
        <f>IF(COUNTA(A442,B442)=0,"",IF(OR(A442="",B442=""),"Preencher CPF e entrada",IF(COUNTIFS($A$12:$A$5011,A442,$B$12:$B$5011,B442)&gt;1,"CPF + dia duplicado",IF(OR(AND(E442&lt;&gt;"",E442&lt;B442),AND(F442&lt;&gt;"",F442&lt;B442)),"Evento anterior à entrada",IF(AND(F442&lt;&gt;"",E442=""),"Conversa sem agendamento",IF(OR(E442&gt;TODAY(),F442&gt;TODAY()),"Verificar evento futuro","OK"))))))</f>
        <v/>
      </c>
    </row>
    <row r="443" spans="9:12">
      <c r="I443" s="5">
        <f>IF(OR(A443="",B443=""),"",B443-WEEKDAY(B443,2)+1)</f>
        <v/>
      </c>
      <c r="J443" s="5">
        <f>IF(I443="","",I443+6)</f>
        <v/>
      </c>
      <c r="K443" s="6">
        <f>IF(OR(A443="",B443=""),"",DATE(YEAR(B443),MONTH(B443),1))</f>
        <v/>
      </c>
      <c r="L443" s="7">
        <f>IF(COUNTA(A443,B443)=0,"",IF(OR(A443="",B443=""),"Preencher CPF e entrada",IF(COUNTIFS($A$12:$A$5011,A443,$B$12:$B$5011,B443)&gt;1,"CPF + dia duplicado",IF(OR(AND(E443&lt;&gt;"",E443&lt;B443),AND(F443&lt;&gt;"",F443&lt;B443)),"Evento anterior à entrada",IF(AND(F443&lt;&gt;"",E443=""),"Conversa sem agendamento",IF(OR(E443&gt;TODAY(),F443&gt;TODAY()),"Verificar evento futuro","OK"))))))</f>
        <v/>
      </c>
    </row>
    <row r="444" spans="9:12">
      <c r="I444" s="5">
        <f>IF(OR(A444="",B444=""),"",B444-WEEKDAY(B444,2)+1)</f>
        <v/>
      </c>
      <c r="J444" s="5">
        <f>IF(I444="","",I444+6)</f>
        <v/>
      </c>
      <c r="K444" s="6">
        <f>IF(OR(A444="",B444=""),"",DATE(YEAR(B444),MONTH(B444),1))</f>
        <v/>
      </c>
      <c r="L444" s="7">
        <f>IF(COUNTA(A444,B444)=0,"",IF(OR(A444="",B444=""),"Preencher CPF e entrada",IF(COUNTIFS($A$12:$A$5011,A444,$B$12:$B$5011,B444)&gt;1,"CPF + dia duplicado",IF(OR(AND(E444&lt;&gt;"",E444&lt;B444),AND(F444&lt;&gt;"",F444&lt;B444)),"Evento anterior à entrada",IF(AND(F444&lt;&gt;"",E444=""),"Conversa sem agendamento",IF(OR(E444&gt;TODAY(),F444&gt;TODAY()),"Verificar evento futuro","OK"))))))</f>
        <v/>
      </c>
    </row>
    <row r="445" spans="9:12">
      <c r="I445" s="5">
        <f>IF(OR(A445="",B445=""),"",B445-WEEKDAY(B445,2)+1)</f>
        <v/>
      </c>
      <c r="J445" s="5">
        <f>IF(I445="","",I445+6)</f>
        <v/>
      </c>
      <c r="K445" s="6">
        <f>IF(OR(A445="",B445=""),"",DATE(YEAR(B445),MONTH(B445),1))</f>
        <v/>
      </c>
      <c r="L445" s="7">
        <f>IF(COUNTA(A445,B445)=0,"",IF(OR(A445="",B445=""),"Preencher CPF e entrada",IF(COUNTIFS($A$12:$A$5011,A445,$B$12:$B$5011,B445)&gt;1,"CPF + dia duplicado",IF(OR(AND(E445&lt;&gt;"",E445&lt;B445),AND(F445&lt;&gt;"",F445&lt;B445)),"Evento anterior à entrada",IF(AND(F445&lt;&gt;"",E445=""),"Conversa sem agendamento",IF(OR(E445&gt;TODAY(),F445&gt;TODAY()),"Verificar evento futuro","OK"))))))</f>
        <v/>
      </c>
    </row>
    <row r="446" spans="9:12">
      <c r="I446" s="5">
        <f>IF(OR(A446="",B446=""),"",B446-WEEKDAY(B446,2)+1)</f>
        <v/>
      </c>
      <c r="J446" s="5">
        <f>IF(I446="","",I446+6)</f>
        <v/>
      </c>
      <c r="K446" s="6">
        <f>IF(OR(A446="",B446=""),"",DATE(YEAR(B446),MONTH(B446),1))</f>
        <v/>
      </c>
      <c r="L446" s="7">
        <f>IF(COUNTA(A446,B446)=0,"",IF(OR(A446="",B446=""),"Preencher CPF e entrada",IF(COUNTIFS($A$12:$A$5011,A446,$B$12:$B$5011,B446)&gt;1,"CPF + dia duplicado",IF(OR(AND(E446&lt;&gt;"",E446&lt;B446),AND(F446&lt;&gt;"",F446&lt;B446)),"Evento anterior à entrada",IF(AND(F446&lt;&gt;"",E446=""),"Conversa sem agendamento",IF(OR(E446&gt;TODAY(),F446&gt;TODAY()),"Verificar evento futuro","OK"))))))</f>
        <v/>
      </c>
    </row>
    <row r="447" spans="9:12">
      <c r="I447" s="5">
        <f>IF(OR(A447="",B447=""),"",B447-WEEKDAY(B447,2)+1)</f>
        <v/>
      </c>
      <c r="J447" s="5">
        <f>IF(I447="","",I447+6)</f>
        <v/>
      </c>
      <c r="K447" s="6">
        <f>IF(OR(A447="",B447=""),"",DATE(YEAR(B447),MONTH(B447),1))</f>
        <v/>
      </c>
      <c r="L447" s="7">
        <f>IF(COUNTA(A447,B447)=0,"",IF(OR(A447="",B447=""),"Preencher CPF e entrada",IF(COUNTIFS($A$12:$A$5011,A447,$B$12:$B$5011,B447)&gt;1,"CPF + dia duplicado",IF(OR(AND(E447&lt;&gt;"",E447&lt;B447),AND(F447&lt;&gt;"",F447&lt;B447)),"Evento anterior à entrada",IF(AND(F447&lt;&gt;"",E447=""),"Conversa sem agendamento",IF(OR(E447&gt;TODAY(),F447&gt;TODAY()),"Verificar evento futuro","OK"))))))</f>
        <v/>
      </c>
    </row>
    <row r="448" spans="9:12">
      <c r="I448" s="5">
        <f>IF(OR(A448="",B448=""),"",B448-WEEKDAY(B448,2)+1)</f>
        <v/>
      </c>
      <c r="J448" s="5">
        <f>IF(I448="","",I448+6)</f>
        <v/>
      </c>
      <c r="K448" s="6">
        <f>IF(OR(A448="",B448=""),"",DATE(YEAR(B448),MONTH(B448),1))</f>
        <v/>
      </c>
      <c r="L448" s="7">
        <f>IF(COUNTA(A448,B448)=0,"",IF(OR(A448="",B448=""),"Preencher CPF e entrada",IF(COUNTIFS($A$12:$A$5011,A448,$B$12:$B$5011,B448)&gt;1,"CPF + dia duplicado",IF(OR(AND(E448&lt;&gt;"",E448&lt;B448),AND(F448&lt;&gt;"",F448&lt;B448)),"Evento anterior à entrada",IF(AND(F448&lt;&gt;"",E448=""),"Conversa sem agendamento",IF(OR(E448&gt;TODAY(),F448&gt;TODAY()),"Verificar evento futuro","OK"))))))</f>
        <v/>
      </c>
    </row>
    <row r="449" spans="9:12">
      <c r="I449" s="5">
        <f>IF(OR(A449="",B449=""),"",B449-WEEKDAY(B449,2)+1)</f>
        <v/>
      </c>
      <c r="J449" s="5">
        <f>IF(I449="","",I449+6)</f>
        <v/>
      </c>
      <c r="K449" s="6">
        <f>IF(OR(A449="",B449=""),"",DATE(YEAR(B449),MONTH(B449),1))</f>
        <v/>
      </c>
      <c r="L449" s="7">
        <f>IF(COUNTA(A449,B449)=0,"",IF(OR(A449="",B449=""),"Preencher CPF e entrada",IF(COUNTIFS($A$12:$A$5011,A449,$B$12:$B$5011,B449)&gt;1,"CPF + dia duplicado",IF(OR(AND(E449&lt;&gt;"",E449&lt;B449),AND(F449&lt;&gt;"",F449&lt;B449)),"Evento anterior à entrada",IF(AND(F449&lt;&gt;"",E449=""),"Conversa sem agendamento",IF(OR(E449&gt;TODAY(),F449&gt;TODAY()),"Verificar evento futuro","OK"))))))</f>
        <v/>
      </c>
    </row>
    <row r="450" spans="9:12">
      <c r="I450" s="5">
        <f>IF(OR(A450="",B450=""),"",B450-WEEKDAY(B450,2)+1)</f>
        <v/>
      </c>
      <c r="J450" s="5">
        <f>IF(I450="","",I450+6)</f>
        <v/>
      </c>
      <c r="K450" s="6">
        <f>IF(OR(A450="",B450=""),"",DATE(YEAR(B450),MONTH(B450),1))</f>
        <v/>
      </c>
      <c r="L450" s="7">
        <f>IF(COUNTA(A450,B450)=0,"",IF(OR(A450="",B450=""),"Preencher CPF e entrada",IF(COUNTIFS($A$12:$A$5011,A450,$B$12:$B$5011,B450)&gt;1,"CPF + dia duplicado",IF(OR(AND(E450&lt;&gt;"",E450&lt;B450),AND(F450&lt;&gt;"",F450&lt;B450)),"Evento anterior à entrada",IF(AND(F450&lt;&gt;"",E450=""),"Conversa sem agendamento",IF(OR(E450&gt;TODAY(),F450&gt;TODAY()),"Verificar evento futuro","OK"))))))</f>
        <v/>
      </c>
    </row>
    <row r="451" spans="9:12">
      <c r="I451" s="5">
        <f>IF(OR(A451="",B451=""),"",B451-WEEKDAY(B451,2)+1)</f>
        <v/>
      </c>
      <c r="J451" s="5">
        <f>IF(I451="","",I451+6)</f>
        <v/>
      </c>
      <c r="K451" s="6">
        <f>IF(OR(A451="",B451=""),"",DATE(YEAR(B451),MONTH(B451),1))</f>
        <v/>
      </c>
      <c r="L451" s="7">
        <f>IF(COUNTA(A451,B451)=0,"",IF(OR(A451="",B451=""),"Preencher CPF e entrada",IF(COUNTIFS($A$12:$A$5011,A451,$B$12:$B$5011,B451)&gt;1,"CPF + dia duplicado",IF(OR(AND(E451&lt;&gt;"",E451&lt;B451),AND(F451&lt;&gt;"",F451&lt;B451)),"Evento anterior à entrada",IF(AND(F451&lt;&gt;"",E451=""),"Conversa sem agendamento",IF(OR(E451&gt;TODAY(),F451&gt;TODAY()),"Verificar evento futuro","OK"))))))</f>
        <v/>
      </c>
    </row>
    <row r="452" spans="9:12">
      <c r="I452" s="5">
        <f>IF(OR(A452="",B452=""),"",B452-WEEKDAY(B452,2)+1)</f>
        <v/>
      </c>
      <c r="J452" s="5">
        <f>IF(I452="","",I452+6)</f>
        <v/>
      </c>
      <c r="K452" s="6">
        <f>IF(OR(A452="",B452=""),"",DATE(YEAR(B452),MONTH(B452),1))</f>
        <v/>
      </c>
      <c r="L452" s="7">
        <f>IF(COUNTA(A452,B452)=0,"",IF(OR(A452="",B452=""),"Preencher CPF e entrada",IF(COUNTIFS($A$12:$A$5011,A452,$B$12:$B$5011,B452)&gt;1,"CPF + dia duplicado",IF(OR(AND(E452&lt;&gt;"",E452&lt;B452),AND(F452&lt;&gt;"",F452&lt;B452)),"Evento anterior à entrada",IF(AND(F452&lt;&gt;"",E452=""),"Conversa sem agendamento",IF(OR(E452&gt;TODAY(),F452&gt;TODAY()),"Verificar evento futuro","OK"))))))</f>
        <v/>
      </c>
    </row>
    <row r="453" spans="9:12">
      <c r="I453" s="5">
        <f>IF(OR(A453="",B453=""),"",B453-WEEKDAY(B453,2)+1)</f>
        <v/>
      </c>
      <c r="J453" s="5">
        <f>IF(I453="","",I453+6)</f>
        <v/>
      </c>
      <c r="K453" s="6">
        <f>IF(OR(A453="",B453=""),"",DATE(YEAR(B453),MONTH(B453),1))</f>
        <v/>
      </c>
      <c r="L453" s="7">
        <f>IF(COUNTA(A453,B453)=0,"",IF(OR(A453="",B453=""),"Preencher CPF e entrada",IF(COUNTIFS($A$12:$A$5011,A453,$B$12:$B$5011,B453)&gt;1,"CPF + dia duplicado",IF(OR(AND(E453&lt;&gt;"",E453&lt;B453),AND(F453&lt;&gt;"",F453&lt;B453)),"Evento anterior à entrada",IF(AND(F453&lt;&gt;"",E453=""),"Conversa sem agendamento",IF(OR(E453&gt;TODAY(),F453&gt;TODAY()),"Verificar evento futuro","OK"))))))</f>
        <v/>
      </c>
    </row>
    <row r="454" spans="9:12">
      <c r="I454" s="5">
        <f>IF(OR(A454="",B454=""),"",B454-WEEKDAY(B454,2)+1)</f>
        <v/>
      </c>
      <c r="J454" s="5">
        <f>IF(I454="","",I454+6)</f>
        <v/>
      </c>
      <c r="K454" s="6">
        <f>IF(OR(A454="",B454=""),"",DATE(YEAR(B454),MONTH(B454),1))</f>
        <v/>
      </c>
      <c r="L454" s="7">
        <f>IF(COUNTA(A454,B454)=0,"",IF(OR(A454="",B454=""),"Preencher CPF e entrada",IF(COUNTIFS($A$12:$A$5011,A454,$B$12:$B$5011,B454)&gt;1,"CPF + dia duplicado",IF(OR(AND(E454&lt;&gt;"",E454&lt;B454),AND(F454&lt;&gt;"",F454&lt;B454)),"Evento anterior à entrada",IF(AND(F454&lt;&gt;"",E454=""),"Conversa sem agendamento",IF(OR(E454&gt;TODAY(),F454&gt;TODAY()),"Verificar evento futuro","OK"))))))</f>
        <v/>
      </c>
    </row>
    <row r="455" spans="9:12">
      <c r="I455" s="5">
        <f>IF(OR(A455="",B455=""),"",B455-WEEKDAY(B455,2)+1)</f>
        <v/>
      </c>
      <c r="J455" s="5">
        <f>IF(I455="","",I455+6)</f>
        <v/>
      </c>
      <c r="K455" s="6">
        <f>IF(OR(A455="",B455=""),"",DATE(YEAR(B455),MONTH(B455),1))</f>
        <v/>
      </c>
      <c r="L455" s="7">
        <f>IF(COUNTA(A455,B455)=0,"",IF(OR(A455="",B455=""),"Preencher CPF e entrada",IF(COUNTIFS($A$12:$A$5011,A455,$B$12:$B$5011,B455)&gt;1,"CPF + dia duplicado",IF(OR(AND(E455&lt;&gt;"",E455&lt;B455),AND(F455&lt;&gt;"",F455&lt;B455)),"Evento anterior à entrada",IF(AND(F455&lt;&gt;"",E455=""),"Conversa sem agendamento",IF(OR(E455&gt;TODAY(),F455&gt;TODAY()),"Verificar evento futuro","OK"))))))</f>
        <v/>
      </c>
    </row>
    <row r="456" spans="9:12">
      <c r="I456" s="5">
        <f>IF(OR(A456="",B456=""),"",B456-WEEKDAY(B456,2)+1)</f>
        <v/>
      </c>
      <c r="J456" s="5">
        <f>IF(I456="","",I456+6)</f>
        <v/>
      </c>
      <c r="K456" s="6">
        <f>IF(OR(A456="",B456=""),"",DATE(YEAR(B456),MONTH(B456),1))</f>
        <v/>
      </c>
      <c r="L456" s="7">
        <f>IF(COUNTA(A456,B456)=0,"",IF(OR(A456="",B456=""),"Preencher CPF e entrada",IF(COUNTIFS($A$12:$A$5011,A456,$B$12:$B$5011,B456)&gt;1,"CPF + dia duplicado",IF(OR(AND(E456&lt;&gt;"",E456&lt;B456),AND(F456&lt;&gt;"",F456&lt;B456)),"Evento anterior à entrada",IF(AND(F456&lt;&gt;"",E456=""),"Conversa sem agendamento",IF(OR(E456&gt;TODAY(),F456&gt;TODAY()),"Verificar evento futuro","OK"))))))</f>
        <v/>
      </c>
    </row>
    <row r="457" spans="9:12">
      <c r="I457" s="5">
        <f>IF(OR(A457="",B457=""),"",B457-WEEKDAY(B457,2)+1)</f>
        <v/>
      </c>
      <c r="J457" s="5">
        <f>IF(I457="","",I457+6)</f>
        <v/>
      </c>
      <c r="K457" s="6">
        <f>IF(OR(A457="",B457=""),"",DATE(YEAR(B457),MONTH(B457),1))</f>
        <v/>
      </c>
      <c r="L457" s="7">
        <f>IF(COUNTA(A457,B457)=0,"",IF(OR(A457="",B457=""),"Preencher CPF e entrada",IF(COUNTIFS($A$12:$A$5011,A457,$B$12:$B$5011,B457)&gt;1,"CPF + dia duplicado",IF(OR(AND(E457&lt;&gt;"",E457&lt;B457),AND(F457&lt;&gt;"",F457&lt;B457)),"Evento anterior à entrada",IF(AND(F457&lt;&gt;"",E457=""),"Conversa sem agendamento",IF(OR(E457&gt;TODAY(),F457&gt;TODAY()),"Verificar evento futuro","OK"))))))</f>
        <v/>
      </c>
    </row>
    <row r="458" spans="9:12">
      <c r="I458" s="5">
        <f>IF(OR(A458="",B458=""),"",B458-WEEKDAY(B458,2)+1)</f>
        <v/>
      </c>
      <c r="J458" s="5">
        <f>IF(I458="","",I458+6)</f>
        <v/>
      </c>
      <c r="K458" s="6">
        <f>IF(OR(A458="",B458=""),"",DATE(YEAR(B458),MONTH(B458),1))</f>
        <v/>
      </c>
      <c r="L458" s="7">
        <f>IF(COUNTA(A458,B458)=0,"",IF(OR(A458="",B458=""),"Preencher CPF e entrada",IF(COUNTIFS($A$12:$A$5011,A458,$B$12:$B$5011,B458)&gt;1,"CPF + dia duplicado",IF(OR(AND(E458&lt;&gt;"",E458&lt;B458),AND(F458&lt;&gt;"",F458&lt;B458)),"Evento anterior à entrada",IF(AND(F458&lt;&gt;"",E458=""),"Conversa sem agendamento",IF(OR(E458&gt;TODAY(),F458&gt;TODAY()),"Verificar evento futuro","OK"))))))</f>
        <v/>
      </c>
    </row>
    <row r="459" spans="9:12">
      <c r="I459" s="5">
        <f>IF(OR(A459="",B459=""),"",B459-WEEKDAY(B459,2)+1)</f>
        <v/>
      </c>
      <c r="J459" s="5">
        <f>IF(I459="","",I459+6)</f>
        <v/>
      </c>
      <c r="K459" s="6">
        <f>IF(OR(A459="",B459=""),"",DATE(YEAR(B459),MONTH(B459),1))</f>
        <v/>
      </c>
      <c r="L459" s="7">
        <f>IF(COUNTA(A459,B459)=0,"",IF(OR(A459="",B459=""),"Preencher CPF e entrada",IF(COUNTIFS($A$12:$A$5011,A459,$B$12:$B$5011,B459)&gt;1,"CPF + dia duplicado",IF(OR(AND(E459&lt;&gt;"",E459&lt;B459),AND(F459&lt;&gt;"",F459&lt;B459)),"Evento anterior à entrada",IF(AND(F459&lt;&gt;"",E459=""),"Conversa sem agendamento",IF(OR(E459&gt;TODAY(),F459&gt;TODAY()),"Verificar evento futuro","OK"))))))</f>
        <v/>
      </c>
    </row>
    <row r="460" spans="9:12">
      <c r="I460" s="5">
        <f>IF(OR(A460="",B460=""),"",B460-WEEKDAY(B460,2)+1)</f>
        <v/>
      </c>
      <c r="J460" s="5">
        <f>IF(I460="","",I460+6)</f>
        <v/>
      </c>
      <c r="K460" s="6">
        <f>IF(OR(A460="",B460=""),"",DATE(YEAR(B460),MONTH(B460),1))</f>
        <v/>
      </c>
      <c r="L460" s="7">
        <f>IF(COUNTA(A460,B460)=0,"",IF(OR(A460="",B460=""),"Preencher CPF e entrada",IF(COUNTIFS($A$12:$A$5011,A460,$B$12:$B$5011,B460)&gt;1,"CPF + dia duplicado",IF(OR(AND(E460&lt;&gt;"",E460&lt;B460),AND(F460&lt;&gt;"",F460&lt;B460)),"Evento anterior à entrada",IF(AND(F460&lt;&gt;"",E460=""),"Conversa sem agendamento",IF(OR(E460&gt;TODAY(),F460&gt;TODAY()),"Verificar evento futuro","OK"))))))</f>
        <v/>
      </c>
    </row>
    <row r="461" spans="9:12">
      <c r="I461" s="5">
        <f>IF(OR(A461="",B461=""),"",B461-WEEKDAY(B461,2)+1)</f>
        <v/>
      </c>
      <c r="J461" s="5">
        <f>IF(I461="","",I461+6)</f>
        <v/>
      </c>
      <c r="K461" s="6">
        <f>IF(OR(A461="",B461=""),"",DATE(YEAR(B461),MONTH(B461),1))</f>
        <v/>
      </c>
      <c r="L461" s="7">
        <f>IF(COUNTA(A461,B461)=0,"",IF(OR(A461="",B461=""),"Preencher CPF e entrada",IF(COUNTIFS($A$12:$A$5011,A461,$B$12:$B$5011,B461)&gt;1,"CPF + dia duplicado",IF(OR(AND(E461&lt;&gt;"",E461&lt;B461),AND(F461&lt;&gt;"",F461&lt;B461)),"Evento anterior à entrada",IF(AND(F461&lt;&gt;"",E461=""),"Conversa sem agendamento",IF(OR(E461&gt;TODAY(),F461&gt;TODAY()),"Verificar evento futuro","OK"))))))</f>
        <v/>
      </c>
    </row>
    <row r="462" spans="9:12">
      <c r="I462" s="5">
        <f>IF(OR(A462="",B462=""),"",B462-WEEKDAY(B462,2)+1)</f>
        <v/>
      </c>
      <c r="J462" s="5">
        <f>IF(I462="","",I462+6)</f>
        <v/>
      </c>
      <c r="K462" s="6">
        <f>IF(OR(A462="",B462=""),"",DATE(YEAR(B462),MONTH(B462),1))</f>
        <v/>
      </c>
      <c r="L462" s="7">
        <f>IF(COUNTA(A462,B462)=0,"",IF(OR(A462="",B462=""),"Preencher CPF e entrada",IF(COUNTIFS($A$12:$A$5011,A462,$B$12:$B$5011,B462)&gt;1,"CPF + dia duplicado",IF(OR(AND(E462&lt;&gt;"",E462&lt;B462),AND(F462&lt;&gt;"",F462&lt;B462)),"Evento anterior à entrada",IF(AND(F462&lt;&gt;"",E462=""),"Conversa sem agendamento",IF(OR(E462&gt;TODAY(),F462&gt;TODAY()),"Verificar evento futuro","OK"))))))</f>
        <v/>
      </c>
    </row>
    <row r="463" spans="9:12">
      <c r="I463" s="5">
        <f>IF(OR(A463="",B463=""),"",B463-WEEKDAY(B463,2)+1)</f>
        <v/>
      </c>
      <c r="J463" s="5">
        <f>IF(I463="","",I463+6)</f>
        <v/>
      </c>
      <c r="K463" s="6">
        <f>IF(OR(A463="",B463=""),"",DATE(YEAR(B463),MONTH(B463),1))</f>
        <v/>
      </c>
      <c r="L463" s="7">
        <f>IF(COUNTA(A463,B463)=0,"",IF(OR(A463="",B463=""),"Preencher CPF e entrada",IF(COUNTIFS($A$12:$A$5011,A463,$B$12:$B$5011,B463)&gt;1,"CPF + dia duplicado",IF(OR(AND(E463&lt;&gt;"",E463&lt;B463),AND(F463&lt;&gt;"",F463&lt;B463)),"Evento anterior à entrada",IF(AND(F463&lt;&gt;"",E463=""),"Conversa sem agendamento",IF(OR(E463&gt;TODAY(),F463&gt;TODAY()),"Verificar evento futuro","OK"))))))</f>
        <v/>
      </c>
    </row>
    <row r="464" spans="9:12">
      <c r="I464" s="5">
        <f>IF(OR(A464="",B464=""),"",B464-WEEKDAY(B464,2)+1)</f>
        <v/>
      </c>
      <c r="J464" s="5">
        <f>IF(I464="","",I464+6)</f>
        <v/>
      </c>
      <c r="K464" s="6">
        <f>IF(OR(A464="",B464=""),"",DATE(YEAR(B464),MONTH(B464),1))</f>
        <v/>
      </c>
      <c r="L464" s="7">
        <f>IF(COUNTA(A464,B464)=0,"",IF(OR(A464="",B464=""),"Preencher CPF e entrada",IF(COUNTIFS($A$12:$A$5011,A464,$B$12:$B$5011,B464)&gt;1,"CPF + dia duplicado",IF(OR(AND(E464&lt;&gt;"",E464&lt;B464),AND(F464&lt;&gt;"",F464&lt;B464)),"Evento anterior à entrada",IF(AND(F464&lt;&gt;"",E464=""),"Conversa sem agendamento",IF(OR(E464&gt;TODAY(),F464&gt;TODAY()),"Verificar evento futuro","OK"))))))</f>
        <v/>
      </c>
    </row>
    <row r="465" spans="9:12">
      <c r="I465" s="5">
        <f>IF(OR(A465="",B465=""),"",B465-WEEKDAY(B465,2)+1)</f>
        <v/>
      </c>
      <c r="J465" s="5">
        <f>IF(I465="","",I465+6)</f>
        <v/>
      </c>
      <c r="K465" s="6">
        <f>IF(OR(A465="",B465=""),"",DATE(YEAR(B465),MONTH(B465),1))</f>
        <v/>
      </c>
      <c r="L465" s="7">
        <f>IF(COUNTA(A465,B465)=0,"",IF(OR(A465="",B465=""),"Preencher CPF e entrada",IF(COUNTIFS($A$12:$A$5011,A465,$B$12:$B$5011,B465)&gt;1,"CPF + dia duplicado",IF(OR(AND(E465&lt;&gt;"",E465&lt;B465),AND(F465&lt;&gt;"",F465&lt;B465)),"Evento anterior à entrada",IF(AND(F465&lt;&gt;"",E465=""),"Conversa sem agendamento",IF(OR(E465&gt;TODAY(),F465&gt;TODAY()),"Verificar evento futuro","OK"))))))</f>
        <v/>
      </c>
    </row>
    <row r="466" spans="9:12">
      <c r="I466" s="5">
        <f>IF(OR(A466="",B466=""),"",B466-WEEKDAY(B466,2)+1)</f>
        <v/>
      </c>
      <c r="J466" s="5">
        <f>IF(I466="","",I466+6)</f>
        <v/>
      </c>
      <c r="K466" s="6">
        <f>IF(OR(A466="",B466=""),"",DATE(YEAR(B466),MONTH(B466),1))</f>
        <v/>
      </c>
      <c r="L466" s="7">
        <f>IF(COUNTA(A466,B466)=0,"",IF(OR(A466="",B466=""),"Preencher CPF e entrada",IF(COUNTIFS($A$12:$A$5011,A466,$B$12:$B$5011,B466)&gt;1,"CPF + dia duplicado",IF(OR(AND(E466&lt;&gt;"",E466&lt;B466),AND(F466&lt;&gt;"",F466&lt;B466)),"Evento anterior à entrada",IF(AND(F466&lt;&gt;"",E466=""),"Conversa sem agendamento",IF(OR(E466&gt;TODAY(),F466&gt;TODAY()),"Verificar evento futuro","OK"))))))</f>
        <v/>
      </c>
    </row>
    <row r="467" spans="9:12">
      <c r="I467" s="5">
        <f>IF(OR(A467="",B467=""),"",B467-WEEKDAY(B467,2)+1)</f>
        <v/>
      </c>
      <c r="J467" s="5">
        <f>IF(I467="","",I467+6)</f>
        <v/>
      </c>
      <c r="K467" s="6">
        <f>IF(OR(A467="",B467=""),"",DATE(YEAR(B467),MONTH(B467),1))</f>
        <v/>
      </c>
      <c r="L467" s="7">
        <f>IF(COUNTA(A467,B467)=0,"",IF(OR(A467="",B467=""),"Preencher CPF e entrada",IF(COUNTIFS($A$12:$A$5011,A467,$B$12:$B$5011,B467)&gt;1,"CPF + dia duplicado",IF(OR(AND(E467&lt;&gt;"",E467&lt;B467),AND(F467&lt;&gt;"",F467&lt;B467)),"Evento anterior à entrada",IF(AND(F467&lt;&gt;"",E467=""),"Conversa sem agendamento",IF(OR(E467&gt;TODAY(),F467&gt;TODAY()),"Verificar evento futuro","OK"))))))</f>
        <v/>
      </c>
    </row>
    <row r="468" spans="9:12">
      <c r="I468" s="5">
        <f>IF(OR(A468="",B468=""),"",B468-WEEKDAY(B468,2)+1)</f>
        <v/>
      </c>
      <c r="J468" s="5">
        <f>IF(I468="","",I468+6)</f>
        <v/>
      </c>
      <c r="K468" s="6">
        <f>IF(OR(A468="",B468=""),"",DATE(YEAR(B468),MONTH(B468),1))</f>
        <v/>
      </c>
      <c r="L468" s="7">
        <f>IF(COUNTA(A468,B468)=0,"",IF(OR(A468="",B468=""),"Preencher CPF e entrada",IF(COUNTIFS($A$12:$A$5011,A468,$B$12:$B$5011,B468)&gt;1,"CPF + dia duplicado",IF(OR(AND(E468&lt;&gt;"",E468&lt;B468),AND(F468&lt;&gt;"",F468&lt;B468)),"Evento anterior à entrada",IF(AND(F468&lt;&gt;"",E468=""),"Conversa sem agendamento",IF(OR(E468&gt;TODAY(),F468&gt;TODAY()),"Verificar evento futuro","OK"))))))</f>
        <v/>
      </c>
    </row>
    <row r="469" spans="9:12">
      <c r="I469" s="5">
        <f>IF(OR(A469="",B469=""),"",B469-WEEKDAY(B469,2)+1)</f>
        <v/>
      </c>
      <c r="J469" s="5">
        <f>IF(I469="","",I469+6)</f>
        <v/>
      </c>
      <c r="K469" s="6">
        <f>IF(OR(A469="",B469=""),"",DATE(YEAR(B469),MONTH(B469),1))</f>
        <v/>
      </c>
      <c r="L469" s="7">
        <f>IF(COUNTA(A469,B469)=0,"",IF(OR(A469="",B469=""),"Preencher CPF e entrada",IF(COUNTIFS($A$12:$A$5011,A469,$B$12:$B$5011,B469)&gt;1,"CPF + dia duplicado",IF(OR(AND(E469&lt;&gt;"",E469&lt;B469),AND(F469&lt;&gt;"",F469&lt;B469)),"Evento anterior à entrada",IF(AND(F469&lt;&gt;"",E469=""),"Conversa sem agendamento",IF(OR(E469&gt;TODAY(),F469&gt;TODAY()),"Verificar evento futuro","OK"))))))</f>
        <v/>
      </c>
    </row>
    <row r="470" spans="9:12">
      <c r="I470" s="5">
        <f>IF(OR(A470="",B470=""),"",B470-WEEKDAY(B470,2)+1)</f>
        <v/>
      </c>
      <c r="J470" s="5">
        <f>IF(I470="","",I470+6)</f>
        <v/>
      </c>
      <c r="K470" s="6">
        <f>IF(OR(A470="",B470=""),"",DATE(YEAR(B470),MONTH(B470),1))</f>
        <v/>
      </c>
      <c r="L470" s="7">
        <f>IF(COUNTA(A470,B470)=0,"",IF(OR(A470="",B470=""),"Preencher CPF e entrada",IF(COUNTIFS($A$12:$A$5011,A470,$B$12:$B$5011,B470)&gt;1,"CPF + dia duplicado",IF(OR(AND(E470&lt;&gt;"",E470&lt;B470),AND(F470&lt;&gt;"",F470&lt;B470)),"Evento anterior à entrada",IF(AND(F470&lt;&gt;"",E470=""),"Conversa sem agendamento",IF(OR(E470&gt;TODAY(),F470&gt;TODAY()),"Verificar evento futuro","OK"))))))</f>
        <v/>
      </c>
    </row>
    <row r="471" spans="9:12">
      <c r="I471" s="5">
        <f>IF(OR(A471="",B471=""),"",B471-WEEKDAY(B471,2)+1)</f>
        <v/>
      </c>
      <c r="J471" s="5">
        <f>IF(I471="","",I471+6)</f>
        <v/>
      </c>
      <c r="K471" s="6">
        <f>IF(OR(A471="",B471=""),"",DATE(YEAR(B471),MONTH(B471),1))</f>
        <v/>
      </c>
      <c r="L471" s="7">
        <f>IF(COUNTA(A471,B471)=0,"",IF(OR(A471="",B471=""),"Preencher CPF e entrada",IF(COUNTIFS($A$12:$A$5011,A471,$B$12:$B$5011,B471)&gt;1,"CPF + dia duplicado",IF(OR(AND(E471&lt;&gt;"",E471&lt;B471),AND(F471&lt;&gt;"",F471&lt;B471)),"Evento anterior à entrada",IF(AND(F471&lt;&gt;"",E471=""),"Conversa sem agendamento",IF(OR(E471&gt;TODAY(),F471&gt;TODAY()),"Verificar evento futuro","OK"))))))</f>
        <v/>
      </c>
    </row>
    <row r="472" spans="9:12">
      <c r="I472" s="5">
        <f>IF(OR(A472="",B472=""),"",B472-WEEKDAY(B472,2)+1)</f>
        <v/>
      </c>
      <c r="J472" s="5">
        <f>IF(I472="","",I472+6)</f>
        <v/>
      </c>
      <c r="K472" s="6">
        <f>IF(OR(A472="",B472=""),"",DATE(YEAR(B472),MONTH(B472),1))</f>
        <v/>
      </c>
      <c r="L472" s="7">
        <f>IF(COUNTA(A472,B472)=0,"",IF(OR(A472="",B472=""),"Preencher CPF e entrada",IF(COUNTIFS($A$12:$A$5011,A472,$B$12:$B$5011,B472)&gt;1,"CPF + dia duplicado",IF(OR(AND(E472&lt;&gt;"",E472&lt;B472),AND(F472&lt;&gt;"",F472&lt;B472)),"Evento anterior à entrada",IF(AND(F472&lt;&gt;"",E472=""),"Conversa sem agendamento",IF(OR(E472&gt;TODAY(),F472&gt;TODAY()),"Verificar evento futuro","OK"))))))</f>
        <v/>
      </c>
    </row>
    <row r="473" spans="9:12">
      <c r="I473" s="5">
        <f>IF(OR(A473="",B473=""),"",B473-WEEKDAY(B473,2)+1)</f>
        <v/>
      </c>
      <c r="J473" s="5">
        <f>IF(I473="","",I473+6)</f>
        <v/>
      </c>
      <c r="K473" s="6">
        <f>IF(OR(A473="",B473=""),"",DATE(YEAR(B473),MONTH(B473),1))</f>
        <v/>
      </c>
      <c r="L473" s="7">
        <f>IF(COUNTA(A473,B473)=0,"",IF(OR(A473="",B473=""),"Preencher CPF e entrada",IF(COUNTIFS($A$12:$A$5011,A473,$B$12:$B$5011,B473)&gt;1,"CPF + dia duplicado",IF(OR(AND(E473&lt;&gt;"",E473&lt;B473),AND(F473&lt;&gt;"",F473&lt;B473)),"Evento anterior à entrada",IF(AND(F473&lt;&gt;"",E473=""),"Conversa sem agendamento",IF(OR(E473&gt;TODAY(),F473&gt;TODAY()),"Verificar evento futuro","OK"))))))</f>
        <v/>
      </c>
    </row>
    <row r="474" spans="9:12">
      <c r="I474" s="5">
        <f>IF(OR(A474="",B474=""),"",B474-WEEKDAY(B474,2)+1)</f>
        <v/>
      </c>
      <c r="J474" s="5">
        <f>IF(I474="","",I474+6)</f>
        <v/>
      </c>
      <c r="K474" s="6">
        <f>IF(OR(A474="",B474=""),"",DATE(YEAR(B474),MONTH(B474),1))</f>
        <v/>
      </c>
      <c r="L474" s="7">
        <f>IF(COUNTA(A474,B474)=0,"",IF(OR(A474="",B474=""),"Preencher CPF e entrada",IF(COUNTIFS($A$12:$A$5011,A474,$B$12:$B$5011,B474)&gt;1,"CPF + dia duplicado",IF(OR(AND(E474&lt;&gt;"",E474&lt;B474),AND(F474&lt;&gt;"",F474&lt;B474)),"Evento anterior à entrada",IF(AND(F474&lt;&gt;"",E474=""),"Conversa sem agendamento",IF(OR(E474&gt;TODAY(),F474&gt;TODAY()),"Verificar evento futuro","OK"))))))</f>
        <v/>
      </c>
    </row>
    <row r="475" spans="9:12">
      <c r="I475" s="5">
        <f>IF(OR(A475="",B475=""),"",B475-WEEKDAY(B475,2)+1)</f>
        <v/>
      </c>
      <c r="J475" s="5">
        <f>IF(I475="","",I475+6)</f>
        <v/>
      </c>
      <c r="K475" s="6">
        <f>IF(OR(A475="",B475=""),"",DATE(YEAR(B475),MONTH(B475),1))</f>
        <v/>
      </c>
      <c r="L475" s="7">
        <f>IF(COUNTA(A475,B475)=0,"",IF(OR(A475="",B475=""),"Preencher CPF e entrada",IF(COUNTIFS($A$12:$A$5011,A475,$B$12:$B$5011,B475)&gt;1,"CPF + dia duplicado",IF(OR(AND(E475&lt;&gt;"",E475&lt;B475),AND(F475&lt;&gt;"",F475&lt;B475)),"Evento anterior à entrada",IF(AND(F475&lt;&gt;"",E475=""),"Conversa sem agendamento",IF(OR(E475&gt;TODAY(),F475&gt;TODAY()),"Verificar evento futuro","OK"))))))</f>
        <v/>
      </c>
    </row>
    <row r="476" spans="9:12">
      <c r="I476" s="5">
        <f>IF(OR(A476="",B476=""),"",B476-WEEKDAY(B476,2)+1)</f>
        <v/>
      </c>
      <c r="J476" s="5">
        <f>IF(I476="","",I476+6)</f>
        <v/>
      </c>
      <c r="K476" s="6">
        <f>IF(OR(A476="",B476=""),"",DATE(YEAR(B476),MONTH(B476),1))</f>
        <v/>
      </c>
      <c r="L476" s="7">
        <f>IF(COUNTA(A476,B476)=0,"",IF(OR(A476="",B476=""),"Preencher CPF e entrada",IF(COUNTIFS($A$12:$A$5011,A476,$B$12:$B$5011,B476)&gt;1,"CPF + dia duplicado",IF(OR(AND(E476&lt;&gt;"",E476&lt;B476),AND(F476&lt;&gt;"",F476&lt;B476)),"Evento anterior à entrada",IF(AND(F476&lt;&gt;"",E476=""),"Conversa sem agendamento",IF(OR(E476&gt;TODAY(),F476&gt;TODAY()),"Verificar evento futuro","OK"))))))</f>
        <v/>
      </c>
    </row>
    <row r="477" spans="9:12">
      <c r="I477" s="5">
        <f>IF(OR(A477="",B477=""),"",B477-WEEKDAY(B477,2)+1)</f>
        <v/>
      </c>
      <c r="J477" s="5">
        <f>IF(I477="","",I477+6)</f>
        <v/>
      </c>
      <c r="K477" s="6">
        <f>IF(OR(A477="",B477=""),"",DATE(YEAR(B477),MONTH(B477),1))</f>
        <v/>
      </c>
      <c r="L477" s="7">
        <f>IF(COUNTA(A477,B477)=0,"",IF(OR(A477="",B477=""),"Preencher CPF e entrada",IF(COUNTIFS($A$12:$A$5011,A477,$B$12:$B$5011,B477)&gt;1,"CPF + dia duplicado",IF(OR(AND(E477&lt;&gt;"",E477&lt;B477),AND(F477&lt;&gt;"",F477&lt;B477)),"Evento anterior à entrada",IF(AND(F477&lt;&gt;"",E477=""),"Conversa sem agendamento",IF(OR(E477&gt;TODAY(),F477&gt;TODAY()),"Verificar evento futuro","OK"))))))</f>
        <v/>
      </c>
    </row>
    <row r="478" spans="9:12">
      <c r="I478" s="5">
        <f>IF(OR(A478="",B478=""),"",B478-WEEKDAY(B478,2)+1)</f>
        <v/>
      </c>
      <c r="J478" s="5">
        <f>IF(I478="","",I478+6)</f>
        <v/>
      </c>
      <c r="K478" s="6">
        <f>IF(OR(A478="",B478=""),"",DATE(YEAR(B478),MONTH(B478),1))</f>
        <v/>
      </c>
      <c r="L478" s="7">
        <f>IF(COUNTA(A478,B478)=0,"",IF(OR(A478="",B478=""),"Preencher CPF e entrada",IF(COUNTIFS($A$12:$A$5011,A478,$B$12:$B$5011,B478)&gt;1,"CPF + dia duplicado",IF(OR(AND(E478&lt;&gt;"",E478&lt;B478),AND(F478&lt;&gt;"",F478&lt;B478)),"Evento anterior à entrada",IF(AND(F478&lt;&gt;"",E478=""),"Conversa sem agendamento",IF(OR(E478&gt;TODAY(),F478&gt;TODAY()),"Verificar evento futuro","OK"))))))</f>
        <v/>
      </c>
    </row>
    <row r="479" spans="9:12">
      <c r="I479" s="5">
        <f>IF(OR(A479="",B479=""),"",B479-WEEKDAY(B479,2)+1)</f>
        <v/>
      </c>
      <c r="J479" s="5">
        <f>IF(I479="","",I479+6)</f>
        <v/>
      </c>
      <c r="K479" s="6">
        <f>IF(OR(A479="",B479=""),"",DATE(YEAR(B479),MONTH(B479),1))</f>
        <v/>
      </c>
      <c r="L479" s="7">
        <f>IF(COUNTA(A479,B479)=0,"",IF(OR(A479="",B479=""),"Preencher CPF e entrada",IF(COUNTIFS($A$12:$A$5011,A479,$B$12:$B$5011,B479)&gt;1,"CPF + dia duplicado",IF(OR(AND(E479&lt;&gt;"",E479&lt;B479),AND(F479&lt;&gt;"",F479&lt;B479)),"Evento anterior à entrada",IF(AND(F479&lt;&gt;"",E479=""),"Conversa sem agendamento",IF(OR(E479&gt;TODAY(),F479&gt;TODAY()),"Verificar evento futuro","OK"))))))</f>
        <v/>
      </c>
    </row>
    <row r="480" spans="9:12">
      <c r="I480" s="5">
        <f>IF(OR(A480="",B480=""),"",B480-WEEKDAY(B480,2)+1)</f>
        <v/>
      </c>
      <c r="J480" s="5">
        <f>IF(I480="","",I480+6)</f>
        <v/>
      </c>
      <c r="K480" s="6">
        <f>IF(OR(A480="",B480=""),"",DATE(YEAR(B480),MONTH(B480),1))</f>
        <v/>
      </c>
      <c r="L480" s="7">
        <f>IF(COUNTA(A480,B480)=0,"",IF(OR(A480="",B480=""),"Preencher CPF e entrada",IF(COUNTIFS($A$12:$A$5011,A480,$B$12:$B$5011,B480)&gt;1,"CPF + dia duplicado",IF(OR(AND(E480&lt;&gt;"",E480&lt;B480),AND(F480&lt;&gt;"",F480&lt;B480)),"Evento anterior à entrada",IF(AND(F480&lt;&gt;"",E480=""),"Conversa sem agendamento",IF(OR(E480&gt;TODAY(),F480&gt;TODAY()),"Verificar evento futuro","OK"))))))</f>
        <v/>
      </c>
    </row>
    <row r="481" spans="9:12">
      <c r="I481" s="5">
        <f>IF(OR(A481="",B481=""),"",B481-WEEKDAY(B481,2)+1)</f>
        <v/>
      </c>
      <c r="J481" s="5">
        <f>IF(I481="","",I481+6)</f>
        <v/>
      </c>
      <c r="K481" s="6">
        <f>IF(OR(A481="",B481=""),"",DATE(YEAR(B481),MONTH(B481),1))</f>
        <v/>
      </c>
      <c r="L481" s="7">
        <f>IF(COUNTA(A481,B481)=0,"",IF(OR(A481="",B481=""),"Preencher CPF e entrada",IF(COUNTIFS($A$12:$A$5011,A481,$B$12:$B$5011,B481)&gt;1,"CPF + dia duplicado",IF(OR(AND(E481&lt;&gt;"",E481&lt;B481),AND(F481&lt;&gt;"",F481&lt;B481)),"Evento anterior à entrada",IF(AND(F481&lt;&gt;"",E481=""),"Conversa sem agendamento",IF(OR(E481&gt;TODAY(),F481&gt;TODAY()),"Verificar evento futuro","OK"))))))</f>
        <v/>
      </c>
    </row>
    <row r="482" spans="9:12">
      <c r="I482" s="5">
        <f>IF(OR(A482="",B482=""),"",B482-WEEKDAY(B482,2)+1)</f>
        <v/>
      </c>
      <c r="J482" s="5">
        <f>IF(I482="","",I482+6)</f>
        <v/>
      </c>
      <c r="K482" s="6">
        <f>IF(OR(A482="",B482=""),"",DATE(YEAR(B482),MONTH(B482),1))</f>
        <v/>
      </c>
      <c r="L482" s="7">
        <f>IF(COUNTA(A482,B482)=0,"",IF(OR(A482="",B482=""),"Preencher CPF e entrada",IF(COUNTIFS($A$12:$A$5011,A482,$B$12:$B$5011,B482)&gt;1,"CPF + dia duplicado",IF(OR(AND(E482&lt;&gt;"",E482&lt;B482),AND(F482&lt;&gt;"",F482&lt;B482)),"Evento anterior à entrada",IF(AND(F482&lt;&gt;"",E482=""),"Conversa sem agendamento",IF(OR(E482&gt;TODAY(),F482&gt;TODAY()),"Verificar evento futuro","OK"))))))</f>
        <v/>
      </c>
    </row>
    <row r="483" spans="9:12">
      <c r="I483" s="5">
        <f>IF(OR(A483="",B483=""),"",B483-WEEKDAY(B483,2)+1)</f>
        <v/>
      </c>
      <c r="J483" s="5">
        <f>IF(I483="","",I483+6)</f>
        <v/>
      </c>
      <c r="K483" s="6">
        <f>IF(OR(A483="",B483=""),"",DATE(YEAR(B483),MONTH(B483),1))</f>
        <v/>
      </c>
      <c r="L483" s="7">
        <f>IF(COUNTA(A483,B483)=0,"",IF(OR(A483="",B483=""),"Preencher CPF e entrada",IF(COUNTIFS($A$12:$A$5011,A483,$B$12:$B$5011,B483)&gt;1,"CPF + dia duplicado",IF(OR(AND(E483&lt;&gt;"",E483&lt;B483),AND(F483&lt;&gt;"",F483&lt;B483)),"Evento anterior à entrada",IF(AND(F483&lt;&gt;"",E483=""),"Conversa sem agendamento",IF(OR(E483&gt;TODAY(),F483&gt;TODAY()),"Verificar evento futuro","OK"))))))</f>
        <v/>
      </c>
    </row>
    <row r="484" spans="9:12">
      <c r="I484" s="5">
        <f>IF(OR(A484="",B484=""),"",B484-WEEKDAY(B484,2)+1)</f>
        <v/>
      </c>
      <c r="J484" s="5">
        <f>IF(I484="","",I484+6)</f>
        <v/>
      </c>
      <c r="K484" s="6">
        <f>IF(OR(A484="",B484=""),"",DATE(YEAR(B484),MONTH(B484),1))</f>
        <v/>
      </c>
      <c r="L484" s="7">
        <f>IF(COUNTA(A484,B484)=0,"",IF(OR(A484="",B484=""),"Preencher CPF e entrada",IF(COUNTIFS($A$12:$A$5011,A484,$B$12:$B$5011,B484)&gt;1,"CPF + dia duplicado",IF(OR(AND(E484&lt;&gt;"",E484&lt;B484),AND(F484&lt;&gt;"",F484&lt;B484)),"Evento anterior à entrada",IF(AND(F484&lt;&gt;"",E484=""),"Conversa sem agendamento",IF(OR(E484&gt;TODAY(),F484&gt;TODAY()),"Verificar evento futuro","OK"))))))</f>
        <v/>
      </c>
    </row>
    <row r="485" spans="9:12">
      <c r="I485" s="5">
        <f>IF(OR(A485="",B485=""),"",B485-WEEKDAY(B485,2)+1)</f>
        <v/>
      </c>
      <c r="J485" s="5">
        <f>IF(I485="","",I485+6)</f>
        <v/>
      </c>
      <c r="K485" s="6">
        <f>IF(OR(A485="",B485=""),"",DATE(YEAR(B485),MONTH(B485),1))</f>
        <v/>
      </c>
      <c r="L485" s="7">
        <f>IF(COUNTA(A485,B485)=0,"",IF(OR(A485="",B485=""),"Preencher CPF e entrada",IF(COUNTIFS($A$12:$A$5011,A485,$B$12:$B$5011,B485)&gt;1,"CPF + dia duplicado",IF(OR(AND(E485&lt;&gt;"",E485&lt;B485),AND(F485&lt;&gt;"",F485&lt;B485)),"Evento anterior à entrada",IF(AND(F485&lt;&gt;"",E485=""),"Conversa sem agendamento",IF(OR(E485&gt;TODAY(),F485&gt;TODAY()),"Verificar evento futuro","OK"))))))</f>
        <v/>
      </c>
    </row>
    <row r="486" spans="9:12">
      <c r="I486" s="5">
        <f>IF(OR(A486="",B486=""),"",B486-WEEKDAY(B486,2)+1)</f>
        <v/>
      </c>
      <c r="J486" s="5">
        <f>IF(I486="","",I486+6)</f>
        <v/>
      </c>
      <c r="K486" s="6">
        <f>IF(OR(A486="",B486=""),"",DATE(YEAR(B486),MONTH(B486),1))</f>
        <v/>
      </c>
      <c r="L486" s="7">
        <f>IF(COUNTA(A486,B486)=0,"",IF(OR(A486="",B486=""),"Preencher CPF e entrada",IF(COUNTIFS($A$12:$A$5011,A486,$B$12:$B$5011,B486)&gt;1,"CPF + dia duplicado",IF(OR(AND(E486&lt;&gt;"",E486&lt;B486),AND(F486&lt;&gt;"",F486&lt;B486)),"Evento anterior à entrada",IF(AND(F486&lt;&gt;"",E486=""),"Conversa sem agendamento",IF(OR(E486&gt;TODAY(),F486&gt;TODAY()),"Verificar evento futuro","OK"))))))</f>
        <v/>
      </c>
    </row>
    <row r="487" spans="9:12">
      <c r="I487" s="5">
        <f>IF(OR(A487="",B487=""),"",B487-WEEKDAY(B487,2)+1)</f>
        <v/>
      </c>
      <c r="J487" s="5">
        <f>IF(I487="","",I487+6)</f>
        <v/>
      </c>
      <c r="K487" s="6">
        <f>IF(OR(A487="",B487=""),"",DATE(YEAR(B487),MONTH(B487),1))</f>
        <v/>
      </c>
      <c r="L487" s="7">
        <f>IF(COUNTA(A487,B487)=0,"",IF(OR(A487="",B487=""),"Preencher CPF e entrada",IF(COUNTIFS($A$12:$A$5011,A487,$B$12:$B$5011,B487)&gt;1,"CPF + dia duplicado",IF(OR(AND(E487&lt;&gt;"",E487&lt;B487),AND(F487&lt;&gt;"",F487&lt;B487)),"Evento anterior à entrada",IF(AND(F487&lt;&gt;"",E487=""),"Conversa sem agendamento",IF(OR(E487&gt;TODAY(),F487&gt;TODAY()),"Verificar evento futuro","OK"))))))</f>
        <v/>
      </c>
    </row>
    <row r="488" spans="9:12">
      <c r="I488" s="5">
        <f>IF(OR(A488="",B488=""),"",B488-WEEKDAY(B488,2)+1)</f>
        <v/>
      </c>
      <c r="J488" s="5">
        <f>IF(I488="","",I488+6)</f>
        <v/>
      </c>
      <c r="K488" s="6">
        <f>IF(OR(A488="",B488=""),"",DATE(YEAR(B488),MONTH(B488),1))</f>
        <v/>
      </c>
      <c r="L488" s="7">
        <f>IF(COUNTA(A488,B488)=0,"",IF(OR(A488="",B488=""),"Preencher CPF e entrada",IF(COUNTIFS($A$12:$A$5011,A488,$B$12:$B$5011,B488)&gt;1,"CPF + dia duplicado",IF(OR(AND(E488&lt;&gt;"",E488&lt;B488),AND(F488&lt;&gt;"",F488&lt;B488)),"Evento anterior à entrada",IF(AND(F488&lt;&gt;"",E488=""),"Conversa sem agendamento",IF(OR(E488&gt;TODAY(),F488&gt;TODAY()),"Verificar evento futuro","OK"))))))</f>
        <v/>
      </c>
    </row>
    <row r="489" spans="9:12">
      <c r="I489" s="5">
        <f>IF(OR(A489="",B489=""),"",B489-WEEKDAY(B489,2)+1)</f>
        <v/>
      </c>
      <c r="J489" s="5">
        <f>IF(I489="","",I489+6)</f>
        <v/>
      </c>
      <c r="K489" s="6">
        <f>IF(OR(A489="",B489=""),"",DATE(YEAR(B489),MONTH(B489),1))</f>
        <v/>
      </c>
      <c r="L489" s="7">
        <f>IF(COUNTA(A489,B489)=0,"",IF(OR(A489="",B489=""),"Preencher CPF e entrada",IF(COUNTIFS($A$12:$A$5011,A489,$B$12:$B$5011,B489)&gt;1,"CPF + dia duplicado",IF(OR(AND(E489&lt;&gt;"",E489&lt;B489),AND(F489&lt;&gt;"",F489&lt;B489)),"Evento anterior à entrada",IF(AND(F489&lt;&gt;"",E489=""),"Conversa sem agendamento",IF(OR(E489&gt;TODAY(),F489&gt;TODAY()),"Verificar evento futuro","OK"))))))</f>
        <v/>
      </c>
    </row>
    <row r="490" spans="9:12">
      <c r="I490" s="5">
        <f>IF(OR(A490="",B490=""),"",B490-WEEKDAY(B490,2)+1)</f>
        <v/>
      </c>
      <c r="J490" s="5">
        <f>IF(I490="","",I490+6)</f>
        <v/>
      </c>
      <c r="K490" s="6">
        <f>IF(OR(A490="",B490=""),"",DATE(YEAR(B490),MONTH(B490),1))</f>
        <v/>
      </c>
      <c r="L490" s="7">
        <f>IF(COUNTA(A490,B490)=0,"",IF(OR(A490="",B490=""),"Preencher CPF e entrada",IF(COUNTIFS($A$12:$A$5011,A490,$B$12:$B$5011,B490)&gt;1,"CPF + dia duplicado",IF(OR(AND(E490&lt;&gt;"",E490&lt;B490),AND(F490&lt;&gt;"",F490&lt;B490)),"Evento anterior à entrada",IF(AND(F490&lt;&gt;"",E490=""),"Conversa sem agendamento",IF(OR(E490&gt;TODAY(),F490&gt;TODAY()),"Verificar evento futuro","OK"))))))</f>
        <v/>
      </c>
    </row>
    <row r="491" spans="9:12">
      <c r="I491" s="5">
        <f>IF(OR(A491="",B491=""),"",B491-WEEKDAY(B491,2)+1)</f>
        <v/>
      </c>
      <c r="J491" s="5">
        <f>IF(I491="","",I491+6)</f>
        <v/>
      </c>
      <c r="K491" s="6">
        <f>IF(OR(A491="",B491=""),"",DATE(YEAR(B491),MONTH(B491),1))</f>
        <v/>
      </c>
      <c r="L491" s="7">
        <f>IF(COUNTA(A491,B491)=0,"",IF(OR(A491="",B491=""),"Preencher CPF e entrada",IF(COUNTIFS($A$12:$A$5011,A491,$B$12:$B$5011,B491)&gt;1,"CPF + dia duplicado",IF(OR(AND(E491&lt;&gt;"",E491&lt;B491),AND(F491&lt;&gt;"",F491&lt;B491)),"Evento anterior à entrada",IF(AND(F491&lt;&gt;"",E491=""),"Conversa sem agendamento",IF(OR(E491&gt;TODAY(),F491&gt;TODAY()),"Verificar evento futuro","OK"))))))</f>
        <v/>
      </c>
    </row>
    <row r="492" spans="9:12">
      <c r="I492" s="5">
        <f>IF(OR(A492="",B492=""),"",B492-WEEKDAY(B492,2)+1)</f>
        <v/>
      </c>
      <c r="J492" s="5">
        <f>IF(I492="","",I492+6)</f>
        <v/>
      </c>
      <c r="K492" s="6">
        <f>IF(OR(A492="",B492=""),"",DATE(YEAR(B492),MONTH(B492),1))</f>
        <v/>
      </c>
      <c r="L492" s="7">
        <f>IF(COUNTA(A492,B492)=0,"",IF(OR(A492="",B492=""),"Preencher CPF e entrada",IF(COUNTIFS($A$12:$A$5011,A492,$B$12:$B$5011,B492)&gt;1,"CPF + dia duplicado",IF(OR(AND(E492&lt;&gt;"",E492&lt;B492),AND(F492&lt;&gt;"",F492&lt;B492)),"Evento anterior à entrada",IF(AND(F492&lt;&gt;"",E492=""),"Conversa sem agendamento",IF(OR(E492&gt;TODAY(),F492&gt;TODAY()),"Verificar evento futuro","OK"))))))</f>
        <v/>
      </c>
    </row>
    <row r="493" spans="9:12">
      <c r="I493" s="5">
        <f>IF(OR(A493="",B493=""),"",B493-WEEKDAY(B493,2)+1)</f>
        <v/>
      </c>
      <c r="J493" s="5">
        <f>IF(I493="","",I493+6)</f>
        <v/>
      </c>
      <c r="K493" s="6">
        <f>IF(OR(A493="",B493=""),"",DATE(YEAR(B493),MONTH(B493),1))</f>
        <v/>
      </c>
      <c r="L493" s="7">
        <f>IF(COUNTA(A493,B493)=0,"",IF(OR(A493="",B493=""),"Preencher CPF e entrada",IF(COUNTIFS($A$12:$A$5011,A493,$B$12:$B$5011,B493)&gt;1,"CPF + dia duplicado",IF(OR(AND(E493&lt;&gt;"",E493&lt;B493),AND(F493&lt;&gt;"",F493&lt;B493)),"Evento anterior à entrada",IF(AND(F493&lt;&gt;"",E493=""),"Conversa sem agendamento",IF(OR(E493&gt;TODAY(),F493&gt;TODAY()),"Verificar evento futuro","OK"))))))</f>
        <v/>
      </c>
    </row>
    <row r="494" spans="9:12">
      <c r="I494" s="5">
        <f>IF(OR(A494="",B494=""),"",B494-WEEKDAY(B494,2)+1)</f>
        <v/>
      </c>
      <c r="J494" s="5">
        <f>IF(I494="","",I494+6)</f>
        <v/>
      </c>
      <c r="K494" s="6">
        <f>IF(OR(A494="",B494=""),"",DATE(YEAR(B494),MONTH(B494),1))</f>
        <v/>
      </c>
      <c r="L494" s="7">
        <f>IF(COUNTA(A494,B494)=0,"",IF(OR(A494="",B494=""),"Preencher CPF e entrada",IF(COUNTIFS($A$12:$A$5011,A494,$B$12:$B$5011,B494)&gt;1,"CPF + dia duplicado",IF(OR(AND(E494&lt;&gt;"",E494&lt;B494),AND(F494&lt;&gt;"",F494&lt;B494)),"Evento anterior à entrada",IF(AND(F494&lt;&gt;"",E494=""),"Conversa sem agendamento",IF(OR(E494&gt;TODAY(),F494&gt;TODAY()),"Verificar evento futuro","OK"))))))</f>
        <v/>
      </c>
    </row>
    <row r="495" spans="9:12">
      <c r="I495" s="5">
        <f>IF(OR(A495="",B495=""),"",B495-WEEKDAY(B495,2)+1)</f>
        <v/>
      </c>
      <c r="J495" s="5">
        <f>IF(I495="","",I495+6)</f>
        <v/>
      </c>
      <c r="K495" s="6">
        <f>IF(OR(A495="",B495=""),"",DATE(YEAR(B495),MONTH(B495),1))</f>
        <v/>
      </c>
      <c r="L495" s="7">
        <f>IF(COUNTA(A495,B495)=0,"",IF(OR(A495="",B495=""),"Preencher CPF e entrada",IF(COUNTIFS($A$12:$A$5011,A495,$B$12:$B$5011,B495)&gt;1,"CPF + dia duplicado",IF(OR(AND(E495&lt;&gt;"",E495&lt;B495),AND(F495&lt;&gt;"",F495&lt;B495)),"Evento anterior à entrada",IF(AND(F495&lt;&gt;"",E495=""),"Conversa sem agendamento",IF(OR(E495&gt;TODAY(),F495&gt;TODAY()),"Verificar evento futuro","OK"))))))</f>
        <v/>
      </c>
    </row>
    <row r="496" spans="9:12">
      <c r="I496" s="5">
        <f>IF(OR(A496="",B496=""),"",B496-WEEKDAY(B496,2)+1)</f>
        <v/>
      </c>
      <c r="J496" s="5">
        <f>IF(I496="","",I496+6)</f>
        <v/>
      </c>
      <c r="K496" s="6">
        <f>IF(OR(A496="",B496=""),"",DATE(YEAR(B496),MONTH(B496),1))</f>
        <v/>
      </c>
      <c r="L496" s="7">
        <f>IF(COUNTA(A496,B496)=0,"",IF(OR(A496="",B496=""),"Preencher CPF e entrada",IF(COUNTIFS($A$12:$A$5011,A496,$B$12:$B$5011,B496)&gt;1,"CPF + dia duplicado",IF(OR(AND(E496&lt;&gt;"",E496&lt;B496),AND(F496&lt;&gt;"",F496&lt;B496)),"Evento anterior à entrada",IF(AND(F496&lt;&gt;"",E496=""),"Conversa sem agendamento",IF(OR(E496&gt;TODAY(),F496&gt;TODAY()),"Verificar evento futuro","OK"))))))</f>
        <v/>
      </c>
    </row>
    <row r="497" spans="9:12">
      <c r="I497" s="5">
        <f>IF(OR(A497="",B497=""),"",B497-WEEKDAY(B497,2)+1)</f>
        <v/>
      </c>
      <c r="J497" s="5">
        <f>IF(I497="","",I497+6)</f>
        <v/>
      </c>
      <c r="K497" s="6">
        <f>IF(OR(A497="",B497=""),"",DATE(YEAR(B497),MONTH(B497),1))</f>
        <v/>
      </c>
      <c r="L497" s="7">
        <f>IF(COUNTA(A497,B497)=0,"",IF(OR(A497="",B497=""),"Preencher CPF e entrada",IF(COUNTIFS($A$12:$A$5011,A497,$B$12:$B$5011,B497)&gt;1,"CPF + dia duplicado",IF(OR(AND(E497&lt;&gt;"",E497&lt;B497),AND(F497&lt;&gt;"",F497&lt;B497)),"Evento anterior à entrada",IF(AND(F497&lt;&gt;"",E497=""),"Conversa sem agendamento",IF(OR(E497&gt;TODAY(),F497&gt;TODAY()),"Verificar evento futuro","OK"))))))</f>
        <v/>
      </c>
    </row>
    <row r="498" spans="9:12">
      <c r="I498" s="5">
        <f>IF(OR(A498="",B498=""),"",B498-WEEKDAY(B498,2)+1)</f>
        <v/>
      </c>
      <c r="J498" s="5">
        <f>IF(I498="","",I498+6)</f>
        <v/>
      </c>
      <c r="K498" s="6">
        <f>IF(OR(A498="",B498=""),"",DATE(YEAR(B498),MONTH(B498),1))</f>
        <v/>
      </c>
      <c r="L498" s="7">
        <f>IF(COUNTA(A498,B498)=0,"",IF(OR(A498="",B498=""),"Preencher CPF e entrada",IF(COUNTIFS($A$12:$A$5011,A498,$B$12:$B$5011,B498)&gt;1,"CPF + dia duplicado",IF(OR(AND(E498&lt;&gt;"",E498&lt;B498),AND(F498&lt;&gt;"",F498&lt;B498)),"Evento anterior à entrada",IF(AND(F498&lt;&gt;"",E498=""),"Conversa sem agendamento",IF(OR(E498&gt;TODAY(),F498&gt;TODAY()),"Verificar evento futuro","OK"))))))</f>
        <v/>
      </c>
    </row>
    <row r="499" spans="9:12">
      <c r="I499" s="5">
        <f>IF(OR(A499="",B499=""),"",B499-WEEKDAY(B499,2)+1)</f>
        <v/>
      </c>
      <c r="J499" s="5">
        <f>IF(I499="","",I499+6)</f>
        <v/>
      </c>
      <c r="K499" s="6">
        <f>IF(OR(A499="",B499=""),"",DATE(YEAR(B499),MONTH(B499),1))</f>
        <v/>
      </c>
      <c r="L499" s="7">
        <f>IF(COUNTA(A499,B499)=0,"",IF(OR(A499="",B499=""),"Preencher CPF e entrada",IF(COUNTIFS($A$12:$A$5011,A499,$B$12:$B$5011,B499)&gt;1,"CPF + dia duplicado",IF(OR(AND(E499&lt;&gt;"",E499&lt;B499),AND(F499&lt;&gt;"",F499&lt;B499)),"Evento anterior à entrada",IF(AND(F499&lt;&gt;"",E499=""),"Conversa sem agendamento",IF(OR(E499&gt;TODAY(),F499&gt;TODAY()),"Verificar evento futuro","OK"))))))</f>
        <v/>
      </c>
    </row>
    <row r="500" spans="9:12">
      <c r="I500" s="5">
        <f>IF(OR(A500="",B500=""),"",B500-WEEKDAY(B500,2)+1)</f>
        <v/>
      </c>
      <c r="J500" s="5">
        <f>IF(I500="","",I500+6)</f>
        <v/>
      </c>
      <c r="K500" s="6">
        <f>IF(OR(A500="",B500=""),"",DATE(YEAR(B500),MONTH(B500),1))</f>
        <v/>
      </c>
      <c r="L500" s="7">
        <f>IF(COUNTA(A500,B500)=0,"",IF(OR(A500="",B500=""),"Preencher CPF e entrada",IF(COUNTIFS($A$12:$A$5011,A500,$B$12:$B$5011,B500)&gt;1,"CPF + dia duplicado",IF(OR(AND(E500&lt;&gt;"",E500&lt;B500),AND(F500&lt;&gt;"",F500&lt;B500)),"Evento anterior à entrada",IF(AND(F500&lt;&gt;"",E500=""),"Conversa sem agendamento",IF(OR(E500&gt;TODAY(),F500&gt;TODAY()),"Verificar evento futuro","OK"))))))</f>
        <v/>
      </c>
    </row>
    <row r="501" spans="9:12">
      <c r="I501" s="5">
        <f>IF(OR(A501="",B501=""),"",B501-WEEKDAY(B501,2)+1)</f>
        <v/>
      </c>
      <c r="J501" s="5">
        <f>IF(I501="","",I501+6)</f>
        <v/>
      </c>
      <c r="K501" s="6">
        <f>IF(OR(A501="",B501=""),"",DATE(YEAR(B501),MONTH(B501),1))</f>
        <v/>
      </c>
      <c r="L501" s="7">
        <f>IF(COUNTA(A501,B501)=0,"",IF(OR(A501="",B501=""),"Preencher CPF e entrada",IF(COUNTIFS($A$12:$A$5011,A501,$B$12:$B$5011,B501)&gt;1,"CPF + dia duplicado",IF(OR(AND(E501&lt;&gt;"",E501&lt;B501),AND(F501&lt;&gt;"",F501&lt;B501)),"Evento anterior à entrada",IF(AND(F501&lt;&gt;"",E501=""),"Conversa sem agendamento",IF(OR(E501&gt;TODAY(),F501&gt;TODAY()),"Verificar evento futuro","OK"))))))</f>
        <v/>
      </c>
    </row>
    <row r="502" spans="9:12">
      <c r="I502" s="5">
        <f>IF(OR(A502="",B502=""),"",B502-WEEKDAY(B502,2)+1)</f>
        <v/>
      </c>
      <c r="J502" s="5">
        <f>IF(I502="","",I502+6)</f>
        <v/>
      </c>
      <c r="K502" s="6">
        <f>IF(OR(A502="",B502=""),"",DATE(YEAR(B502),MONTH(B502),1))</f>
        <v/>
      </c>
      <c r="L502" s="7">
        <f>IF(COUNTA(A502,B502)=0,"",IF(OR(A502="",B502=""),"Preencher CPF e entrada",IF(COUNTIFS($A$12:$A$5011,A502,$B$12:$B$5011,B502)&gt;1,"CPF + dia duplicado",IF(OR(AND(E502&lt;&gt;"",E502&lt;B502),AND(F502&lt;&gt;"",F502&lt;B502)),"Evento anterior à entrada",IF(AND(F502&lt;&gt;"",E502=""),"Conversa sem agendamento",IF(OR(E502&gt;TODAY(),F502&gt;TODAY()),"Verificar evento futuro","OK"))))))</f>
        <v/>
      </c>
    </row>
    <row r="503" spans="9:12">
      <c r="I503" s="5">
        <f>IF(OR(A503="",B503=""),"",B503-WEEKDAY(B503,2)+1)</f>
        <v/>
      </c>
      <c r="J503" s="5">
        <f>IF(I503="","",I503+6)</f>
        <v/>
      </c>
      <c r="K503" s="6">
        <f>IF(OR(A503="",B503=""),"",DATE(YEAR(B503),MONTH(B503),1))</f>
        <v/>
      </c>
      <c r="L503" s="7">
        <f>IF(COUNTA(A503,B503)=0,"",IF(OR(A503="",B503=""),"Preencher CPF e entrada",IF(COUNTIFS($A$12:$A$5011,A503,$B$12:$B$5011,B503)&gt;1,"CPF + dia duplicado",IF(OR(AND(E503&lt;&gt;"",E503&lt;B503),AND(F503&lt;&gt;"",F503&lt;B503)),"Evento anterior à entrada",IF(AND(F503&lt;&gt;"",E503=""),"Conversa sem agendamento",IF(OR(E503&gt;TODAY(),F503&gt;TODAY()),"Verificar evento futuro","OK"))))))</f>
        <v/>
      </c>
    </row>
    <row r="504" spans="9:12">
      <c r="I504" s="5">
        <f>IF(OR(A504="",B504=""),"",B504-WEEKDAY(B504,2)+1)</f>
        <v/>
      </c>
      <c r="J504" s="5">
        <f>IF(I504="","",I504+6)</f>
        <v/>
      </c>
      <c r="K504" s="6">
        <f>IF(OR(A504="",B504=""),"",DATE(YEAR(B504),MONTH(B504),1))</f>
        <v/>
      </c>
      <c r="L504" s="7">
        <f>IF(COUNTA(A504,B504)=0,"",IF(OR(A504="",B504=""),"Preencher CPF e entrada",IF(COUNTIFS($A$12:$A$5011,A504,$B$12:$B$5011,B504)&gt;1,"CPF + dia duplicado",IF(OR(AND(E504&lt;&gt;"",E504&lt;B504),AND(F504&lt;&gt;"",F504&lt;B504)),"Evento anterior à entrada",IF(AND(F504&lt;&gt;"",E504=""),"Conversa sem agendamento",IF(OR(E504&gt;TODAY(),F504&gt;TODAY()),"Verificar evento futuro","OK"))))))</f>
        <v/>
      </c>
    </row>
    <row r="505" spans="9:12">
      <c r="I505" s="5">
        <f>IF(OR(A505="",B505=""),"",B505-WEEKDAY(B505,2)+1)</f>
        <v/>
      </c>
      <c r="J505" s="5">
        <f>IF(I505="","",I505+6)</f>
        <v/>
      </c>
      <c r="K505" s="6">
        <f>IF(OR(A505="",B505=""),"",DATE(YEAR(B505),MONTH(B505),1))</f>
        <v/>
      </c>
      <c r="L505" s="7">
        <f>IF(COUNTA(A505,B505)=0,"",IF(OR(A505="",B505=""),"Preencher CPF e entrada",IF(COUNTIFS($A$12:$A$5011,A505,$B$12:$B$5011,B505)&gt;1,"CPF + dia duplicado",IF(OR(AND(E505&lt;&gt;"",E505&lt;B505),AND(F505&lt;&gt;"",F505&lt;B505)),"Evento anterior à entrada",IF(AND(F505&lt;&gt;"",E505=""),"Conversa sem agendamento",IF(OR(E505&gt;TODAY(),F505&gt;TODAY()),"Verificar evento futuro","OK"))))))</f>
        <v/>
      </c>
    </row>
    <row r="506" spans="9:12">
      <c r="I506" s="5">
        <f>IF(OR(A506="",B506=""),"",B506-WEEKDAY(B506,2)+1)</f>
        <v/>
      </c>
      <c r="J506" s="5">
        <f>IF(I506="","",I506+6)</f>
        <v/>
      </c>
      <c r="K506" s="6">
        <f>IF(OR(A506="",B506=""),"",DATE(YEAR(B506),MONTH(B506),1))</f>
        <v/>
      </c>
      <c r="L506" s="7">
        <f>IF(COUNTA(A506,B506)=0,"",IF(OR(A506="",B506=""),"Preencher CPF e entrada",IF(COUNTIFS($A$12:$A$5011,A506,$B$12:$B$5011,B506)&gt;1,"CPF + dia duplicado",IF(OR(AND(E506&lt;&gt;"",E506&lt;B506),AND(F506&lt;&gt;"",F506&lt;B506)),"Evento anterior à entrada",IF(AND(F506&lt;&gt;"",E506=""),"Conversa sem agendamento",IF(OR(E506&gt;TODAY(),F506&gt;TODAY()),"Verificar evento futuro","OK"))))))</f>
        <v/>
      </c>
    </row>
    <row r="507" spans="9:12">
      <c r="I507" s="5">
        <f>IF(OR(A507="",B507=""),"",B507-WEEKDAY(B507,2)+1)</f>
        <v/>
      </c>
      <c r="J507" s="5">
        <f>IF(I507="","",I507+6)</f>
        <v/>
      </c>
      <c r="K507" s="6">
        <f>IF(OR(A507="",B507=""),"",DATE(YEAR(B507),MONTH(B507),1))</f>
        <v/>
      </c>
      <c r="L507" s="7">
        <f>IF(COUNTA(A507,B507)=0,"",IF(OR(A507="",B507=""),"Preencher CPF e entrada",IF(COUNTIFS($A$12:$A$5011,A507,$B$12:$B$5011,B507)&gt;1,"CPF + dia duplicado",IF(OR(AND(E507&lt;&gt;"",E507&lt;B507),AND(F507&lt;&gt;"",F507&lt;B507)),"Evento anterior à entrada",IF(AND(F507&lt;&gt;"",E507=""),"Conversa sem agendamento",IF(OR(E507&gt;TODAY(),F507&gt;TODAY()),"Verificar evento futuro","OK"))))))</f>
        <v/>
      </c>
    </row>
    <row r="508" spans="9:12">
      <c r="I508" s="5">
        <f>IF(OR(A508="",B508=""),"",B508-WEEKDAY(B508,2)+1)</f>
        <v/>
      </c>
      <c r="J508" s="5">
        <f>IF(I508="","",I508+6)</f>
        <v/>
      </c>
      <c r="K508" s="6">
        <f>IF(OR(A508="",B508=""),"",DATE(YEAR(B508),MONTH(B508),1))</f>
        <v/>
      </c>
      <c r="L508" s="7">
        <f>IF(COUNTA(A508,B508)=0,"",IF(OR(A508="",B508=""),"Preencher CPF e entrada",IF(COUNTIFS($A$12:$A$5011,A508,$B$12:$B$5011,B508)&gt;1,"CPF + dia duplicado",IF(OR(AND(E508&lt;&gt;"",E508&lt;B508),AND(F508&lt;&gt;"",F508&lt;B508)),"Evento anterior à entrada",IF(AND(F508&lt;&gt;"",E508=""),"Conversa sem agendamento",IF(OR(E508&gt;TODAY(),F508&gt;TODAY()),"Verificar evento futuro","OK"))))))</f>
        <v/>
      </c>
    </row>
    <row r="509" spans="9:12">
      <c r="I509" s="5">
        <f>IF(OR(A509="",B509=""),"",B509-WEEKDAY(B509,2)+1)</f>
        <v/>
      </c>
      <c r="J509" s="5">
        <f>IF(I509="","",I509+6)</f>
        <v/>
      </c>
      <c r="K509" s="6">
        <f>IF(OR(A509="",B509=""),"",DATE(YEAR(B509),MONTH(B509),1))</f>
        <v/>
      </c>
      <c r="L509" s="7">
        <f>IF(COUNTA(A509,B509)=0,"",IF(OR(A509="",B509=""),"Preencher CPF e entrada",IF(COUNTIFS($A$12:$A$5011,A509,$B$12:$B$5011,B509)&gt;1,"CPF + dia duplicado",IF(OR(AND(E509&lt;&gt;"",E509&lt;B509),AND(F509&lt;&gt;"",F509&lt;B509)),"Evento anterior à entrada",IF(AND(F509&lt;&gt;"",E509=""),"Conversa sem agendamento",IF(OR(E509&gt;TODAY(),F509&gt;TODAY()),"Verificar evento futuro","OK"))))))</f>
        <v/>
      </c>
    </row>
    <row r="510" spans="9:12">
      <c r="I510" s="5">
        <f>IF(OR(A510="",B510=""),"",B510-WEEKDAY(B510,2)+1)</f>
        <v/>
      </c>
      <c r="J510" s="5">
        <f>IF(I510="","",I510+6)</f>
        <v/>
      </c>
      <c r="K510" s="6">
        <f>IF(OR(A510="",B510=""),"",DATE(YEAR(B510),MONTH(B510),1))</f>
        <v/>
      </c>
      <c r="L510" s="7">
        <f>IF(COUNTA(A510,B510)=0,"",IF(OR(A510="",B510=""),"Preencher CPF e entrada",IF(COUNTIFS($A$12:$A$5011,A510,$B$12:$B$5011,B510)&gt;1,"CPF + dia duplicado",IF(OR(AND(E510&lt;&gt;"",E510&lt;B510),AND(F510&lt;&gt;"",F510&lt;B510)),"Evento anterior à entrada",IF(AND(F510&lt;&gt;"",E510=""),"Conversa sem agendamento",IF(OR(E510&gt;TODAY(),F510&gt;TODAY()),"Verificar evento futuro","OK"))))))</f>
        <v/>
      </c>
    </row>
    <row r="511" spans="9:12">
      <c r="I511" s="5">
        <f>IF(OR(A511="",B511=""),"",B511-WEEKDAY(B511,2)+1)</f>
        <v/>
      </c>
      <c r="J511" s="5">
        <f>IF(I511="","",I511+6)</f>
        <v/>
      </c>
      <c r="K511" s="6">
        <f>IF(OR(A511="",B511=""),"",DATE(YEAR(B511),MONTH(B511),1))</f>
        <v/>
      </c>
      <c r="L511" s="7">
        <f>IF(COUNTA(A511,B511)=0,"",IF(OR(A511="",B511=""),"Preencher CPF e entrada",IF(COUNTIFS($A$12:$A$5011,A511,$B$12:$B$5011,B511)&gt;1,"CPF + dia duplicado",IF(OR(AND(E511&lt;&gt;"",E511&lt;B511),AND(F511&lt;&gt;"",F511&lt;B511)),"Evento anterior à entrada",IF(AND(F511&lt;&gt;"",E511=""),"Conversa sem agendamento",IF(OR(E511&gt;TODAY(),F511&gt;TODAY()),"Verificar evento futuro","OK"))))))</f>
        <v/>
      </c>
    </row>
    <row r="512" spans="9:12">
      <c r="I512" s="5">
        <f>IF(OR(A512="",B512=""),"",B512-WEEKDAY(B512,2)+1)</f>
        <v/>
      </c>
      <c r="J512" s="5">
        <f>IF(I512="","",I512+6)</f>
        <v/>
      </c>
      <c r="K512" s="6">
        <f>IF(OR(A512="",B512=""),"",DATE(YEAR(B512),MONTH(B512),1))</f>
        <v/>
      </c>
      <c r="L512" s="7">
        <f>IF(COUNTA(A512,B512)=0,"",IF(OR(A512="",B512=""),"Preencher CPF e entrada",IF(COUNTIFS($A$12:$A$5011,A512,$B$12:$B$5011,B512)&gt;1,"CPF + dia duplicado",IF(OR(AND(E512&lt;&gt;"",E512&lt;B512),AND(F512&lt;&gt;"",F512&lt;B512)),"Evento anterior à entrada",IF(AND(F512&lt;&gt;"",E512=""),"Conversa sem agendamento",IF(OR(E512&gt;TODAY(),F512&gt;TODAY()),"Verificar evento futuro","OK"))))))</f>
        <v/>
      </c>
    </row>
    <row r="513" spans="9:12">
      <c r="I513" s="5">
        <f>IF(OR(A513="",B513=""),"",B513-WEEKDAY(B513,2)+1)</f>
        <v/>
      </c>
      <c r="J513" s="5">
        <f>IF(I513="","",I513+6)</f>
        <v/>
      </c>
      <c r="K513" s="6">
        <f>IF(OR(A513="",B513=""),"",DATE(YEAR(B513),MONTH(B513),1))</f>
        <v/>
      </c>
      <c r="L513" s="7">
        <f>IF(COUNTA(A513,B513)=0,"",IF(OR(A513="",B513=""),"Preencher CPF e entrada",IF(COUNTIFS($A$12:$A$5011,A513,$B$12:$B$5011,B513)&gt;1,"CPF + dia duplicado",IF(OR(AND(E513&lt;&gt;"",E513&lt;B513),AND(F513&lt;&gt;"",F513&lt;B513)),"Evento anterior à entrada",IF(AND(F513&lt;&gt;"",E513=""),"Conversa sem agendamento",IF(OR(E513&gt;TODAY(),F513&gt;TODAY()),"Verificar evento futuro","OK"))))))</f>
        <v/>
      </c>
    </row>
    <row r="514" spans="9:12">
      <c r="I514" s="5">
        <f>IF(OR(A514="",B514=""),"",B514-WEEKDAY(B514,2)+1)</f>
        <v/>
      </c>
      <c r="J514" s="5">
        <f>IF(I514="","",I514+6)</f>
        <v/>
      </c>
      <c r="K514" s="6">
        <f>IF(OR(A514="",B514=""),"",DATE(YEAR(B514),MONTH(B514),1))</f>
        <v/>
      </c>
      <c r="L514" s="7">
        <f>IF(COUNTA(A514,B514)=0,"",IF(OR(A514="",B514=""),"Preencher CPF e entrada",IF(COUNTIFS($A$12:$A$5011,A514,$B$12:$B$5011,B514)&gt;1,"CPF + dia duplicado",IF(OR(AND(E514&lt;&gt;"",E514&lt;B514),AND(F514&lt;&gt;"",F514&lt;B514)),"Evento anterior à entrada",IF(AND(F514&lt;&gt;"",E514=""),"Conversa sem agendamento",IF(OR(E514&gt;TODAY(),F514&gt;TODAY()),"Verificar evento futuro","OK"))))))</f>
        <v/>
      </c>
    </row>
    <row r="515" spans="9:12">
      <c r="I515" s="5">
        <f>IF(OR(A515="",B515=""),"",B515-WEEKDAY(B515,2)+1)</f>
        <v/>
      </c>
      <c r="J515" s="5">
        <f>IF(I515="","",I515+6)</f>
        <v/>
      </c>
      <c r="K515" s="6">
        <f>IF(OR(A515="",B515=""),"",DATE(YEAR(B515),MONTH(B515),1))</f>
        <v/>
      </c>
      <c r="L515" s="7">
        <f>IF(COUNTA(A515,B515)=0,"",IF(OR(A515="",B515=""),"Preencher CPF e entrada",IF(COUNTIFS($A$12:$A$5011,A515,$B$12:$B$5011,B515)&gt;1,"CPF + dia duplicado",IF(OR(AND(E515&lt;&gt;"",E515&lt;B515),AND(F515&lt;&gt;"",F515&lt;B515)),"Evento anterior à entrada",IF(AND(F515&lt;&gt;"",E515=""),"Conversa sem agendamento",IF(OR(E515&gt;TODAY(),F515&gt;TODAY()),"Verificar evento futuro","OK"))))))</f>
        <v/>
      </c>
    </row>
    <row r="516" spans="9:12">
      <c r="I516" s="5">
        <f>IF(OR(A516="",B516=""),"",B516-WEEKDAY(B516,2)+1)</f>
        <v/>
      </c>
      <c r="J516" s="5">
        <f>IF(I516="","",I516+6)</f>
        <v/>
      </c>
      <c r="K516" s="6">
        <f>IF(OR(A516="",B516=""),"",DATE(YEAR(B516),MONTH(B516),1))</f>
        <v/>
      </c>
      <c r="L516" s="7">
        <f>IF(COUNTA(A516,B516)=0,"",IF(OR(A516="",B516=""),"Preencher CPF e entrada",IF(COUNTIFS($A$12:$A$5011,A516,$B$12:$B$5011,B516)&gt;1,"CPF + dia duplicado",IF(OR(AND(E516&lt;&gt;"",E516&lt;B516),AND(F516&lt;&gt;"",F516&lt;B516)),"Evento anterior à entrada",IF(AND(F516&lt;&gt;"",E516=""),"Conversa sem agendamento",IF(OR(E516&gt;TODAY(),F516&gt;TODAY()),"Verificar evento futuro","OK"))))))</f>
        <v/>
      </c>
    </row>
    <row r="517" spans="9:12">
      <c r="I517" s="5">
        <f>IF(OR(A517="",B517=""),"",B517-WEEKDAY(B517,2)+1)</f>
        <v/>
      </c>
      <c r="J517" s="5">
        <f>IF(I517="","",I517+6)</f>
        <v/>
      </c>
      <c r="K517" s="6">
        <f>IF(OR(A517="",B517=""),"",DATE(YEAR(B517),MONTH(B517),1))</f>
        <v/>
      </c>
      <c r="L517" s="7">
        <f>IF(COUNTA(A517,B517)=0,"",IF(OR(A517="",B517=""),"Preencher CPF e entrada",IF(COUNTIFS($A$12:$A$5011,A517,$B$12:$B$5011,B517)&gt;1,"CPF + dia duplicado",IF(OR(AND(E517&lt;&gt;"",E517&lt;B517),AND(F517&lt;&gt;"",F517&lt;B517)),"Evento anterior à entrada",IF(AND(F517&lt;&gt;"",E517=""),"Conversa sem agendamento",IF(OR(E517&gt;TODAY(),F517&gt;TODAY()),"Verificar evento futuro","OK"))))))</f>
        <v/>
      </c>
    </row>
    <row r="518" spans="9:12">
      <c r="I518" s="5">
        <f>IF(OR(A518="",B518=""),"",B518-WEEKDAY(B518,2)+1)</f>
        <v/>
      </c>
      <c r="J518" s="5">
        <f>IF(I518="","",I518+6)</f>
        <v/>
      </c>
      <c r="K518" s="6">
        <f>IF(OR(A518="",B518=""),"",DATE(YEAR(B518),MONTH(B518),1))</f>
        <v/>
      </c>
      <c r="L518" s="7">
        <f>IF(COUNTA(A518,B518)=0,"",IF(OR(A518="",B518=""),"Preencher CPF e entrada",IF(COUNTIFS($A$12:$A$5011,A518,$B$12:$B$5011,B518)&gt;1,"CPF + dia duplicado",IF(OR(AND(E518&lt;&gt;"",E518&lt;B518),AND(F518&lt;&gt;"",F518&lt;B518)),"Evento anterior à entrada",IF(AND(F518&lt;&gt;"",E518=""),"Conversa sem agendamento",IF(OR(E518&gt;TODAY(),F518&gt;TODAY()),"Verificar evento futuro","OK"))))))</f>
        <v/>
      </c>
    </row>
    <row r="519" spans="9:12">
      <c r="I519" s="5">
        <f>IF(OR(A519="",B519=""),"",B519-WEEKDAY(B519,2)+1)</f>
        <v/>
      </c>
      <c r="J519" s="5">
        <f>IF(I519="","",I519+6)</f>
        <v/>
      </c>
      <c r="K519" s="6">
        <f>IF(OR(A519="",B519=""),"",DATE(YEAR(B519),MONTH(B519),1))</f>
        <v/>
      </c>
      <c r="L519" s="7">
        <f>IF(COUNTA(A519,B519)=0,"",IF(OR(A519="",B519=""),"Preencher CPF e entrada",IF(COUNTIFS($A$12:$A$5011,A519,$B$12:$B$5011,B519)&gt;1,"CPF + dia duplicado",IF(OR(AND(E519&lt;&gt;"",E519&lt;B519),AND(F519&lt;&gt;"",F519&lt;B519)),"Evento anterior à entrada",IF(AND(F519&lt;&gt;"",E519=""),"Conversa sem agendamento",IF(OR(E519&gt;TODAY(),F519&gt;TODAY()),"Verificar evento futuro","OK"))))))</f>
        <v/>
      </c>
    </row>
    <row r="520" spans="9:12">
      <c r="I520" s="5">
        <f>IF(OR(A520="",B520=""),"",B520-WEEKDAY(B520,2)+1)</f>
        <v/>
      </c>
      <c r="J520" s="5">
        <f>IF(I520="","",I520+6)</f>
        <v/>
      </c>
      <c r="K520" s="6">
        <f>IF(OR(A520="",B520=""),"",DATE(YEAR(B520),MONTH(B520),1))</f>
        <v/>
      </c>
      <c r="L520" s="7">
        <f>IF(COUNTA(A520,B520)=0,"",IF(OR(A520="",B520=""),"Preencher CPF e entrada",IF(COUNTIFS($A$12:$A$5011,A520,$B$12:$B$5011,B520)&gt;1,"CPF + dia duplicado",IF(OR(AND(E520&lt;&gt;"",E520&lt;B520),AND(F520&lt;&gt;"",F520&lt;B520)),"Evento anterior à entrada",IF(AND(F520&lt;&gt;"",E520=""),"Conversa sem agendamento",IF(OR(E520&gt;TODAY(),F520&gt;TODAY()),"Verificar evento futuro","OK"))))))</f>
        <v/>
      </c>
    </row>
    <row r="521" spans="9:12">
      <c r="I521" s="5">
        <f>IF(OR(A521="",B521=""),"",B521-WEEKDAY(B521,2)+1)</f>
        <v/>
      </c>
      <c r="J521" s="5">
        <f>IF(I521="","",I521+6)</f>
        <v/>
      </c>
      <c r="K521" s="6">
        <f>IF(OR(A521="",B521=""),"",DATE(YEAR(B521),MONTH(B521),1))</f>
        <v/>
      </c>
      <c r="L521" s="7">
        <f>IF(COUNTA(A521,B521)=0,"",IF(OR(A521="",B521=""),"Preencher CPF e entrada",IF(COUNTIFS($A$12:$A$5011,A521,$B$12:$B$5011,B521)&gt;1,"CPF + dia duplicado",IF(OR(AND(E521&lt;&gt;"",E521&lt;B521),AND(F521&lt;&gt;"",F521&lt;B521)),"Evento anterior à entrada",IF(AND(F521&lt;&gt;"",E521=""),"Conversa sem agendamento",IF(OR(E521&gt;TODAY(),F521&gt;TODAY()),"Verificar evento futuro","OK"))))))</f>
        <v/>
      </c>
    </row>
    <row r="522" spans="9:12">
      <c r="I522" s="5">
        <f>IF(OR(A522="",B522=""),"",B522-WEEKDAY(B522,2)+1)</f>
        <v/>
      </c>
      <c r="J522" s="5">
        <f>IF(I522="","",I522+6)</f>
        <v/>
      </c>
      <c r="K522" s="6">
        <f>IF(OR(A522="",B522=""),"",DATE(YEAR(B522),MONTH(B522),1))</f>
        <v/>
      </c>
      <c r="L522" s="7">
        <f>IF(COUNTA(A522,B522)=0,"",IF(OR(A522="",B522=""),"Preencher CPF e entrada",IF(COUNTIFS($A$12:$A$5011,A522,$B$12:$B$5011,B522)&gt;1,"CPF + dia duplicado",IF(OR(AND(E522&lt;&gt;"",E522&lt;B522),AND(F522&lt;&gt;"",F522&lt;B522)),"Evento anterior à entrada",IF(AND(F522&lt;&gt;"",E522=""),"Conversa sem agendamento",IF(OR(E522&gt;TODAY(),F522&gt;TODAY()),"Verificar evento futuro","OK"))))))</f>
        <v/>
      </c>
    </row>
    <row r="523" spans="9:12">
      <c r="I523" s="5">
        <f>IF(OR(A523="",B523=""),"",B523-WEEKDAY(B523,2)+1)</f>
        <v/>
      </c>
      <c r="J523" s="5">
        <f>IF(I523="","",I523+6)</f>
        <v/>
      </c>
      <c r="K523" s="6">
        <f>IF(OR(A523="",B523=""),"",DATE(YEAR(B523),MONTH(B523),1))</f>
        <v/>
      </c>
      <c r="L523" s="7">
        <f>IF(COUNTA(A523,B523)=0,"",IF(OR(A523="",B523=""),"Preencher CPF e entrada",IF(COUNTIFS($A$12:$A$5011,A523,$B$12:$B$5011,B523)&gt;1,"CPF + dia duplicado",IF(OR(AND(E523&lt;&gt;"",E523&lt;B523),AND(F523&lt;&gt;"",F523&lt;B523)),"Evento anterior à entrada",IF(AND(F523&lt;&gt;"",E523=""),"Conversa sem agendamento",IF(OR(E523&gt;TODAY(),F523&gt;TODAY()),"Verificar evento futuro","OK"))))))</f>
        <v/>
      </c>
    </row>
    <row r="524" spans="9:12">
      <c r="I524" s="5">
        <f>IF(OR(A524="",B524=""),"",B524-WEEKDAY(B524,2)+1)</f>
        <v/>
      </c>
      <c r="J524" s="5">
        <f>IF(I524="","",I524+6)</f>
        <v/>
      </c>
      <c r="K524" s="6">
        <f>IF(OR(A524="",B524=""),"",DATE(YEAR(B524),MONTH(B524),1))</f>
        <v/>
      </c>
      <c r="L524" s="7">
        <f>IF(COUNTA(A524,B524)=0,"",IF(OR(A524="",B524=""),"Preencher CPF e entrada",IF(COUNTIFS($A$12:$A$5011,A524,$B$12:$B$5011,B524)&gt;1,"CPF + dia duplicado",IF(OR(AND(E524&lt;&gt;"",E524&lt;B524),AND(F524&lt;&gt;"",F524&lt;B524)),"Evento anterior à entrada",IF(AND(F524&lt;&gt;"",E524=""),"Conversa sem agendamento",IF(OR(E524&gt;TODAY(),F524&gt;TODAY()),"Verificar evento futuro","OK"))))))</f>
        <v/>
      </c>
    </row>
    <row r="525" spans="9:12">
      <c r="I525" s="5">
        <f>IF(OR(A525="",B525=""),"",B525-WEEKDAY(B525,2)+1)</f>
        <v/>
      </c>
      <c r="J525" s="5">
        <f>IF(I525="","",I525+6)</f>
        <v/>
      </c>
      <c r="K525" s="6">
        <f>IF(OR(A525="",B525=""),"",DATE(YEAR(B525),MONTH(B525),1))</f>
        <v/>
      </c>
      <c r="L525" s="7">
        <f>IF(COUNTA(A525,B525)=0,"",IF(OR(A525="",B525=""),"Preencher CPF e entrada",IF(COUNTIFS($A$12:$A$5011,A525,$B$12:$B$5011,B525)&gt;1,"CPF + dia duplicado",IF(OR(AND(E525&lt;&gt;"",E525&lt;B525),AND(F525&lt;&gt;"",F525&lt;B525)),"Evento anterior à entrada",IF(AND(F525&lt;&gt;"",E525=""),"Conversa sem agendamento",IF(OR(E525&gt;TODAY(),F525&gt;TODAY()),"Verificar evento futuro","OK"))))))</f>
        <v/>
      </c>
    </row>
    <row r="526" spans="9:12">
      <c r="I526" s="5">
        <f>IF(OR(A526="",B526=""),"",B526-WEEKDAY(B526,2)+1)</f>
        <v/>
      </c>
      <c r="J526" s="5">
        <f>IF(I526="","",I526+6)</f>
        <v/>
      </c>
      <c r="K526" s="6">
        <f>IF(OR(A526="",B526=""),"",DATE(YEAR(B526),MONTH(B526),1))</f>
        <v/>
      </c>
      <c r="L526" s="7">
        <f>IF(COUNTA(A526,B526)=0,"",IF(OR(A526="",B526=""),"Preencher CPF e entrada",IF(COUNTIFS($A$12:$A$5011,A526,$B$12:$B$5011,B526)&gt;1,"CPF + dia duplicado",IF(OR(AND(E526&lt;&gt;"",E526&lt;B526),AND(F526&lt;&gt;"",F526&lt;B526)),"Evento anterior à entrada",IF(AND(F526&lt;&gt;"",E526=""),"Conversa sem agendamento",IF(OR(E526&gt;TODAY(),F526&gt;TODAY()),"Verificar evento futuro","OK"))))))</f>
        <v/>
      </c>
    </row>
    <row r="527" spans="9:12">
      <c r="I527" s="5">
        <f>IF(OR(A527="",B527=""),"",B527-WEEKDAY(B527,2)+1)</f>
        <v/>
      </c>
      <c r="J527" s="5">
        <f>IF(I527="","",I527+6)</f>
        <v/>
      </c>
      <c r="K527" s="6">
        <f>IF(OR(A527="",B527=""),"",DATE(YEAR(B527),MONTH(B527),1))</f>
        <v/>
      </c>
      <c r="L527" s="7">
        <f>IF(COUNTA(A527,B527)=0,"",IF(OR(A527="",B527=""),"Preencher CPF e entrada",IF(COUNTIFS($A$12:$A$5011,A527,$B$12:$B$5011,B527)&gt;1,"CPF + dia duplicado",IF(OR(AND(E527&lt;&gt;"",E527&lt;B527),AND(F527&lt;&gt;"",F527&lt;B527)),"Evento anterior à entrada",IF(AND(F527&lt;&gt;"",E527=""),"Conversa sem agendamento",IF(OR(E527&gt;TODAY(),F527&gt;TODAY()),"Verificar evento futuro","OK"))))))</f>
        <v/>
      </c>
    </row>
    <row r="528" spans="9:12">
      <c r="I528" s="5">
        <f>IF(OR(A528="",B528=""),"",B528-WEEKDAY(B528,2)+1)</f>
        <v/>
      </c>
      <c r="J528" s="5">
        <f>IF(I528="","",I528+6)</f>
        <v/>
      </c>
      <c r="K528" s="6">
        <f>IF(OR(A528="",B528=""),"",DATE(YEAR(B528),MONTH(B528),1))</f>
        <v/>
      </c>
      <c r="L528" s="7">
        <f>IF(COUNTA(A528,B528)=0,"",IF(OR(A528="",B528=""),"Preencher CPF e entrada",IF(COUNTIFS($A$12:$A$5011,A528,$B$12:$B$5011,B528)&gt;1,"CPF + dia duplicado",IF(OR(AND(E528&lt;&gt;"",E528&lt;B528),AND(F528&lt;&gt;"",F528&lt;B528)),"Evento anterior à entrada",IF(AND(F528&lt;&gt;"",E528=""),"Conversa sem agendamento",IF(OR(E528&gt;TODAY(),F528&gt;TODAY()),"Verificar evento futuro","OK"))))))</f>
        <v/>
      </c>
    </row>
    <row r="529" spans="9:12">
      <c r="I529" s="5">
        <f>IF(OR(A529="",B529=""),"",B529-WEEKDAY(B529,2)+1)</f>
        <v/>
      </c>
      <c r="J529" s="5">
        <f>IF(I529="","",I529+6)</f>
        <v/>
      </c>
      <c r="K529" s="6">
        <f>IF(OR(A529="",B529=""),"",DATE(YEAR(B529),MONTH(B529),1))</f>
        <v/>
      </c>
      <c r="L529" s="7">
        <f>IF(COUNTA(A529,B529)=0,"",IF(OR(A529="",B529=""),"Preencher CPF e entrada",IF(COUNTIFS($A$12:$A$5011,A529,$B$12:$B$5011,B529)&gt;1,"CPF + dia duplicado",IF(OR(AND(E529&lt;&gt;"",E529&lt;B529),AND(F529&lt;&gt;"",F529&lt;B529)),"Evento anterior à entrada",IF(AND(F529&lt;&gt;"",E529=""),"Conversa sem agendamento",IF(OR(E529&gt;TODAY(),F529&gt;TODAY()),"Verificar evento futuro","OK"))))))</f>
        <v/>
      </c>
    </row>
    <row r="530" spans="9:12">
      <c r="I530" s="5">
        <f>IF(OR(A530="",B530=""),"",B530-WEEKDAY(B530,2)+1)</f>
        <v/>
      </c>
      <c r="J530" s="5">
        <f>IF(I530="","",I530+6)</f>
        <v/>
      </c>
      <c r="K530" s="6">
        <f>IF(OR(A530="",B530=""),"",DATE(YEAR(B530),MONTH(B530),1))</f>
        <v/>
      </c>
      <c r="L530" s="7">
        <f>IF(COUNTA(A530,B530)=0,"",IF(OR(A530="",B530=""),"Preencher CPF e entrada",IF(COUNTIFS($A$12:$A$5011,A530,$B$12:$B$5011,B530)&gt;1,"CPF + dia duplicado",IF(OR(AND(E530&lt;&gt;"",E530&lt;B530),AND(F530&lt;&gt;"",F530&lt;B530)),"Evento anterior à entrada",IF(AND(F530&lt;&gt;"",E530=""),"Conversa sem agendamento",IF(OR(E530&gt;TODAY(),F530&gt;TODAY()),"Verificar evento futuro","OK"))))))</f>
        <v/>
      </c>
    </row>
    <row r="531" spans="9:12">
      <c r="I531" s="5">
        <f>IF(OR(A531="",B531=""),"",B531-WEEKDAY(B531,2)+1)</f>
        <v/>
      </c>
      <c r="J531" s="5">
        <f>IF(I531="","",I531+6)</f>
        <v/>
      </c>
      <c r="K531" s="6">
        <f>IF(OR(A531="",B531=""),"",DATE(YEAR(B531),MONTH(B531),1))</f>
        <v/>
      </c>
      <c r="L531" s="7">
        <f>IF(COUNTA(A531,B531)=0,"",IF(OR(A531="",B531=""),"Preencher CPF e entrada",IF(COUNTIFS($A$12:$A$5011,A531,$B$12:$B$5011,B531)&gt;1,"CPF + dia duplicado",IF(OR(AND(E531&lt;&gt;"",E531&lt;B531),AND(F531&lt;&gt;"",F531&lt;B531)),"Evento anterior à entrada",IF(AND(F531&lt;&gt;"",E531=""),"Conversa sem agendamento",IF(OR(E531&gt;TODAY(),F531&gt;TODAY()),"Verificar evento futuro","OK"))))))</f>
        <v/>
      </c>
    </row>
    <row r="532" spans="9:12">
      <c r="I532" s="5">
        <f>IF(OR(A532="",B532=""),"",B532-WEEKDAY(B532,2)+1)</f>
        <v/>
      </c>
      <c r="J532" s="5">
        <f>IF(I532="","",I532+6)</f>
        <v/>
      </c>
      <c r="K532" s="6">
        <f>IF(OR(A532="",B532=""),"",DATE(YEAR(B532),MONTH(B532),1))</f>
        <v/>
      </c>
      <c r="L532" s="7">
        <f>IF(COUNTA(A532,B532)=0,"",IF(OR(A532="",B532=""),"Preencher CPF e entrada",IF(COUNTIFS($A$12:$A$5011,A532,$B$12:$B$5011,B532)&gt;1,"CPF + dia duplicado",IF(OR(AND(E532&lt;&gt;"",E532&lt;B532),AND(F532&lt;&gt;"",F532&lt;B532)),"Evento anterior à entrada",IF(AND(F532&lt;&gt;"",E532=""),"Conversa sem agendamento",IF(OR(E532&gt;TODAY(),F532&gt;TODAY()),"Verificar evento futuro","OK"))))))</f>
        <v/>
      </c>
    </row>
    <row r="533" spans="9:12">
      <c r="I533" s="5">
        <f>IF(OR(A533="",B533=""),"",B533-WEEKDAY(B533,2)+1)</f>
        <v/>
      </c>
      <c r="J533" s="5">
        <f>IF(I533="","",I533+6)</f>
        <v/>
      </c>
      <c r="K533" s="6">
        <f>IF(OR(A533="",B533=""),"",DATE(YEAR(B533),MONTH(B533),1))</f>
        <v/>
      </c>
      <c r="L533" s="7">
        <f>IF(COUNTA(A533,B533)=0,"",IF(OR(A533="",B533=""),"Preencher CPF e entrada",IF(COUNTIFS($A$12:$A$5011,A533,$B$12:$B$5011,B533)&gt;1,"CPF + dia duplicado",IF(OR(AND(E533&lt;&gt;"",E533&lt;B533),AND(F533&lt;&gt;"",F533&lt;B533)),"Evento anterior à entrada",IF(AND(F533&lt;&gt;"",E533=""),"Conversa sem agendamento",IF(OR(E533&gt;TODAY(),F533&gt;TODAY()),"Verificar evento futuro","OK"))))))</f>
        <v/>
      </c>
    </row>
    <row r="534" spans="9:12">
      <c r="I534" s="5">
        <f>IF(OR(A534="",B534=""),"",B534-WEEKDAY(B534,2)+1)</f>
        <v/>
      </c>
      <c r="J534" s="5">
        <f>IF(I534="","",I534+6)</f>
        <v/>
      </c>
      <c r="K534" s="6">
        <f>IF(OR(A534="",B534=""),"",DATE(YEAR(B534),MONTH(B534),1))</f>
        <v/>
      </c>
      <c r="L534" s="7">
        <f>IF(COUNTA(A534,B534)=0,"",IF(OR(A534="",B534=""),"Preencher CPF e entrada",IF(COUNTIFS($A$12:$A$5011,A534,$B$12:$B$5011,B534)&gt;1,"CPF + dia duplicado",IF(OR(AND(E534&lt;&gt;"",E534&lt;B534),AND(F534&lt;&gt;"",F534&lt;B534)),"Evento anterior à entrada",IF(AND(F534&lt;&gt;"",E534=""),"Conversa sem agendamento",IF(OR(E534&gt;TODAY(),F534&gt;TODAY()),"Verificar evento futuro","OK"))))))</f>
        <v/>
      </c>
    </row>
    <row r="535" spans="9:12">
      <c r="I535" s="5">
        <f>IF(OR(A535="",B535=""),"",B535-WEEKDAY(B535,2)+1)</f>
        <v/>
      </c>
      <c r="J535" s="5">
        <f>IF(I535="","",I535+6)</f>
        <v/>
      </c>
      <c r="K535" s="6">
        <f>IF(OR(A535="",B535=""),"",DATE(YEAR(B535),MONTH(B535),1))</f>
        <v/>
      </c>
      <c r="L535" s="7">
        <f>IF(COUNTA(A535,B535)=0,"",IF(OR(A535="",B535=""),"Preencher CPF e entrada",IF(COUNTIFS($A$12:$A$5011,A535,$B$12:$B$5011,B535)&gt;1,"CPF + dia duplicado",IF(OR(AND(E535&lt;&gt;"",E535&lt;B535),AND(F535&lt;&gt;"",F535&lt;B535)),"Evento anterior à entrada",IF(AND(F535&lt;&gt;"",E535=""),"Conversa sem agendamento",IF(OR(E535&gt;TODAY(),F535&gt;TODAY()),"Verificar evento futuro","OK"))))))</f>
        <v/>
      </c>
    </row>
    <row r="536" spans="9:12">
      <c r="I536" s="5">
        <f>IF(OR(A536="",B536=""),"",B536-WEEKDAY(B536,2)+1)</f>
        <v/>
      </c>
      <c r="J536" s="5">
        <f>IF(I536="","",I536+6)</f>
        <v/>
      </c>
      <c r="K536" s="6">
        <f>IF(OR(A536="",B536=""),"",DATE(YEAR(B536),MONTH(B536),1))</f>
        <v/>
      </c>
      <c r="L536" s="7">
        <f>IF(COUNTA(A536,B536)=0,"",IF(OR(A536="",B536=""),"Preencher CPF e entrada",IF(COUNTIFS($A$12:$A$5011,A536,$B$12:$B$5011,B536)&gt;1,"CPF + dia duplicado",IF(OR(AND(E536&lt;&gt;"",E536&lt;B536),AND(F536&lt;&gt;"",F536&lt;B536)),"Evento anterior à entrada",IF(AND(F536&lt;&gt;"",E536=""),"Conversa sem agendamento",IF(OR(E536&gt;TODAY(),F536&gt;TODAY()),"Verificar evento futuro","OK"))))))</f>
        <v/>
      </c>
    </row>
    <row r="537" spans="9:12">
      <c r="I537" s="5">
        <f>IF(OR(A537="",B537=""),"",B537-WEEKDAY(B537,2)+1)</f>
        <v/>
      </c>
      <c r="J537" s="5">
        <f>IF(I537="","",I537+6)</f>
        <v/>
      </c>
      <c r="K537" s="6">
        <f>IF(OR(A537="",B537=""),"",DATE(YEAR(B537),MONTH(B537),1))</f>
        <v/>
      </c>
      <c r="L537" s="7">
        <f>IF(COUNTA(A537,B537)=0,"",IF(OR(A537="",B537=""),"Preencher CPF e entrada",IF(COUNTIFS($A$12:$A$5011,A537,$B$12:$B$5011,B537)&gt;1,"CPF + dia duplicado",IF(OR(AND(E537&lt;&gt;"",E537&lt;B537),AND(F537&lt;&gt;"",F537&lt;B537)),"Evento anterior à entrada",IF(AND(F537&lt;&gt;"",E537=""),"Conversa sem agendamento",IF(OR(E537&gt;TODAY(),F537&gt;TODAY()),"Verificar evento futuro","OK"))))))</f>
        <v/>
      </c>
    </row>
    <row r="538" spans="9:12">
      <c r="I538" s="5">
        <f>IF(OR(A538="",B538=""),"",B538-WEEKDAY(B538,2)+1)</f>
        <v/>
      </c>
      <c r="J538" s="5">
        <f>IF(I538="","",I538+6)</f>
        <v/>
      </c>
      <c r="K538" s="6">
        <f>IF(OR(A538="",B538=""),"",DATE(YEAR(B538),MONTH(B538),1))</f>
        <v/>
      </c>
      <c r="L538" s="7">
        <f>IF(COUNTA(A538,B538)=0,"",IF(OR(A538="",B538=""),"Preencher CPF e entrada",IF(COUNTIFS($A$12:$A$5011,A538,$B$12:$B$5011,B538)&gt;1,"CPF + dia duplicado",IF(OR(AND(E538&lt;&gt;"",E538&lt;B538),AND(F538&lt;&gt;"",F538&lt;B538)),"Evento anterior à entrada",IF(AND(F538&lt;&gt;"",E538=""),"Conversa sem agendamento",IF(OR(E538&gt;TODAY(),F538&gt;TODAY()),"Verificar evento futuro","OK"))))))</f>
        <v/>
      </c>
    </row>
    <row r="539" spans="9:12">
      <c r="I539" s="5">
        <f>IF(OR(A539="",B539=""),"",B539-WEEKDAY(B539,2)+1)</f>
        <v/>
      </c>
      <c r="J539" s="5">
        <f>IF(I539="","",I539+6)</f>
        <v/>
      </c>
      <c r="K539" s="6">
        <f>IF(OR(A539="",B539=""),"",DATE(YEAR(B539),MONTH(B539),1))</f>
        <v/>
      </c>
      <c r="L539" s="7">
        <f>IF(COUNTA(A539,B539)=0,"",IF(OR(A539="",B539=""),"Preencher CPF e entrada",IF(COUNTIFS($A$12:$A$5011,A539,$B$12:$B$5011,B539)&gt;1,"CPF + dia duplicado",IF(OR(AND(E539&lt;&gt;"",E539&lt;B539),AND(F539&lt;&gt;"",F539&lt;B539)),"Evento anterior à entrada",IF(AND(F539&lt;&gt;"",E539=""),"Conversa sem agendamento",IF(OR(E539&gt;TODAY(),F539&gt;TODAY()),"Verificar evento futuro","OK"))))))</f>
        <v/>
      </c>
    </row>
    <row r="540" spans="9:12">
      <c r="I540" s="5">
        <f>IF(OR(A540="",B540=""),"",B540-WEEKDAY(B540,2)+1)</f>
        <v/>
      </c>
      <c r="J540" s="5">
        <f>IF(I540="","",I540+6)</f>
        <v/>
      </c>
      <c r="K540" s="6">
        <f>IF(OR(A540="",B540=""),"",DATE(YEAR(B540),MONTH(B540),1))</f>
        <v/>
      </c>
      <c r="L540" s="7">
        <f>IF(COUNTA(A540,B540)=0,"",IF(OR(A540="",B540=""),"Preencher CPF e entrada",IF(COUNTIFS($A$12:$A$5011,A540,$B$12:$B$5011,B540)&gt;1,"CPF + dia duplicado",IF(OR(AND(E540&lt;&gt;"",E540&lt;B540),AND(F540&lt;&gt;"",F540&lt;B540)),"Evento anterior à entrada",IF(AND(F540&lt;&gt;"",E540=""),"Conversa sem agendamento",IF(OR(E540&gt;TODAY(),F540&gt;TODAY()),"Verificar evento futuro","OK"))))))</f>
        <v/>
      </c>
    </row>
    <row r="541" spans="9:12">
      <c r="I541" s="5">
        <f>IF(OR(A541="",B541=""),"",B541-WEEKDAY(B541,2)+1)</f>
        <v/>
      </c>
      <c r="J541" s="5">
        <f>IF(I541="","",I541+6)</f>
        <v/>
      </c>
      <c r="K541" s="6">
        <f>IF(OR(A541="",B541=""),"",DATE(YEAR(B541),MONTH(B541),1))</f>
        <v/>
      </c>
      <c r="L541" s="7">
        <f>IF(COUNTA(A541,B541)=0,"",IF(OR(A541="",B541=""),"Preencher CPF e entrada",IF(COUNTIFS($A$12:$A$5011,A541,$B$12:$B$5011,B541)&gt;1,"CPF + dia duplicado",IF(OR(AND(E541&lt;&gt;"",E541&lt;B541),AND(F541&lt;&gt;"",F541&lt;B541)),"Evento anterior à entrada",IF(AND(F541&lt;&gt;"",E541=""),"Conversa sem agendamento",IF(OR(E541&gt;TODAY(),F541&gt;TODAY()),"Verificar evento futuro","OK"))))))</f>
        <v/>
      </c>
    </row>
    <row r="542" spans="9:12">
      <c r="I542" s="5">
        <f>IF(OR(A542="",B542=""),"",B542-WEEKDAY(B542,2)+1)</f>
        <v/>
      </c>
      <c r="J542" s="5">
        <f>IF(I542="","",I542+6)</f>
        <v/>
      </c>
      <c r="K542" s="6">
        <f>IF(OR(A542="",B542=""),"",DATE(YEAR(B542),MONTH(B542),1))</f>
        <v/>
      </c>
      <c r="L542" s="7">
        <f>IF(COUNTA(A542,B542)=0,"",IF(OR(A542="",B542=""),"Preencher CPF e entrada",IF(COUNTIFS($A$12:$A$5011,A542,$B$12:$B$5011,B542)&gt;1,"CPF + dia duplicado",IF(OR(AND(E542&lt;&gt;"",E542&lt;B542),AND(F542&lt;&gt;"",F542&lt;B542)),"Evento anterior à entrada",IF(AND(F542&lt;&gt;"",E542=""),"Conversa sem agendamento",IF(OR(E542&gt;TODAY(),F542&gt;TODAY()),"Verificar evento futuro","OK"))))))</f>
        <v/>
      </c>
    </row>
    <row r="543" spans="9:12">
      <c r="I543" s="5">
        <f>IF(OR(A543="",B543=""),"",B543-WEEKDAY(B543,2)+1)</f>
        <v/>
      </c>
      <c r="J543" s="5">
        <f>IF(I543="","",I543+6)</f>
        <v/>
      </c>
      <c r="K543" s="6">
        <f>IF(OR(A543="",B543=""),"",DATE(YEAR(B543),MONTH(B543),1))</f>
        <v/>
      </c>
      <c r="L543" s="7">
        <f>IF(COUNTA(A543,B543)=0,"",IF(OR(A543="",B543=""),"Preencher CPF e entrada",IF(COUNTIFS($A$12:$A$5011,A543,$B$12:$B$5011,B543)&gt;1,"CPF + dia duplicado",IF(OR(AND(E543&lt;&gt;"",E543&lt;B543),AND(F543&lt;&gt;"",F543&lt;B543)),"Evento anterior à entrada",IF(AND(F543&lt;&gt;"",E543=""),"Conversa sem agendamento",IF(OR(E543&gt;TODAY(),F543&gt;TODAY()),"Verificar evento futuro","OK"))))))</f>
        <v/>
      </c>
    </row>
    <row r="544" spans="9:12">
      <c r="I544" s="5">
        <f>IF(OR(A544="",B544=""),"",B544-WEEKDAY(B544,2)+1)</f>
        <v/>
      </c>
      <c r="J544" s="5">
        <f>IF(I544="","",I544+6)</f>
        <v/>
      </c>
      <c r="K544" s="6">
        <f>IF(OR(A544="",B544=""),"",DATE(YEAR(B544),MONTH(B544),1))</f>
        <v/>
      </c>
      <c r="L544" s="7">
        <f>IF(COUNTA(A544,B544)=0,"",IF(OR(A544="",B544=""),"Preencher CPF e entrada",IF(COUNTIFS($A$12:$A$5011,A544,$B$12:$B$5011,B544)&gt;1,"CPF + dia duplicado",IF(OR(AND(E544&lt;&gt;"",E544&lt;B544),AND(F544&lt;&gt;"",F544&lt;B544)),"Evento anterior à entrada",IF(AND(F544&lt;&gt;"",E544=""),"Conversa sem agendamento",IF(OR(E544&gt;TODAY(),F544&gt;TODAY()),"Verificar evento futuro","OK"))))))</f>
        <v/>
      </c>
    </row>
    <row r="545" spans="9:12">
      <c r="I545" s="5">
        <f>IF(OR(A545="",B545=""),"",B545-WEEKDAY(B545,2)+1)</f>
        <v/>
      </c>
      <c r="J545" s="5">
        <f>IF(I545="","",I545+6)</f>
        <v/>
      </c>
      <c r="K545" s="6">
        <f>IF(OR(A545="",B545=""),"",DATE(YEAR(B545),MONTH(B545),1))</f>
        <v/>
      </c>
      <c r="L545" s="7">
        <f>IF(COUNTA(A545,B545)=0,"",IF(OR(A545="",B545=""),"Preencher CPF e entrada",IF(COUNTIFS($A$12:$A$5011,A545,$B$12:$B$5011,B545)&gt;1,"CPF + dia duplicado",IF(OR(AND(E545&lt;&gt;"",E545&lt;B545),AND(F545&lt;&gt;"",F545&lt;B545)),"Evento anterior à entrada",IF(AND(F545&lt;&gt;"",E545=""),"Conversa sem agendamento",IF(OR(E545&gt;TODAY(),F545&gt;TODAY()),"Verificar evento futuro","OK"))))))</f>
        <v/>
      </c>
    </row>
    <row r="546" spans="9:12">
      <c r="I546" s="5">
        <f>IF(OR(A546="",B546=""),"",B546-WEEKDAY(B546,2)+1)</f>
        <v/>
      </c>
      <c r="J546" s="5">
        <f>IF(I546="","",I546+6)</f>
        <v/>
      </c>
      <c r="K546" s="6">
        <f>IF(OR(A546="",B546=""),"",DATE(YEAR(B546),MONTH(B546),1))</f>
        <v/>
      </c>
      <c r="L546" s="7">
        <f>IF(COUNTA(A546,B546)=0,"",IF(OR(A546="",B546=""),"Preencher CPF e entrada",IF(COUNTIFS($A$12:$A$5011,A546,$B$12:$B$5011,B546)&gt;1,"CPF + dia duplicado",IF(OR(AND(E546&lt;&gt;"",E546&lt;B546),AND(F546&lt;&gt;"",F546&lt;B546)),"Evento anterior à entrada",IF(AND(F546&lt;&gt;"",E546=""),"Conversa sem agendamento",IF(OR(E546&gt;TODAY(),F546&gt;TODAY()),"Verificar evento futuro","OK"))))))</f>
        <v/>
      </c>
    </row>
    <row r="547" spans="9:12">
      <c r="I547" s="5">
        <f>IF(OR(A547="",B547=""),"",B547-WEEKDAY(B547,2)+1)</f>
        <v/>
      </c>
      <c r="J547" s="5">
        <f>IF(I547="","",I547+6)</f>
        <v/>
      </c>
      <c r="K547" s="6">
        <f>IF(OR(A547="",B547=""),"",DATE(YEAR(B547),MONTH(B547),1))</f>
        <v/>
      </c>
      <c r="L547" s="7">
        <f>IF(COUNTA(A547,B547)=0,"",IF(OR(A547="",B547=""),"Preencher CPF e entrada",IF(COUNTIFS($A$12:$A$5011,A547,$B$12:$B$5011,B547)&gt;1,"CPF + dia duplicado",IF(OR(AND(E547&lt;&gt;"",E547&lt;B547),AND(F547&lt;&gt;"",F547&lt;B547)),"Evento anterior à entrada",IF(AND(F547&lt;&gt;"",E547=""),"Conversa sem agendamento",IF(OR(E547&gt;TODAY(),F547&gt;TODAY()),"Verificar evento futuro","OK"))))))</f>
        <v/>
      </c>
    </row>
    <row r="548" spans="9:12">
      <c r="I548" s="5">
        <f>IF(OR(A548="",B548=""),"",B548-WEEKDAY(B548,2)+1)</f>
        <v/>
      </c>
      <c r="J548" s="5">
        <f>IF(I548="","",I548+6)</f>
        <v/>
      </c>
      <c r="K548" s="6">
        <f>IF(OR(A548="",B548=""),"",DATE(YEAR(B548),MONTH(B548),1))</f>
        <v/>
      </c>
      <c r="L548" s="7">
        <f>IF(COUNTA(A548,B548)=0,"",IF(OR(A548="",B548=""),"Preencher CPF e entrada",IF(COUNTIFS($A$12:$A$5011,A548,$B$12:$B$5011,B548)&gt;1,"CPF + dia duplicado",IF(OR(AND(E548&lt;&gt;"",E548&lt;B548),AND(F548&lt;&gt;"",F548&lt;B548)),"Evento anterior à entrada",IF(AND(F548&lt;&gt;"",E548=""),"Conversa sem agendamento",IF(OR(E548&gt;TODAY(),F548&gt;TODAY()),"Verificar evento futuro","OK"))))))</f>
        <v/>
      </c>
    </row>
    <row r="549" spans="9:12">
      <c r="I549" s="5">
        <f>IF(OR(A549="",B549=""),"",B549-WEEKDAY(B549,2)+1)</f>
        <v/>
      </c>
      <c r="J549" s="5">
        <f>IF(I549="","",I549+6)</f>
        <v/>
      </c>
      <c r="K549" s="6">
        <f>IF(OR(A549="",B549=""),"",DATE(YEAR(B549),MONTH(B549),1))</f>
        <v/>
      </c>
      <c r="L549" s="7">
        <f>IF(COUNTA(A549,B549)=0,"",IF(OR(A549="",B549=""),"Preencher CPF e entrada",IF(COUNTIFS($A$12:$A$5011,A549,$B$12:$B$5011,B549)&gt;1,"CPF + dia duplicado",IF(OR(AND(E549&lt;&gt;"",E549&lt;B549),AND(F549&lt;&gt;"",F549&lt;B549)),"Evento anterior à entrada",IF(AND(F549&lt;&gt;"",E549=""),"Conversa sem agendamento",IF(OR(E549&gt;TODAY(),F549&gt;TODAY()),"Verificar evento futuro","OK"))))))</f>
        <v/>
      </c>
    </row>
    <row r="550" spans="9:12">
      <c r="I550" s="5">
        <f>IF(OR(A550="",B550=""),"",B550-WEEKDAY(B550,2)+1)</f>
        <v/>
      </c>
      <c r="J550" s="5">
        <f>IF(I550="","",I550+6)</f>
        <v/>
      </c>
      <c r="K550" s="6">
        <f>IF(OR(A550="",B550=""),"",DATE(YEAR(B550),MONTH(B550),1))</f>
        <v/>
      </c>
      <c r="L550" s="7">
        <f>IF(COUNTA(A550,B550)=0,"",IF(OR(A550="",B550=""),"Preencher CPF e entrada",IF(COUNTIFS($A$12:$A$5011,A550,$B$12:$B$5011,B550)&gt;1,"CPF + dia duplicado",IF(OR(AND(E550&lt;&gt;"",E550&lt;B550),AND(F550&lt;&gt;"",F550&lt;B550)),"Evento anterior à entrada",IF(AND(F550&lt;&gt;"",E550=""),"Conversa sem agendamento",IF(OR(E550&gt;TODAY(),F550&gt;TODAY()),"Verificar evento futuro","OK"))))))</f>
        <v/>
      </c>
    </row>
    <row r="551" spans="9:12">
      <c r="I551" s="5">
        <f>IF(OR(A551="",B551=""),"",B551-WEEKDAY(B551,2)+1)</f>
        <v/>
      </c>
      <c r="J551" s="5">
        <f>IF(I551="","",I551+6)</f>
        <v/>
      </c>
      <c r="K551" s="6">
        <f>IF(OR(A551="",B551=""),"",DATE(YEAR(B551),MONTH(B551),1))</f>
        <v/>
      </c>
      <c r="L551" s="7">
        <f>IF(COUNTA(A551,B551)=0,"",IF(OR(A551="",B551=""),"Preencher CPF e entrada",IF(COUNTIFS($A$12:$A$5011,A551,$B$12:$B$5011,B551)&gt;1,"CPF + dia duplicado",IF(OR(AND(E551&lt;&gt;"",E551&lt;B551),AND(F551&lt;&gt;"",F551&lt;B551)),"Evento anterior à entrada",IF(AND(F551&lt;&gt;"",E551=""),"Conversa sem agendamento",IF(OR(E551&gt;TODAY(),F551&gt;TODAY()),"Verificar evento futuro","OK"))))))</f>
        <v/>
      </c>
    </row>
    <row r="552" spans="9:12">
      <c r="I552" s="5">
        <f>IF(OR(A552="",B552=""),"",B552-WEEKDAY(B552,2)+1)</f>
        <v/>
      </c>
      <c r="J552" s="5">
        <f>IF(I552="","",I552+6)</f>
        <v/>
      </c>
      <c r="K552" s="6">
        <f>IF(OR(A552="",B552=""),"",DATE(YEAR(B552),MONTH(B552),1))</f>
        <v/>
      </c>
      <c r="L552" s="7">
        <f>IF(COUNTA(A552,B552)=0,"",IF(OR(A552="",B552=""),"Preencher CPF e entrada",IF(COUNTIFS($A$12:$A$5011,A552,$B$12:$B$5011,B552)&gt;1,"CPF + dia duplicado",IF(OR(AND(E552&lt;&gt;"",E552&lt;B552),AND(F552&lt;&gt;"",F552&lt;B552)),"Evento anterior à entrada",IF(AND(F552&lt;&gt;"",E552=""),"Conversa sem agendamento",IF(OR(E552&gt;TODAY(),F552&gt;TODAY()),"Verificar evento futuro","OK"))))))</f>
        <v/>
      </c>
    </row>
    <row r="553" spans="9:12">
      <c r="I553" s="5">
        <f>IF(OR(A553="",B553=""),"",B553-WEEKDAY(B553,2)+1)</f>
        <v/>
      </c>
      <c r="J553" s="5">
        <f>IF(I553="","",I553+6)</f>
        <v/>
      </c>
      <c r="K553" s="6">
        <f>IF(OR(A553="",B553=""),"",DATE(YEAR(B553),MONTH(B553),1))</f>
        <v/>
      </c>
      <c r="L553" s="7">
        <f>IF(COUNTA(A553,B553)=0,"",IF(OR(A553="",B553=""),"Preencher CPF e entrada",IF(COUNTIFS($A$12:$A$5011,A553,$B$12:$B$5011,B553)&gt;1,"CPF + dia duplicado",IF(OR(AND(E553&lt;&gt;"",E553&lt;B553),AND(F553&lt;&gt;"",F553&lt;B553)),"Evento anterior à entrada",IF(AND(F553&lt;&gt;"",E553=""),"Conversa sem agendamento",IF(OR(E553&gt;TODAY(),F553&gt;TODAY()),"Verificar evento futuro","OK"))))))</f>
        <v/>
      </c>
    </row>
    <row r="554" spans="9:12">
      <c r="I554" s="5">
        <f>IF(OR(A554="",B554=""),"",B554-WEEKDAY(B554,2)+1)</f>
        <v/>
      </c>
      <c r="J554" s="5">
        <f>IF(I554="","",I554+6)</f>
        <v/>
      </c>
      <c r="K554" s="6">
        <f>IF(OR(A554="",B554=""),"",DATE(YEAR(B554),MONTH(B554),1))</f>
        <v/>
      </c>
      <c r="L554" s="7">
        <f>IF(COUNTA(A554,B554)=0,"",IF(OR(A554="",B554=""),"Preencher CPF e entrada",IF(COUNTIFS($A$12:$A$5011,A554,$B$12:$B$5011,B554)&gt;1,"CPF + dia duplicado",IF(OR(AND(E554&lt;&gt;"",E554&lt;B554),AND(F554&lt;&gt;"",F554&lt;B554)),"Evento anterior à entrada",IF(AND(F554&lt;&gt;"",E554=""),"Conversa sem agendamento",IF(OR(E554&gt;TODAY(),F554&gt;TODAY()),"Verificar evento futuro","OK"))))))</f>
        <v/>
      </c>
    </row>
    <row r="555" spans="9:12">
      <c r="I555" s="5">
        <f>IF(OR(A555="",B555=""),"",B555-WEEKDAY(B555,2)+1)</f>
        <v/>
      </c>
      <c r="J555" s="5">
        <f>IF(I555="","",I555+6)</f>
        <v/>
      </c>
      <c r="K555" s="6">
        <f>IF(OR(A555="",B555=""),"",DATE(YEAR(B555),MONTH(B555),1))</f>
        <v/>
      </c>
      <c r="L555" s="7">
        <f>IF(COUNTA(A555,B555)=0,"",IF(OR(A555="",B555=""),"Preencher CPF e entrada",IF(COUNTIFS($A$12:$A$5011,A555,$B$12:$B$5011,B555)&gt;1,"CPF + dia duplicado",IF(OR(AND(E555&lt;&gt;"",E555&lt;B555),AND(F555&lt;&gt;"",F555&lt;B555)),"Evento anterior à entrada",IF(AND(F555&lt;&gt;"",E555=""),"Conversa sem agendamento",IF(OR(E555&gt;TODAY(),F555&gt;TODAY()),"Verificar evento futuro","OK"))))))</f>
        <v/>
      </c>
    </row>
    <row r="556" spans="9:12">
      <c r="I556" s="5">
        <f>IF(OR(A556="",B556=""),"",B556-WEEKDAY(B556,2)+1)</f>
        <v/>
      </c>
      <c r="J556" s="5">
        <f>IF(I556="","",I556+6)</f>
        <v/>
      </c>
      <c r="K556" s="6">
        <f>IF(OR(A556="",B556=""),"",DATE(YEAR(B556),MONTH(B556),1))</f>
        <v/>
      </c>
      <c r="L556" s="7">
        <f>IF(COUNTA(A556,B556)=0,"",IF(OR(A556="",B556=""),"Preencher CPF e entrada",IF(COUNTIFS($A$12:$A$5011,A556,$B$12:$B$5011,B556)&gt;1,"CPF + dia duplicado",IF(OR(AND(E556&lt;&gt;"",E556&lt;B556),AND(F556&lt;&gt;"",F556&lt;B556)),"Evento anterior à entrada",IF(AND(F556&lt;&gt;"",E556=""),"Conversa sem agendamento",IF(OR(E556&gt;TODAY(),F556&gt;TODAY()),"Verificar evento futuro","OK"))))))</f>
        <v/>
      </c>
    </row>
    <row r="557" spans="9:12">
      <c r="I557" s="5">
        <f>IF(OR(A557="",B557=""),"",B557-WEEKDAY(B557,2)+1)</f>
        <v/>
      </c>
      <c r="J557" s="5">
        <f>IF(I557="","",I557+6)</f>
        <v/>
      </c>
      <c r="K557" s="6">
        <f>IF(OR(A557="",B557=""),"",DATE(YEAR(B557),MONTH(B557),1))</f>
        <v/>
      </c>
      <c r="L557" s="7">
        <f>IF(COUNTA(A557,B557)=0,"",IF(OR(A557="",B557=""),"Preencher CPF e entrada",IF(COUNTIFS($A$12:$A$5011,A557,$B$12:$B$5011,B557)&gt;1,"CPF + dia duplicado",IF(OR(AND(E557&lt;&gt;"",E557&lt;B557),AND(F557&lt;&gt;"",F557&lt;B557)),"Evento anterior à entrada",IF(AND(F557&lt;&gt;"",E557=""),"Conversa sem agendamento",IF(OR(E557&gt;TODAY(),F557&gt;TODAY()),"Verificar evento futuro","OK"))))))</f>
        <v/>
      </c>
    </row>
    <row r="558" spans="9:12">
      <c r="I558" s="5">
        <f>IF(OR(A558="",B558=""),"",B558-WEEKDAY(B558,2)+1)</f>
        <v/>
      </c>
      <c r="J558" s="5">
        <f>IF(I558="","",I558+6)</f>
        <v/>
      </c>
      <c r="K558" s="6">
        <f>IF(OR(A558="",B558=""),"",DATE(YEAR(B558),MONTH(B558),1))</f>
        <v/>
      </c>
      <c r="L558" s="7">
        <f>IF(COUNTA(A558,B558)=0,"",IF(OR(A558="",B558=""),"Preencher CPF e entrada",IF(COUNTIFS($A$12:$A$5011,A558,$B$12:$B$5011,B558)&gt;1,"CPF + dia duplicado",IF(OR(AND(E558&lt;&gt;"",E558&lt;B558),AND(F558&lt;&gt;"",F558&lt;B558)),"Evento anterior à entrada",IF(AND(F558&lt;&gt;"",E558=""),"Conversa sem agendamento",IF(OR(E558&gt;TODAY(),F558&gt;TODAY()),"Verificar evento futuro","OK"))))))</f>
        <v/>
      </c>
    </row>
    <row r="559" spans="9:12">
      <c r="I559" s="5">
        <f>IF(OR(A559="",B559=""),"",B559-WEEKDAY(B559,2)+1)</f>
        <v/>
      </c>
      <c r="J559" s="5">
        <f>IF(I559="","",I559+6)</f>
        <v/>
      </c>
      <c r="K559" s="6">
        <f>IF(OR(A559="",B559=""),"",DATE(YEAR(B559),MONTH(B559),1))</f>
        <v/>
      </c>
      <c r="L559" s="7">
        <f>IF(COUNTA(A559,B559)=0,"",IF(OR(A559="",B559=""),"Preencher CPF e entrada",IF(COUNTIFS($A$12:$A$5011,A559,$B$12:$B$5011,B559)&gt;1,"CPF + dia duplicado",IF(OR(AND(E559&lt;&gt;"",E559&lt;B559),AND(F559&lt;&gt;"",F559&lt;B559)),"Evento anterior à entrada",IF(AND(F559&lt;&gt;"",E559=""),"Conversa sem agendamento",IF(OR(E559&gt;TODAY(),F559&gt;TODAY()),"Verificar evento futuro","OK"))))))</f>
        <v/>
      </c>
    </row>
    <row r="560" spans="9:12">
      <c r="I560" s="5">
        <f>IF(OR(A560="",B560=""),"",B560-WEEKDAY(B560,2)+1)</f>
        <v/>
      </c>
      <c r="J560" s="5">
        <f>IF(I560="","",I560+6)</f>
        <v/>
      </c>
      <c r="K560" s="6">
        <f>IF(OR(A560="",B560=""),"",DATE(YEAR(B560),MONTH(B560),1))</f>
        <v/>
      </c>
      <c r="L560" s="7">
        <f>IF(COUNTA(A560,B560)=0,"",IF(OR(A560="",B560=""),"Preencher CPF e entrada",IF(COUNTIFS($A$12:$A$5011,A560,$B$12:$B$5011,B560)&gt;1,"CPF + dia duplicado",IF(OR(AND(E560&lt;&gt;"",E560&lt;B560),AND(F560&lt;&gt;"",F560&lt;B560)),"Evento anterior à entrada",IF(AND(F560&lt;&gt;"",E560=""),"Conversa sem agendamento",IF(OR(E560&gt;TODAY(),F560&gt;TODAY()),"Verificar evento futuro","OK"))))))</f>
        <v/>
      </c>
    </row>
    <row r="561" spans="9:12">
      <c r="I561" s="5">
        <f>IF(OR(A561="",B561=""),"",B561-WEEKDAY(B561,2)+1)</f>
        <v/>
      </c>
      <c r="J561" s="5">
        <f>IF(I561="","",I561+6)</f>
        <v/>
      </c>
      <c r="K561" s="6">
        <f>IF(OR(A561="",B561=""),"",DATE(YEAR(B561),MONTH(B561),1))</f>
        <v/>
      </c>
      <c r="L561" s="7">
        <f>IF(COUNTA(A561,B561)=0,"",IF(OR(A561="",B561=""),"Preencher CPF e entrada",IF(COUNTIFS($A$12:$A$5011,A561,$B$12:$B$5011,B561)&gt;1,"CPF + dia duplicado",IF(OR(AND(E561&lt;&gt;"",E561&lt;B561),AND(F561&lt;&gt;"",F561&lt;B561)),"Evento anterior à entrada",IF(AND(F561&lt;&gt;"",E561=""),"Conversa sem agendamento",IF(OR(E561&gt;TODAY(),F561&gt;TODAY()),"Verificar evento futuro","OK"))))))</f>
        <v/>
      </c>
    </row>
    <row r="562" spans="9:12">
      <c r="I562" s="5">
        <f>IF(OR(A562="",B562=""),"",B562-WEEKDAY(B562,2)+1)</f>
        <v/>
      </c>
      <c r="J562" s="5">
        <f>IF(I562="","",I562+6)</f>
        <v/>
      </c>
      <c r="K562" s="6">
        <f>IF(OR(A562="",B562=""),"",DATE(YEAR(B562),MONTH(B562),1))</f>
        <v/>
      </c>
      <c r="L562" s="7">
        <f>IF(COUNTA(A562,B562)=0,"",IF(OR(A562="",B562=""),"Preencher CPF e entrada",IF(COUNTIFS($A$12:$A$5011,A562,$B$12:$B$5011,B562)&gt;1,"CPF + dia duplicado",IF(OR(AND(E562&lt;&gt;"",E562&lt;B562),AND(F562&lt;&gt;"",F562&lt;B562)),"Evento anterior à entrada",IF(AND(F562&lt;&gt;"",E562=""),"Conversa sem agendamento",IF(OR(E562&gt;TODAY(),F562&gt;TODAY()),"Verificar evento futuro","OK"))))))</f>
        <v/>
      </c>
    </row>
    <row r="563" spans="9:12">
      <c r="I563" s="5">
        <f>IF(OR(A563="",B563=""),"",B563-WEEKDAY(B563,2)+1)</f>
        <v/>
      </c>
      <c r="J563" s="5">
        <f>IF(I563="","",I563+6)</f>
        <v/>
      </c>
      <c r="K563" s="6">
        <f>IF(OR(A563="",B563=""),"",DATE(YEAR(B563),MONTH(B563),1))</f>
        <v/>
      </c>
      <c r="L563" s="7">
        <f>IF(COUNTA(A563,B563)=0,"",IF(OR(A563="",B563=""),"Preencher CPF e entrada",IF(COUNTIFS($A$12:$A$5011,A563,$B$12:$B$5011,B563)&gt;1,"CPF + dia duplicado",IF(OR(AND(E563&lt;&gt;"",E563&lt;B563),AND(F563&lt;&gt;"",F563&lt;B563)),"Evento anterior à entrada",IF(AND(F563&lt;&gt;"",E563=""),"Conversa sem agendamento",IF(OR(E563&gt;TODAY(),F563&gt;TODAY()),"Verificar evento futuro","OK"))))))</f>
        <v/>
      </c>
    </row>
    <row r="564" spans="9:12">
      <c r="I564" s="5">
        <f>IF(OR(A564="",B564=""),"",B564-WEEKDAY(B564,2)+1)</f>
        <v/>
      </c>
      <c r="J564" s="5">
        <f>IF(I564="","",I564+6)</f>
        <v/>
      </c>
      <c r="K564" s="6">
        <f>IF(OR(A564="",B564=""),"",DATE(YEAR(B564),MONTH(B564),1))</f>
        <v/>
      </c>
      <c r="L564" s="7">
        <f>IF(COUNTA(A564,B564)=0,"",IF(OR(A564="",B564=""),"Preencher CPF e entrada",IF(COUNTIFS($A$12:$A$5011,A564,$B$12:$B$5011,B564)&gt;1,"CPF + dia duplicado",IF(OR(AND(E564&lt;&gt;"",E564&lt;B564),AND(F564&lt;&gt;"",F564&lt;B564)),"Evento anterior à entrada",IF(AND(F564&lt;&gt;"",E564=""),"Conversa sem agendamento",IF(OR(E564&gt;TODAY(),F564&gt;TODAY()),"Verificar evento futuro","OK"))))))</f>
        <v/>
      </c>
    </row>
    <row r="565" spans="9:12">
      <c r="I565" s="5">
        <f>IF(OR(A565="",B565=""),"",B565-WEEKDAY(B565,2)+1)</f>
        <v/>
      </c>
      <c r="J565" s="5">
        <f>IF(I565="","",I565+6)</f>
        <v/>
      </c>
      <c r="K565" s="6">
        <f>IF(OR(A565="",B565=""),"",DATE(YEAR(B565),MONTH(B565),1))</f>
        <v/>
      </c>
      <c r="L565" s="7">
        <f>IF(COUNTA(A565,B565)=0,"",IF(OR(A565="",B565=""),"Preencher CPF e entrada",IF(COUNTIFS($A$12:$A$5011,A565,$B$12:$B$5011,B565)&gt;1,"CPF + dia duplicado",IF(OR(AND(E565&lt;&gt;"",E565&lt;B565),AND(F565&lt;&gt;"",F565&lt;B565)),"Evento anterior à entrada",IF(AND(F565&lt;&gt;"",E565=""),"Conversa sem agendamento",IF(OR(E565&gt;TODAY(),F565&gt;TODAY()),"Verificar evento futuro","OK"))))))</f>
        <v/>
      </c>
    </row>
    <row r="566" spans="9:12">
      <c r="I566" s="5">
        <f>IF(OR(A566="",B566=""),"",B566-WEEKDAY(B566,2)+1)</f>
        <v/>
      </c>
      <c r="J566" s="5">
        <f>IF(I566="","",I566+6)</f>
        <v/>
      </c>
      <c r="K566" s="6">
        <f>IF(OR(A566="",B566=""),"",DATE(YEAR(B566),MONTH(B566),1))</f>
        <v/>
      </c>
      <c r="L566" s="7">
        <f>IF(COUNTA(A566,B566)=0,"",IF(OR(A566="",B566=""),"Preencher CPF e entrada",IF(COUNTIFS($A$12:$A$5011,A566,$B$12:$B$5011,B566)&gt;1,"CPF + dia duplicado",IF(OR(AND(E566&lt;&gt;"",E566&lt;B566),AND(F566&lt;&gt;"",F566&lt;B566)),"Evento anterior à entrada",IF(AND(F566&lt;&gt;"",E566=""),"Conversa sem agendamento",IF(OR(E566&gt;TODAY(),F566&gt;TODAY()),"Verificar evento futuro","OK"))))))</f>
        <v/>
      </c>
    </row>
    <row r="567" spans="9:12">
      <c r="I567" s="5">
        <f>IF(OR(A567="",B567=""),"",B567-WEEKDAY(B567,2)+1)</f>
        <v/>
      </c>
      <c r="J567" s="5">
        <f>IF(I567="","",I567+6)</f>
        <v/>
      </c>
      <c r="K567" s="6">
        <f>IF(OR(A567="",B567=""),"",DATE(YEAR(B567),MONTH(B567),1))</f>
        <v/>
      </c>
      <c r="L567" s="7">
        <f>IF(COUNTA(A567,B567)=0,"",IF(OR(A567="",B567=""),"Preencher CPF e entrada",IF(COUNTIFS($A$12:$A$5011,A567,$B$12:$B$5011,B567)&gt;1,"CPF + dia duplicado",IF(OR(AND(E567&lt;&gt;"",E567&lt;B567),AND(F567&lt;&gt;"",F567&lt;B567)),"Evento anterior à entrada",IF(AND(F567&lt;&gt;"",E567=""),"Conversa sem agendamento",IF(OR(E567&gt;TODAY(),F567&gt;TODAY()),"Verificar evento futuro","OK"))))))</f>
        <v/>
      </c>
    </row>
    <row r="568" spans="9:12">
      <c r="I568" s="5">
        <f>IF(OR(A568="",B568=""),"",B568-WEEKDAY(B568,2)+1)</f>
        <v/>
      </c>
      <c r="J568" s="5">
        <f>IF(I568="","",I568+6)</f>
        <v/>
      </c>
      <c r="K568" s="6">
        <f>IF(OR(A568="",B568=""),"",DATE(YEAR(B568),MONTH(B568),1))</f>
        <v/>
      </c>
      <c r="L568" s="7">
        <f>IF(COUNTA(A568,B568)=0,"",IF(OR(A568="",B568=""),"Preencher CPF e entrada",IF(COUNTIFS($A$12:$A$5011,A568,$B$12:$B$5011,B568)&gt;1,"CPF + dia duplicado",IF(OR(AND(E568&lt;&gt;"",E568&lt;B568),AND(F568&lt;&gt;"",F568&lt;B568)),"Evento anterior à entrada",IF(AND(F568&lt;&gt;"",E568=""),"Conversa sem agendamento",IF(OR(E568&gt;TODAY(),F568&gt;TODAY()),"Verificar evento futuro","OK"))))))</f>
        <v/>
      </c>
    </row>
    <row r="569" spans="9:12">
      <c r="I569" s="5">
        <f>IF(OR(A569="",B569=""),"",B569-WEEKDAY(B569,2)+1)</f>
        <v/>
      </c>
      <c r="J569" s="5">
        <f>IF(I569="","",I569+6)</f>
        <v/>
      </c>
      <c r="K569" s="6">
        <f>IF(OR(A569="",B569=""),"",DATE(YEAR(B569),MONTH(B569),1))</f>
        <v/>
      </c>
      <c r="L569" s="7">
        <f>IF(COUNTA(A569,B569)=0,"",IF(OR(A569="",B569=""),"Preencher CPF e entrada",IF(COUNTIFS($A$12:$A$5011,A569,$B$12:$B$5011,B569)&gt;1,"CPF + dia duplicado",IF(OR(AND(E569&lt;&gt;"",E569&lt;B569),AND(F569&lt;&gt;"",F569&lt;B569)),"Evento anterior à entrada",IF(AND(F569&lt;&gt;"",E569=""),"Conversa sem agendamento",IF(OR(E569&gt;TODAY(),F569&gt;TODAY()),"Verificar evento futuro","OK"))))))</f>
        <v/>
      </c>
    </row>
    <row r="570" spans="9:12">
      <c r="I570" s="5">
        <f>IF(OR(A570="",B570=""),"",B570-WEEKDAY(B570,2)+1)</f>
        <v/>
      </c>
      <c r="J570" s="5">
        <f>IF(I570="","",I570+6)</f>
        <v/>
      </c>
      <c r="K570" s="6">
        <f>IF(OR(A570="",B570=""),"",DATE(YEAR(B570),MONTH(B570),1))</f>
        <v/>
      </c>
      <c r="L570" s="7">
        <f>IF(COUNTA(A570,B570)=0,"",IF(OR(A570="",B570=""),"Preencher CPF e entrada",IF(COUNTIFS($A$12:$A$5011,A570,$B$12:$B$5011,B570)&gt;1,"CPF + dia duplicado",IF(OR(AND(E570&lt;&gt;"",E570&lt;B570),AND(F570&lt;&gt;"",F570&lt;B570)),"Evento anterior à entrada",IF(AND(F570&lt;&gt;"",E570=""),"Conversa sem agendamento",IF(OR(E570&gt;TODAY(),F570&gt;TODAY()),"Verificar evento futuro","OK"))))))</f>
        <v/>
      </c>
    </row>
    <row r="571" spans="9:12">
      <c r="I571" s="5">
        <f>IF(OR(A571="",B571=""),"",B571-WEEKDAY(B571,2)+1)</f>
        <v/>
      </c>
      <c r="J571" s="5">
        <f>IF(I571="","",I571+6)</f>
        <v/>
      </c>
      <c r="K571" s="6">
        <f>IF(OR(A571="",B571=""),"",DATE(YEAR(B571),MONTH(B571),1))</f>
        <v/>
      </c>
      <c r="L571" s="7">
        <f>IF(COUNTA(A571,B571)=0,"",IF(OR(A571="",B571=""),"Preencher CPF e entrada",IF(COUNTIFS($A$12:$A$5011,A571,$B$12:$B$5011,B571)&gt;1,"CPF + dia duplicado",IF(OR(AND(E571&lt;&gt;"",E571&lt;B571),AND(F571&lt;&gt;"",F571&lt;B571)),"Evento anterior à entrada",IF(AND(F571&lt;&gt;"",E571=""),"Conversa sem agendamento",IF(OR(E571&gt;TODAY(),F571&gt;TODAY()),"Verificar evento futuro","OK"))))))</f>
        <v/>
      </c>
    </row>
    <row r="572" spans="9:12">
      <c r="I572" s="5">
        <f>IF(OR(A572="",B572=""),"",B572-WEEKDAY(B572,2)+1)</f>
        <v/>
      </c>
      <c r="J572" s="5">
        <f>IF(I572="","",I572+6)</f>
        <v/>
      </c>
      <c r="K572" s="6">
        <f>IF(OR(A572="",B572=""),"",DATE(YEAR(B572),MONTH(B572),1))</f>
        <v/>
      </c>
      <c r="L572" s="7">
        <f>IF(COUNTA(A572,B572)=0,"",IF(OR(A572="",B572=""),"Preencher CPF e entrada",IF(COUNTIFS($A$12:$A$5011,A572,$B$12:$B$5011,B572)&gt;1,"CPF + dia duplicado",IF(OR(AND(E572&lt;&gt;"",E572&lt;B572),AND(F572&lt;&gt;"",F572&lt;B572)),"Evento anterior à entrada",IF(AND(F572&lt;&gt;"",E572=""),"Conversa sem agendamento",IF(OR(E572&gt;TODAY(),F572&gt;TODAY()),"Verificar evento futuro","OK"))))))</f>
        <v/>
      </c>
    </row>
    <row r="573" spans="9:12">
      <c r="I573" s="5">
        <f>IF(OR(A573="",B573=""),"",B573-WEEKDAY(B573,2)+1)</f>
        <v/>
      </c>
      <c r="J573" s="5">
        <f>IF(I573="","",I573+6)</f>
        <v/>
      </c>
      <c r="K573" s="6">
        <f>IF(OR(A573="",B573=""),"",DATE(YEAR(B573),MONTH(B573),1))</f>
        <v/>
      </c>
      <c r="L573" s="7">
        <f>IF(COUNTA(A573,B573)=0,"",IF(OR(A573="",B573=""),"Preencher CPF e entrada",IF(COUNTIFS($A$12:$A$5011,A573,$B$12:$B$5011,B573)&gt;1,"CPF + dia duplicado",IF(OR(AND(E573&lt;&gt;"",E573&lt;B573),AND(F573&lt;&gt;"",F573&lt;B573)),"Evento anterior à entrada",IF(AND(F573&lt;&gt;"",E573=""),"Conversa sem agendamento",IF(OR(E573&gt;TODAY(),F573&gt;TODAY()),"Verificar evento futuro","OK"))))))</f>
        <v/>
      </c>
    </row>
    <row r="574" spans="9:12">
      <c r="I574" s="5">
        <f>IF(OR(A574="",B574=""),"",B574-WEEKDAY(B574,2)+1)</f>
        <v/>
      </c>
      <c r="J574" s="5">
        <f>IF(I574="","",I574+6)</f>
        <v/>
      </c>
      <c r="K574" s="6">
        <f>IF(OR(A574="",B574=""),"",DATE(YEAR(B574),MONTH(B574),1))</f>
        <v/>
      </c>
      <c r="L574" s="7">
        <f>IF(COUNTA(A574,B574)=0,"",IF(OR(A574="",B574=""),"Preencher CPF e entrada",IF(COUNTIFS($A$12:$A$5011,A574,$B$12:$B$5011,B574)&gt;1,"CPF + dia duplicado",IF(OR(AND(E574&lt;&gt;"",E574&lt;B574),AND(F574&lt;&gt;"",F574&lt;B574)),"Evento anterior à entrada",IF(AND(F574&lt;&gt;"",E574=""),"Conversa sem agendamento",IF(OR(E574&gt;TODAY(),F574&gt;TODAY()),"Verificar evento futuro","OK"))))))</f>
        <v/>
      </c>
    </row>
    <row r="575" spans="9:12">
      <c r="I575" s="5">
        <f>IF(OR(A575="",B575=""),"",B575-WEEKDAY(B575,2)+1)</f>
        <v/>
      </c>
      <c r="J575" s="5">
        <f>IF(I575="","",I575+6)</f>
        <v/>
      </c>
      <c r="K575" s="6">
        <f>IF(OR(A575="",B575=""),"",DATE(YEAR(B575),MONTH(B575),1))</f>
        <v/>
      </c>
      <c r="L575" s="7">
        <f>IF(COUNTA(A575,B575)=0,"",IF(OR(A575="",B575=""),"Preencher CPF e entrada",IF(COUNTIFS($A$12:$A$5011,A575,$B$12:$B$5011,B575)&gt;1,"CPF + dia duplicado",IF(OR(AND(E575&lt;&gt;"",E575&lt;B575),AND(F575&lt;&gt;"",F575&lt;B575)),"Evento anterior à entrada",IF(AND(F575&lt;&gt;"",E575=""),"Conversa sem agendamento",IF(OR(E575&gt;TODAY(),F575&gt;TODAY()),"Verificar evento futuro","OK"))))))</f>
        <v/>
      </c>
    </row>
    <row r="576" spans="9:12">
      <c r="I576" s="5">
        <f>IF(OR(A576="",B576=""),"",B576-WEEKDAY(B576,2)+1)</f>
        <v/>
      </c>
      <c r="J576" s="5">
        <f>IF(I576="","",I576+6)</f>
        <v/>
      </c>
      <c r="K576" s="6">
        <f>IF(OR(A576="",B576=""),"",DATE(YEAR(B576),MONTH(B576),1))</f>
        <v/>
      </c>
      <c r="L576" s="7">
        <f>IF(COUNTA(A576,B576)=0,"",IF(OR(A576="",B576=""),"Preencher CPF e entrada",IF(COUNTIFS($A$12:$A$5011,A576,$B$12:$B$5011,B576)&gt;1,"CPF + dia duplicado",IF(OR(AND(E576&lt;&gt;"",E576&lt;B576),AND(F576&lt;&gt;"",F576&lt;B576)),"Evento anterior à entrada",IF(AND(F576&lt;&gt;"",E576=""),"Conversa sem agendamento",IF(OR(E576&gt;TODAY(),F576&gt;TODAY()),"Verificar evento futuro","OK"))))))</f>
        <v/>
      </c>
    </row>
    <row r="577" spans="9:12">
      <c r="I577" s="5">
        <f>IF(OR(A577="",B577=""),"",B577-WEEKDAY(B577,2)+1)</f>
        <v/>
      </c>
      <c r="J577" s="5">
        <f>IF(I577="","",I577+6)</f>
        <v/>
      </c>
      <c r="K577" s="6">
        <f>IF(OR(A577="",B577=""),"",DATE(YEAR(B577),MONTH(B577),1))</f>
        <v/>
      </c>
      <c r="L577" s="7">
        <f>IF(COUNTA(A577,B577)=0,"",IF(OR(A577="",B577=""),"Preencher CPF e entrada",IF(COUNTIFS($A$12:$A$5011,A577,$B$12:$B$5011,B577)&gt;1,"CPF + dia duplicado",IF(OR(AND(E577&lt;&gt;"",E577&lt;B577),AND(F577&lt;&gt;"",F577&lt;B577)),"Evento anterior à entrada",IF(AND(F577&lt;&gt;"",E577=""),"Conversa sem agendamento",IF(OR(E577&gt;TODAY(),F577&gt;TODAY()),"Verificar evento futuro","OK"))))))</f>
        <v/>
      </c>
    </row>
    <row r="578" spans="9:12">
      <c r="I578" s="5">
        <f>IF(OR(A578="",B578=""),"",B578-WEEKDAY(B578,2)+1)</f>
        <v/>
      </c>
      <c r="J578" s="5">
        <f>IF(I578="","",I578+6)</f>
        <v/>
      </c>
      <c r="K578" s="6">
        <f>IF(OR(A578="",B578=""),"",DATE(YEAR(B578),MONTH(B578),1))</f>
        <v/>
      </c>
      <c r="L578" s="7">
        <f>IF(COUNTA(A578,B578)=0,"",IF(OR(A578="",B578=""),"Preencher CPF e entrada",IF(COUNTIFS($A$12:$A$5011,A578,$B$12:$B$5011,B578)&gt;1,"CPF + dia duplicado",IF(OR(AND(E578&lt;&gt;"",E578&lt;B578),AND(F578&lt;&gt;"",F578&lt;B578)),"Evento anterior à entrada",IF(AND(F578&lt;&gt;"",E578=""),"Conversa sem agendamento",IF(OR(E578&gt;TODAY(),F578&gt;TODAY()),"Verificar evento futuro","OK"))))))</f>
        <v/>
      </c>
    </row>
    <row r="579" spans="9:12">
      <c r="I579" s="5">
        <f>IF(OR(A579="",B579=""),"",B579-WEEKDAY(B579,2)+1)</f>
        <v/>
      </c>
      <c r="J579" s="5">
        <f>IF(I579="","",I579+6)</f>
        <v/>
      </c>
      <c r="K579" s="6">
        <f>IF(OR(A579="",B579=""),"",DATE(YEAR(B579),MONTH(B579),1))</f>
        <v/>
      </c>
      <c r="L579" s="7">
        <f>IF(COUNTA(A579,B579)=0,"",IF(OR(A579="",B579=""),"Preencher CPF e entrada",IF(COUNTIFS($A$12:$A$5011,A579,$B$12:$B$5011,B579)&gt;1,"CPF + dia duplicado",IF(OR(AND(E579&lt;&gt;"",E579&lt;B579),AND(F579&lt;&gt;"",F579&lt;B579)),"Evento anterior à entrada",IF(AND(F579&lt;&gt;"",E579=""),"Conversa sem agendamento",IF(OR(E579&gt;TODAY(),F579&gt;TODAY()),"Verificar evento futuro","OK"))))))</f>
        <v/>
      </c>
    </row>
    <row r="580" spans="9:12">
      <c r="I580" s="5">
        <f>IF(OR(A580="",B580=""),"",B580-WEEKDAY(B580,2)+1)</f>
        <v/>
      </c>
      <c r="J580" s="5">
        <f>IF(I580="","",I580+6)</f>
        <v/>
      </c>
      <c r="K580" s="6">
        <f>IF(OR(A580="",B580=""),"",DATE(YEAR(B580),MONTH(B580),1))</f>
        <v/>
      </c>
      <c r="L580" s="7">
        <f>IF(COUNTA(A580,B580)=0,"",IF(OR(A580="",B580=""),"Preencher CPF e entrada",IF(COUNTIFS($A$12:$A$5011,A580,$B$12:$B$5011,B580)&gt;1,"CPF + dia duplicado",IF(OR(AND(E580&lt;&gt;"",E580&lt;B580),AND(F580&lt;&gt;"",F580&lt;B580)),"Evento anterior à entrada",IF(AND(F580&lt;&gt;"",E580=""),"Conversa sem agendamento",IF(OR(E580&gt;TODAY(),F580&gt;TODAY()),"Verificar evento futuro","OK"))))))</f>
        <v/>
      </c>
    </row>
    <row r="581" spans="9:12">
      <c r="I581" s="5">
        <f>IF(OR(A581="",B581=""),"",B581-WEEKDAY(B581,2)+1)</f>
        <v/>
      </c>
      <c r="J581" s="5">
        <f>IF(I581="","",I581+6)</f>
        <v/>
      </c>
      <c r="K581" s="6">
        <f>IF(OR(A581="",B581=""),"",DATE(YEAR(B581),MONTH(B581),1))</f>
        <v/>
      </c>
      <c r="L581" s="7">
        <f>IF(COUNTA(A581,B581)=0,"",IF(OR(A581="",B581=""),"Preencher CPF e entrada",IF(COUNTIFS($A$12:$A$5011,A581,$B$12:$B$5011,B581)&gt;1,"CPF + dia duplicado",IF(OR(AND(E581&lt;&gt;"",E581&lt;B581),AND(F581&lt;&gt;"",F581&lt;B581)),"Evento anterior à entrada",IF(AND(F581&lt;&gt;"",E581=""),"Conversa sem agendamento",IF(OR(E581&gt;TODAY(),F581&gt;TODAY()),"Verificar evento futuro","OK"))))))</f>
        <v/>
      </c>
    </row>
    <row r="582" spans="9:12">
      <c r="I582" s="5">
        <f>IF(OR(A582="",B582=""),"",B582-WEEKDAY(B582,2)+1)</f>
        <v/>
      </c>
      <c r="J582" s="5">
        <f>IF(I582="","",I582+6)</f>
        <v/>
      </c>
      <c r="K582" s="6">
        <f>IF(OR(A582="",B582=""),"",DATE(YEAR(B582),MONTH(B582),1))</f>
        <v/>
      </c>
      <c r="L582" s="7">
        <f>IF(COUNTA(A582,B582)=0,"",IF(OR(A582="",B582=""),"Preencher CPF e entrada",IF(COUNTIFS($A$12:$A$5011,A582,$B$12:$B$5011,B582)&gt;1,"CPF + dia duplicado",IF(OR(AND(E582&lt;&gt;"",E582&lt;B582),AND(F582&lt;&gt;"",F582&lt;B582)),"Evento anterior à entrada",IF(AND(F582&lt;&gt;"",E582=""),"Conversa sem agendamento",IF(OR(E582&gt;TODAY(),F582&gt;TODAY()),"Verificar evento futuro","OK"))))))</f>
        <v/>
      </c>
    </row>
    <row r="583" spans="9:12">
      <c r="I583" s="5">
        <f>IF(OR(A583="",B583=""),"",B583-WEEKDAY(B583,2)+1)</f>
        <v/>
      </c>
      <c r="J583" s="5">
        <f>IF(I583="","",I583+6)</f>
        <v/>
      </c>
      <c r="K583" s="6">
        <f>IF(OR(A583="",B583=""),"",DATE(YEAR(B583),MONTH(B583),1))</f>
        <v/>
      </c>
      <c r="L583" s="7">
        <f>IF(COUNTA(A583,B583)=0,"",IF(OR(A583="",B583=""),"Preencher CPF e entrada",IF(COUNTIFS($A$12:$A$5011,A583,$B$12:$B$5011,B583)&gt;1,"CPF + dia duplicado",IF(OR(AND(E583&lt;&gt;"",E583&lt;B583),AND(F583&lt;&gt;"",F583&lt;B583)),"Evento anterior à entrada",IF(AND(F583&lt;&gt;"",E583=""),"Conversa sem agendamento",IF(OR(E583&gt;TODAY(),F583&gt;TODAY()),"Verificar evento futuro","OK"))))))</f>
        <v/>
      </c>
    </row>
    <row r="584" spans="9:12">
      <c r="I584" s="5">
        <f>IF(OR(A584="",B584=""),"",B584-WEEKDAY(B584,2)+1)</f>
        <v/>
      </c>
      <c r="J584" s="5">
        <f>IF(I584="","",I584+6)</f>
        <v/>
      </c>
      <c r="K584" s="6">
        <f>IF(OR(A584="",B584=""),"",DATE(YEAR(B584),MONTH(B584),1))</f>
        <v/>
      </c>
      <c r="L584" s="7">
        <f>IF(COUNTA(A584,B584)=0,"",IF(OR(A584="",B584=""),"Preencher CPF e entrada",IF(COUNTIFS($A$12:$A$5011,A584,$B$12:$B$5011,B584)&gt;1,"CPF + dia duplicado",IF(OR(AND(E584&lt;&gt;"",E584&lt;B584),AND(F584&lt;&gt;"",F584&lt;B584)),"Evento anterior à entrada",IF(AND(F584&lt;&gt;"",E584=""),"Conversa sem agendamento",IF(OR(E584&gt;TODAY(),F584&gt;TODAY()),"Verificar evento futuro","OK"))))))</f>
        <v/>
      </c>
    </row>
    <row r="585" spans="9:12">
      <c r="I585" s="5">
        <f>IF(OR(A585="",B585=""),"",B585-WEEKDAY(B585,2)+1)</f>
        <v/>
      </c>
      <c r="J585" s="5">
        <f>IF(I585="","",I585+6)</f>
        <v/>
      </c>
      <c r="K585" s="6">
        <f>IF(OR(A585="",B585=""),"",DATE(YEAR(B585),MONTH(B585),1))</f>
        <v/>
      </c>
      <c r="L585" s="7">
        <f>IF(COUNTA(A585,B585)=0,"",IF(OR(A585="",B585=""),"Preencher CPF e entrada",IF(COUNTIFS($A$12:$A$5011,A585,$B$12:$B$5011,B585)&gt;1,"CPF + dia duplicado",IF(OR(AND(E585&lt;&gt;"",E585&lt;B585),AND(F585&lt;&gt;"",F585&lt;B585)),"Evento anterior à entrada",IF(AND(F585&lt;&gt;"",E585=""),"Conversa sem agendamento",IF(OR(E585&gt;TODAY(),F585&gt;TODAY()),"Verificar evento futuro","OK"))))))</f>
        <v/>
      </c>
    </row>
    <row r="586" spans="9:12">
      <c r="I586" s="5">
        <f>IF(OR(A586="",B586=""),"",B586-WEEKDAY(B586,2)+1)</f>
        <v/>
      </c>
      <c r="J586" s="5">
        <f>IF(I586="","",I586+6)</f>
        <v/>
      </c>
      <c r="K586" s="6">
        <f>IF(OR(A586="",B586=""),"",DATE(YEAR(B586),MONTH(B586),1))</f>
        <v/>
      </c>
      <c r="L586" s="7">
        <f>IF(COUNTA(A586,B586)=0,"",IF(OR(A586="",B586=""),"Preencher CPF e entrada",IF(COUNTIFS($A$12:$A$5011,A586,$B$12:$B$5011,B586)&gt;1,"CPF + dia duplicado",IF(OR(AND(E586&lt;&gt;"",E586&lt;B586),AND(F586&lt;&gt;"",F586&lt;B586)),"Evento anterior à entrada",IF(AND(F586&lt;&gt;"",E586=""),"Conversa sem agendamento",IF(OR(E586&gt;TODAY(),F586&gt;TODAY()),"Verificar evento futuro","OK"))))))</f>
        <v/>
      </c>
    </row>
    <row r="587" spans="9:12">
      <c r="I587" s="5">
        <f>IF(OR(A587="",B587=""),"",B587-WEEKDAY(B587,2)+1)</f>
        <v/>
      </c>
      <c r="J587" s="5">
        <f>IF(I587="","",I587+6)</f>
        <v/>
      </c>
      <c r="K587" s="6">
        <f>IF(OR(A587="",B587=""),"",DATE(YEAR(B587),MONTH(B587),1))</f>
        <v/>
      </c>
      <c r="L587" s="7">
        <f>IF(COUNTA(A587,B587)=0,"",IF(OR(A587="",B587=""),"Preencher CPF e entrada",IF(COUNTIFS($A$12:$A$5011,A587,$B$12:$B$5011,B587)&gt;1,"CPF + dia duplicado",IF(OR(AND(E587&lt;&gt;"",E587&lt;B587),AND(F587&lt;&gt;"",F587&lt;B587)),"Evento anterior à entrada",IF(AND(F587&lt;&gt;"",E587=""),"Conversa sem agendamento",IF(OR(E587&gt;TODAY(),F587&gt;TODAY()),"Verificar evento futuro","OK"))))))</f>
        <v/>
      </c>
    </row>
    <row r="588" spans="9:12">
      <c r="I588" s="5">
        <f>IF(OR(A588="",B588=""),"",B588-WEEKDAY(B588,2)+1)</f>
        <v/>
      </c>
      <c r="J588" s="5">
        <f>IF(I588="","",I588+6)</f>
        <v/>
      </c>
      <c r="K588" s="6">
        <f>IF(OR(A588="",B588=""),"",DATE(YEAR(B588),MONTH(B588),1))</f>
        <v/>
      </c>
      <c r="L588" s="7">
        <f>IF(COUNTA(A588,B588)=0,"",IF(OR(A588="",B588=""),"Preencher CPF e entrada",IF(COUNTIFS($A$12:$A$5011,A588,$B$12:$B$5011,B588)&gt;1,"CPF + dia duplicado",IF(OR(AND(E588&lt;&gt;"",E588&lt;B588),AND(F588&lt;&gt;"",F588&lt;B588)),"Evento anterior à entrada",IF(AND(F588&lt;&gt;"",E588=""),"Conversa sem agendamento",IF(OR(E588&gt;TODAY(),F588&gt;TODAY()),"Verificar evento futuro","OK"))))))</f>
        <v/>
      </c>
    </row>
    <row r="589" spans="9:12">
      <c r="I589" s="5">
        <f>IF(OR(A589="",B589=""),"",B589-WEEKDAY(B589,2)+1)</f>
        <v/>
      </c>
      <c r="J589" s="5">
        <f>IF(I589="","",I589+6)</f>
        <v/>
      </c>
      <c r="K589" s="6">
        <f>IF(OR(A589="",B589=""),"",DATE(YEAR(B589),MONTH(B589),1))</f>
        <v/>
      </c>
      <c r="L589" s="7">
        <f>IF(COUNTA(A589,B589)=0,"",IF(OR(A589="",B589=""),"Preencher CPF e entrada",IF(COUNTIFS($A$12:$A$5011,A589,$B$12:$B$5011,B589)&gt;1,"CPF + dia duplicado",IF(OR(AND(E589&lt;&gt;"",E589&lt;B589),AND(F589&lt;&gt;"",F589&lt;B589)),"Evento anterior à entrada",IF(AND(F589&lt;&gt;"",E589=""),"Conversa sem agendamento",IF(OR(E589&gt;TODAY(),F589&gt;TODAY()),"Verificar evento futuro","OK"))))))</f>
        <v/>
      </c>
    </row>
    <row r="590" spans="9:12">
      <c r="I590" s="5">
        <f>IF(OR(A590="",B590=""),"",B590-WEEKDAY(B590,2)+1)</f>
        <v/>
      </c>
      <c r="J590" s="5">
        <f>IF(I590="","",I590+6)</f>
        <v/>
      </c>
      <c r="K590" s="6">
        <f>IF(OR(A590="",B590=""),"",DATE(YEAR(B590),MONTH(B590),1))</f>
        <v/>
      </c>
      <c r="L590" s="7">
        <f>IF(COUNTA(A590,B590)=0,"",IF(OR(A590="",B590=""),"Preencher CPF e entrada",IF(COUNTIFS($A$12:$A$5011,A590,$B$12:$B$5011,B590)&gt;1,"CPF + dia duplicado",IF(OR(AND(E590&lt;&gt;"",E590&lt;B590),AND(F590&lt;&gt;"",F590&lt;B590)),"Evento anterior à entrada",IF(AND(F590&lt;&gt;"",E590=""),"Conversa sem agendamento",IF(OR(E590&gt;TODAY(),F590&gt;TODAY()),"Verificar evento futuro","OK"))))))</f>
        <v/>
      </c>
    </row>
    <row r="591" spans="9:12">
      <c r="I591" s="5">
        <f>IF(OR(A591="",B591=""),"",B591-WEEKDAY(B591,2)+1)</f>
        <v/>
      </c>
      <c r="J591" s="5">
        <f>IF(I591="","",I591+6)</f>
        <v/>
      </c>
      <c r="K591" s="6">
        <f>IF(OR(A591="",B591=""),"",DATE(YEAR(B591),MONTH(B591),1))</f>
        <v/>
      </c>
      <c r="L591" s="7">
        <f>IF(COUNTA(A591,B591)=0,"",IF(OR(A591="",B591=""),"Preencher CPF e entrada",IF(COUNTIFS($A$12:$A$5011,A591,$B$12:$B$5011,B591)&gt;1,"CPF + dia duplicado",IF(OR(AND(E591&lt;&gt;"",E591&lt;B591),AND(F591&lt;&gt;"",F591&lt;B591)),"Evento anterior à entrada",IF(AND(F591&lt;&gt;"",E591=""),"Conversa sem agendamento",IF(OR(E591&gt;TODAY(),F591&gt;TODAY()),"Verificar evento futuro","OK"))))))</f>
        <v/>
      </c>
    </row>
    <row r="592" spans="9:12">
      <c r="I592" s="5">
        <f>IF(OR(A592="",B592=""),"",B592-WEEKDAY(B592,2)+1)</f>
        <v/>
      </c>
      <c r="J592" s="5">
        <f>IF(I592="","",I592+6)</f>
        <v/>
      </c>
      <c r="K592" s="6">
        <f>IF(OR(A592="",B592=""),"",DATE(YEAR(B592),MONTH(B592),1))</f>
        <v/>
      </c>
      <c r="L592" s="7">
        <f>IF(COUNTA(A592,B592)=0,"",IF(OR(A592="",B592=""),"Preencher CPF e entrada",IF(COUNTIFS($A$12:$A$5011,A592,$B$12:$B$5011,B592)&gt;1,"CPF + dia duplicado",IF(OR(AND(E592&lt;&gt;"",E592&lt;B592),AND(F592&lt;&gt;"",F592&lt;B592)),"Evento anterior à entrada",IF(AND(F592&lt;&gt;"",E592=""),"Conversa sem agendamento",IF(OR(E592&gt;TODAY(),F592&gt;TODAY()),"Verificar evento futuro","OK"))))))</f>
        <v/>
      </c>
    </row>
    <row r="593" spans="9:12">
      <c r="I593" s="5">
        <f>IF(OR(A593="",B593=""),"",B593-WEEKDAY(B593,2)+1)</f>
        <v/>
      </c>
      <c r="J593" s="5">
        <f>IF(I593="","",I593+6)</f>
        <v/>
      </c>
      <c r="K593" s="6">
        <f>IF(OR(A593="",B593=""),"",DATE(YEAR(B593),MONTH(B593),1))</f>
        <v/>
      </c>
      <c r="L593" s="7">
        <f>IF(COUNTA(A593,B593)=0,"",IF(OR(A593="",B593=""),"Preencher CPF e entrada",IF(COUNTIFS($A$12:$A$5011,A593,$B$12:$B$5011,B593)&gt;1,"CPF + dia duplicado",IF(OR(AND(E593&lt;&gt;"",E593&lt;B593),AND(F593&lt;&gt;"",F593&lt;B593)),"Evento anterior à entrada",IF(AND(F593&lt;&gt;"",E593=""),"Conversa sem agendamento",IF(OR(E593&gt;TODAY(),F593&gt;TODAY()),"Verificar evento futuro","OK"))))))</f>
        <v/>
      </c>
    </row>
    <row r="594" spans="9:12">
      <c r="I594" s="5">
        <f>IF(OR(A594="",B594=""),"",B594-WEEKDAY(B594,2)+1)</f>
        <v/>
      </c>
      <c r="J594" s="5">
        <f>IF(I594="","",I594+6)</f>
        <v/>
      </c>
      <c r="K594" s="6">
        <f>IF(OR(A594="",B594=""),"",DATE(YEAR(B594),MONTH(B594),1))</f>
        <v/>
      </c>
      <c r="L594" s="7">
        <f>IF(COUNTA(A594,B594)=0,"",IF(OR(A594="",B594=""),"Preencher CPF e entrada",IF(COUNTIFS($A$12:$A$5011,A594,$B$12:$B$5011,B594)&gt;1,"CPF + dia duplicado",IF(OR(AND(E594&lt;&gt;"",E594&lt;B594),AND(F594&lt;&gt;"",F594&lt;B594)),"Evento anterior à entrada",IF(AND(F594&lt;&gt;"",E594=""),"Conversa sem agendamento",IF(OR(E594&gt;TODAY(),F594&gt;TODAY()),"Verificar evento futuro","OK"))))))</f>
        <v/>
      </c>
    </row>
    <row r="595" spans="9:12">
      <c r="I595" s="5">
        <f>IF(OR(A595="",B595=""),"",B595-WEEKDAY(B595,2)+1)</f>
        <v/>
      </c>
      <c r="J595" s="5">
        <f>IF(I595="","",I595+6)</f>
        <v/>
      </c>
      <c r="K595" s="6">
        <f>IF(OR(A595="",B595=""),"",DATE(YEAR(B595),MONTH(B595),1))</f>
        <v/>
      </c>
      <c r="L595" s="7">
        <f>IF(COUNTA(A595,B595)=0,"",IF(OR(A595="",B595=""),"Preencher CPF e entrada",IF(COUNTIFS($A$12:$A$5011,A595,$B$12:$B$5011,B595)&gt;1,"CPF + dia duplicado",IF(OR(AND(E595&lt;&gt;"",E595&lt;B595),AND(F595&lt;&gt;"",F595&lt;B595)),"Evento anterior à entrada",IF(AND(F595&lt;&gt;"",E595=""),"Conversa sem agendamento",IF(OR(E595&gt;TODAY(),F595&gt;TODAY()),"Verificar evento futuro","OK"))))))</f>
        <v/>
      </c>
    </row>
    <row r="596" spans="9:12">
      <c r="I596" s="5">
        <f>IF(OR(A596="",B596=""),"",B596-WEEKDAY(B596,2)+1)</f>
        <v/>
      </c>
      <c r="J596" s="5">
        <f>IF(I596="","",I596+6)</f>
        <v/>
      </c>
      <c r="K596" s="6">
        <f>IF(OR(A596="",B596=""),"",DATE(YEAR(B596),MONTH(B596),1))</f>
        <v/>
      </c>
      <c r="L596" s="7">
        <f>IF(COUNTA(A596,B596)=0,"",IF(OR(A596="",B596=""),"Preencher CPF e entrada",IF(COUNTIFS($A$12:$A$5011,A596,$B$12:$B$5011,B596)&gt;1,"CPF + dia duplicado",IF(OR(AND(E596&lt;&gt;"",E596&lt;B596),AND(F596&lt;&gt;"",F596&lt;B596)),"Evento anterior à entrada",IF(AND(F596&lt;&gt;"",E596=""),"Conversa sem agendamento",IF(OR(E596&gt;TODAY(),F596&gt;TODAY()),"Verificar evento futuro","OK"))))))</f>
        <v/>
      </c>
    </row>
    <row r="597" spans="9:12">
      <c r="I597" s="5">
        <f>IF(OR(A597="",B597=""),"",B597-WEEKDAY(B597,2)+1)</f>
        <v/>
      </c>
      <c r="J597" s="5">
        <f>IF(I597="","",I597+6)</f>
        <v/>
      </c>
      <c r="K597" s="6">
        <f>IF(OR(A597="",B597=""),"",DATE(YEAR(B597),MONTH(B597),1))</f>
        <v/>
      </c>
      <c r="L597" s="7">
        <f>IF(COUNTA(A597,B597)=0,"",IF(OR(A597="",B597=""),"Preencher CPF e entrada",IF(COUNTIFS($A$12:$A$5011,A597,$B$12:$B$5011,B597)&gt;1,"CPF + dia duplicado",IF(OR(AND(E597&lt;&gt;"",E597&lt;B597),AND(F597&lt;&gt;"",F597&lt;B597)),"Evento anterior à entrada",IF(AND(F597&lt;&gt;"",E597=""),"Conversa sem agendamento",IF(OR(E597&gt;TODAY(),F597&gt;TODAY()),"Verificar evento futuro","OK"))))))</f>
        <v/>
      </c>
    </row>
    <row r="598" spans="9:12">
      <c r="I598" s="5">
        <f>IF(OR(A598="",B598=""),"",B598-WEEKDAY(B598,2)+1)</f>
        <v/>
      </c>
      <c r="J598" s="5">
        <f>IF(I598="","",I598+6)</f>
        <v/>
      </c>
      <c r="K598" s="6">
        <f>IF(OR(A598="",B598=""),"",DATE(YEAR(B598),MONTH(B598),1))</f>
        <v/>
      </c>
      <c r="L598" s="7">
        <f>IF(COUNTA(A598,B598)=0,"",IF(OR(A598="",B598=""),"Preencher CPF e entrada",IF(COUNTIFS($A$12:$A$5011,A598,$B$12:$B$5011,B598)&gt;1,"CPF + dia duplicado",IF(OR(AND(E598&lt;&gt;"",E598&lt;B598),AND(F598&lt;&gt;"",F598&lt;B598)),"Evento anterior à entrada",IF(AND(F598&lt;&gt;"",E598=""),"Conversa sem agendamento",IF(OR(E598&gt;TODAY(),F598&gt;TODAY()),"Verificar evento futuro","OK"))))))</f>
        <v/>
      </c>
    </row>
    <row r="599" spans="9:12">
      <c r="I599" s="5">
        <f>IF(OR(A599="",B599=""),"",B599-WEEKDAY(B599,2)+1)</f>
        <v/>
      </c>
      <c r="J599" s="5">
        <f>IF(I599="","",I599+6)</f>
        <v/>
      </c>
      <c r="K599" s="6">
        <f>IF(OR(A599="",B599=""),"",DATE(YEAR(B599),MONTH(B599),1))</f>
        <v/>
      </c>
      <c r="L599" s="7">
        <f>IF(COUNTA(A599,B599)=0,"",IF(OR(A599="",B599=""),"Preencher CPF e entrada",IF(COUNTIFS($A$12:$A$5011,A599,$B$12:$B$5011,B599)&gt;1,"CPF + dia duplicado",IF(OR(AND(E599&lt;&gt;"",E599&lt;B599),AND(F599&lt;&gt;"",F599&lt;B599)),"Evento anterior à entrada",IF(AND(F599&lt;&gt;"",E599=""),"Conversa sem agendamento",IF(OR(E599&gt;TODAY(),F599&gt;TODAY()),"Verificar evento futuro","OK"))))))</f>
        <v/>
      </c>
    </row>
    <row r="600" spans="9:12">
      <c r="I600" s="5">
        <f>IF(OR(A600="",B600=""),"",B600-WEEKDAY(B600,2)+1)</f>
        <v/>
      </c>
      <c r="J600" s="5">
        <f>IF(I600="","",I600+6)</f>
        <v/>
      </c>
      <c r="K600" s="6">
        <f>IF(OR(A600="",B600=""),"",DATE(YEAR(B600),MONTH(B600),1))</f>
        <v/>
      </c>
      <c r="L600" s="7">
        <f>IF(COUNTA(A600,B600)=0,"",IF(OR(A600="",B600=""),"Preencher CPF e entrada",IF(COUNTIFS($A$12:$A$5011,A600,$B$12:$B$5011,B600)&gt;1,"CPF + dia duplicado",IF(OR(AND(E600&lt;&gt;"",E600&lt;B600),AND(F600&lt;&gt;"",F600&lt;B600)),"Evento anterior à entrada",IF(AND(F600&lt;&gt;"",E600=""),"Conversa sem agendamento",IF(OR(E600&gt;TODAY(),F600&gt;TODAY()),"Verificar evento futuro","OK"))))))</f>
        <v/>
      </c>
    </row>
    <row r="601" spans="9:12">
      <c r="I601" s="5">
        <f>IF(OR(A601="",B601=""),"",B601-WEEKDAY(B601,2)+1)</f>
        <v/>
      </c>
      <c r="J601" s="5">
        <f>IF(I601="","",I601+6)</f>
        <v/>
      </c>
      <c r="K601" s="6">
        <f>IF(OR(A601="",B601=""),"",DATE(YEAR(B601),MONTH(B601),1))</f>
        <v/>
      </c>
      <c r="L601" s="7">
        <f>IF(COUNTA(A601,B601)=0,"",IF(OR(A601="",B601=""),"Preencher CPF e entrada",IF(COUNTIFS($A$12:$A$5011,A601,$B$12:$B$5011,B601)&gt;1,"CPF + dia duplicado",IF(OR(AND(E601&lt;&gt;"",E601&lt;B601),AND(F601&lt;&gt;"",F601&lt;B601)),"Evento anterior à entrada",IF(AND(F601&lt;&gt;"",E601=""),"Conversa sem agendamento",IF(OR(E601&gt;TODAY(),F601&gt;TODAY()),"Verificar evento futuro","OK"))))))</f>
        <v/>
      </c>
    </row>
    <row r="602" spans="9:12">
      <c r="I602" s="5">
        <f>IF(OR(A602="",B602=""),"",B602-WEEKDAY(B602,2)+1)</f>
        <v/>
      </c>
      <c r="J602" s="5">
        <f>IF(I602="","",I602+6)</f>
        <v/>
      </c>
      <c r="K602" s="6">
        <f>IF(OR(A602="",B602=""),"",DATE(YEAR(B602),MONTH(B602),1))</f>
        <v/>
      </c>
      <c r="L602" s="7">
        <f>IF(COUNTA(A602,B602)=0,"",IF(OR(A602="",B602=""),"Preencher CPF e entrada",IF(COUNTIFS($A$12:$A$5011,A602,$B$12:$B$5011,B602)&gt;1,"CPF + dia duplicado",IF(OR(AND(E602&lt;&gt;"",E602&lt;B602),AND(F602&lt;&gt;"",F602&lt;B602)),"Evento anterior à entrada",IF(AND(F602&lt;&gt;"",E602=""),"Conversa sem agendamento",IF(OR(E602&gt;TODAY(),F602&gt;TODAY()),"Verificar evento futuro","OK"))))))</f>
        <v/>
      </c>
    </row>
    <row r="603" spans="9:12">
      <c r="I603" s="5">
        <f>IF(OR(A603="",B603=""),"",B603-WEEKDAY(B603,2)+1)</f>
        <v/>
      </c>
      <c r="J603" s="5">
        <f>IF(I603="","",I603+6)</f>
        <v/>
      </c>
      <c r="K603" s="6">
        <f>IF(OR(A603="",B603=""),"",DATE(YEAR(B603),MONTH(B603),1))</f>
        <v/>
      </c>
      <c r="L603" s="7">
        <f>IF(COUNTA(A603,B603)=0,"",IF(OR(A603="",B603=""),"Preencher CPF e entrada",IF(COUNTIFS($A$12:$A$5011,A603,$B$12:$B$5011,B603)&gt;1,"CPF + dia duplicado",IF(OR(AND(E603&lt;&gt;"",E603&lt;B603),AND(F603&lt;&gt;"",F603&lt;B603)),"Evento anterior à entrada",IF(AND(F603&lt;&gt;"",E603=""),"Conversa sem agendamento",IF(OR(E603&gt;TODAY(),F603&gt;TODAY()),"Verificar evento futuro","OK"))))))</f>
        <v/>
      </c>
    </row>
    <row r="604" spans="9:12">
      <c r="I604" s="5">
        <f>IF(OR(A604="",B604=""),"",B604-WEEKDAY(B604,2)+1)</f>
        <v/>
      </c>
      <c r="J604" s="5">
        <f>IF(I604="","",I604+6)</f>
        <v/>
      </c>
      <c r="K604" s="6">
        <f>IF(OR(A604="",B604=""),"",DATE(YEAR(B604),MONTH(B604),1))</f>
        <v/>
      </c>
      <c r="L604" s="7">
        <f>IF(COUNTA(A604,B604)=0,"",IF(OR(A604="",B604=""),"Preencher CPF e entrada",IF(COUNTIFS($A$12:$A$5011,A604,$B$12:$B$5011,B604)&gt;1,"CPF + dia duplicado",IF(OR(AND(E604&lt;&gt;"",E604&lt;B604),AND(F604&lt;&gt;"",F604&lt;B604)),"Evento anterior à entrada",IF(AND(F604&lt;&gt;"",E604=""),"Conversa sem agendamento",IF(OR(E604&gt;TODAY(),F604&gt;TODAY()),"Verificar evento futuro","OK"))))))</f>
        <v/>
      </c>
    </row>
    <row r="605" spans="9:12">
      <c r="I605" s="5">
        <f>IF(OR(A605="",B605=""),"",B605-WEEKDAY(B605,2)+1)</f>
        <v/>
      </c>
      <c r="J605" s="5">
        <f>IF(I605="","",I605+6)</f>
        <v/>
      </c>
      <c r="K605" s="6">
        <f>IF(OR(A605="",B605=""),"",DATE(YEAR(B605),MONTH(B605),1))</f>
        <v/>
      </c>
      <c r="L605" s="7">
        <f>IF(COUNTA(A605,B605)=0,"",IF(OR(A605="",B605=""),"Preencher CPF e entrada",IF(COUNTIFS($A$12:$A$5011,A605,$B$12:$B$5011,B605)&gt;1,"CPF + dia duplicado",IF(OR(AND(E605&lt;&gt;"",E605&lt;B605),AND(F605&lt;&gt;"",F605&lt;B605)),"Evento anterior à entrada",IF(AND(F605&lt;&gt;"",E605=""),"Conversa sem agendamento",IF(OR(E605&gt;TODAY(),F605&gt;TODAY()),"Verificar evento futuro","OK"))))))</f>
        <v/>
      </c>
    </row>
    <row r="606" spans="9:12">
      <c r="I606" s="5">
        <f>IF(OR(A606="",B606=""),"",B606-WEEKDAY(B606,2)+1)</f>
        <v/>
      </c>
      <c r="J606" s="5">
        <f>IF(I606="","",I606+6)</f>
        <v/>
      </c>
      <c r="K606" s="6">
        <f>IF(OR(A606="",B606=""),"",DATE(YEAR(B606),MONTH(B606),1))</f>
        <v/>
      </c>
      <c r="L606" s="7">
        <f>IF(COUNTA(A606,B606)=0,"",IF(OR(A606="",B606=""),"Preencher CPF e entrada",IF(COUNTIFS($A$12:$A$5011,A606,$B$12:$B$5011,B606)&gt;1,"CPF + dia duplicado",IF(OR(AND(E606&lt;&gt;"",E606&lt;B606),AND(F606&lt;&gt;"",F606&lt;B606)),"Evento anterior à entrada",IF(AND(F606&lt;&gt;"",E606=""),"Conversa sem agendamento",IF(OR(E606&gt;TODAY(),F606&gt;TODAY()),"Verificar evento futuro","OK"))))))</f>
        <v/>
      </c>
    </row>
    <row r="607" spans="9:12">
      <c r="I607" s="5">
        <f>IF(OR(A607="",B607=""),"",B607-WEEKDAY(B607,2)+1)</f>
        <v/>
      </c>
      <c r="J607" s="5">
        <f>IF(I607="","",I607+6)</f>
        <v/>
      </c>
      <c r="K607" s="6">
        <f>IF(OR(A607="",B607=""),"",DATE(YEAR(B607),MONTH(B607),1))</f>
        <v/>
      </c>
      <c r="L607" s="7">
        <f>IF(COUNTA(A607,B607)=0,"",IF(OR(A607="",B607=""),"Preencher CPF e entrada",IF(COUNTIFS($A$12:$A$5011,A607,$B$12:$B$5011,B607)&gt;1,"CPF + dia duplicado",IF(OR(AND(E607&lt;&gt;"",E607&lt;B607),AND(F607&lt;&gt;"",F607&lt;B607)),"Evento anterior à entrada",IF(AND(F607&lt;&gt;"",E607=""),"Conversa sem agendamento",IF(OR(E607&gt;TODAY(),F607&gt;TODAY()),"Verificar evento futuro","OK"))))))</f>
        <v/>
      </c>
    </row>
    <row r="608" spans="9:12">
      <c r="I608" s="5">
        <f>IF(OR(A608="",B608=""),"",B608-WEEKDAY(B608,2)+1)</f>
        <v/>
      </c>
      <c r="J608" s="5">
        <f>IF(I608="","",I608+6)</f>
        <v/>
      </c>
      <c r="K608" s="6">
        <f>IF(OR(A608="",B608=""),"",DATE(YEAR(B608),MONTH(B608),1))</f>
        <v/>
      </c>
      <c r="L608" s="7">
        <f>IF(COUNTA(A608,B608)=0,"",IF(OR(A608="",B608=""),"Preencher CPF e entrada",IF(COUNTIFS($A$12:$A$5011,A608,$B$12:$B$5011,B608)&gt;1,"CPF + dia duplicado",IF(OR(AND(E608&lt;&gt;"",E608&lt;B608),AND(F608&lt;&gt;"",F608&lt;B608)),"Evento anterior à entrada",IF(AND(F608&lt;&gt;"",E608=""),"Conversa sem agendamento",IF(OR(E608&gt;TODAY(),F608&gt;TODAY()),"Verificar evento futuro","OK"))))))</f>
        <v/>
      </c>
    </row>
    <row r="609" spans="9:12">
      <c r="I609" s="5">
        <f>IF(OR(A609="",B609=""),"",B609-WEEKDAY(B609,2)+1)</f>
        <v/>
      </c>
      <c r="J609" s="5">
        <f>IF(I609="","",I609+6)</f>
        <v/>
      </c>
      <c r="K609" s="6">
        <f>IF(OR(A609="",B609=""),"",DATE(YEAR(B609),MONTH(B609),1))</f>
        <v/>
      </c>
      <c r="L609" s="7">
        <f>IF(COUNTA(A609,B609)=0,"",IF(OR(A609="",B609=""),"Preencher CPF e entrada",IF(COUNTIFS($A$12:$A$5011,A609,$B$12:$B$5011,B609)&gt;1,"CPF + dia duplicado",IF(OR(AND(E609&lt;&gt;"",E609&lt;B609),AND(F609&lt;&gt;"",F609&lt;B609)),"Evento anterior à entrada",IF(AND(F609&lt;&gt;"",E609=""),"Conversa sem agendamento",IF(OR(E609&gt;TODAY(),F609&gt;TODAY()),"Verificar evento futuro","OK"))))))</f>
        <v/>
      </c>
    </row>
    <row r="610" spans="9:12">
      <c r="I610" s="5">
        <f>IF(OR(A610="",B610=""),"",B610-WEEKDAY(B610,2)+1)</f>
        <v/>
      </c>
      <c r="J610" s="5">
        <f>IF(I610="","",I610+6)</f>
        <v/>
      </c>
      <c r="K610" s="6">
        <f>IF(OR(A610="",B610=""),"",DATE(YEAR(B610),MONTH(B610),1))</f>
        <v/>
      </c>
      <c r="L610" s="7">
        <f>IF(COUNTA(A610,B610)=0,"",IF(OR(A610="",B610=""),"Preencher CPF e entrada",IF(COUNTIFS($A$12:$A$5011,A610,$B$12:$B$5011,B610)&gt;1,"CPF + dia duplicado",IF(OR(AND(E610&lt;&gt;"",E610&lt;B610),AND(F610&lt;&gt;"",F610&lt;B610)),"Evento anterior à entrada",IF(AND(F610&lt;&gt;"",E610=""),"Conversa sem agendamento",IF(OR(E610&gt;TODAY(),F610&gt;TODAY()),"Verificar evento futuro","OK"))))))</f>
        <v/>
      </c>
    </row>
    <row r="611" spans="9:12">
      <c r="I611" s="5">
        <f>IF(OR(A611="",B611=""),"",B611-WEEKDAY(B611,2)+1)</f>
        <v/>
      </c>
      <c r="J611" s="5">
        <f>IF(I611="","",I611+6)</f>
        <v/>
      </c>
      <c r="K611" s="6">
        <f>IF(OR(A611="",B611=""),"",DATE(YEAR(B611),MONTH(B611),1))</f>
        <v/>
      </c>
      <c r="L611" s="7">
        <f>IF(COUNTA(A611,B611)=0,"",IF(OR(A611="",B611=""),"Preencher CPF e entrada",IF(COUNTIFS($A$12:$A$5011,A611,$B$12:$B$5011,B611)&gt;1,"CPF + dia duplicado",IF(OR(AND(E611&lt;&gt;"",E611&lt;B611),AND(F611&lt;&gt;"",F611&lt;B611)),"Evento anterior à entrada",IF(AND(F611&lt;&gt;"",E611=""),"Conversa sem agendamento",IF(OR(E611&gt;TODAY(),F611&gt;TODAY()),"Verificar evento futuro","OK"))))))</f>
        <v/>
      </c>
    </row>
    <row r="612" spans="9:12">
      <c r="I612" s="5">
        <f>IF(OR(A612="",B612=""),"",B612-WEEKDAY(B612,2)+1)</f>
        <v/>
      </c>
      <c r="J612" s="5">
        <f>IF(I612="","",I612+6)</f>
        <v/>
      </c>
      <c r="K612" s="6">
        <f>IF(OR(A612="",B612=""),"",DATE(YEAR(B612),MONTH(B612),1))</f>
        <v/>
      </c>
      <c r="L612" s="7">
        <f>IF(COUNTA(A612,B612)=0,"",IF(OR(A612="",B612=""),"Preencher CPF e entrada",IF(COUNTIFS($A$12:$A$5011,A612,$B$12:$B$5011,B612)&gt;1,"CPF + dia duplicado",IF(OR(AND(E612&lt;&gt;"",E612&lt;B612),AND(F612&lt;&gt;"",F612&lt;B612)),"Evento anterior à entrada",IF(AND(F612&lt;&gt;"",E612=""),"Conversa sem agendamento",IF(OR(E612&gt;TODAY(),F612&gt;TODAY()),"Verificar evento futuro","OK"))))))</f>
        <v/>
      </c>
    </row>
    <row r="613" spans="9:12">
      <c r="I613" s="5">
        <f>IF(OR(A613="",B613=""),"",B613-WEEKDAY(B613,2)+1)</f>
        <v/>
      </c>
      <c r="J613" s="5">
        <f>IF(I613="","",I613+6)</f>
        <v/>
      </c>
      <c r="K613" s="6">
        <f>IF(OR(A613="",B613=""),"",DATE(YEAR(B613),MONTH(B613),1))</f>
        <v/>
      </c>
      <c r="L613" s="7">
        <f>IF(COUNTA(A613,B613)=0,"",IF(OR(A613="",B613=""),"Preencher CPF e entrada",IF(COUNTIFS($A$12:$A$5011,A613,$B$12:$B$5011,B613)&gt;1,"CPF + dia duplicado",IF(OR(AND(E613&lt;&gt;"",E613&lt;B613),AND(F613&lt;&gt;"",F613&lt;B613)),"Evento anterior à entrada",IF(AND(F613&lt;&gt;"",E613=""),"Conversa sem agendamento",IF(OR(E613&gt;TODAY(),F613&gt;TODAY()),"Verificar evento futuro","OK"))))))</f>
        <v/>
      </c>
    </row>
    <row r="614" spans="9:12">
      <c r="I614" s="5">
        <f>IF(OR(A614="",B614=""),"",B614-WEEKDAY(B614,2)+1)</f>
        <v/>
      </c>
      <c r="J614" s="5">
        <f>IF(I614="","",I614+6)</f>
        <v/>
      </c>
      <c r="K614" s="6">
        <f>IF(OR(A614="",B614=""),"",DATE(YEAR(B614),MONTH(B614),1))</f>
        <v/>
      </c>
      <c r="L614" s="7">
        <f>IF(COUNTA(A614,B614)=0,"",IF(OR(A614="",B614=""),"Preencher CPF e entrada",IF(COUNTIFS($A$12:$A$5011,A614,$B$12:$B$5011,B614)&gt;1,"CPF + dia duplicado",IF(OR(AND(E614&lt;&gt;"",E614&lt;B614),AND(F614&lt;&gt;"",F614&lt;B614)),"Evento anterior à entrada",IF(AND(F614&lt;&gt;"",E614=""),"Conversa sem agendamento",IF(OR(E614&gt;TODAY(),F614&gt;TODAY()),"Verificar evento futuro","OK"))))))</f>
        <v/>
      </c>
    </row>
    <row r="615" spans="9:12">
      <c r="I615" s="5">
        <f>IF(OR(A615="",B615=""),"",B615-WEEKDAY(B615,2)+1)</f>
        <v/>
      </c>
      <c r="J615" s="5">
        <f>IF(I615="","",I615+6)</f>
        <v/>
      </c>
      <c r="K615" s="6">
        <f>IF(OR(A615="",B615=""),"",DATE(YEAR(B615),MONTH(B615),1))</f>
        <v/>
      </c>
      <c r="L615" s="7">
        <f>IF(COUNTA(A615,B615)=0,"",IF(OR(A615="",B615=""),"Preencher CPF e entrada",IF(COUNTIFS($A$12:$A$5011,A615,$B$12:$B$5011,B615)&gt;1,"CPF + dia duplicado",IF(OR(AND(E615&lt;&gt;"",E615&lt;B615),AND(F615&lt;&gt;"",F615&lt;B615)),"Evento anterior à entrada",IF(AND(F615&lt;&gt;"",E615=""),"Conversa sem agendamento",IF(OR(E615&gt;TODAY(),F615&gt;TODAY()),"Verificar evento futuro","OK"))))))</f>
        <v/>
      </c>
    </row>
    <row r="616" spans="9:12">
      <c r="I616" s="5">
        <f>IF(OR(A616="",B616=""),"",B616-WEEKDAY(B616,2)+1)</f>
        <v/>
      </c>
      <c r="J616" s="5">
        <f>IF(I616="","",I616+6)</f>
        <v/>
      </c>
      <c r="K616" s="6">
        <f>IF(OR(A616="",B616=""),"",DATE(YEAR(B616),MONTH(B616),1))</f>
        <v/>
      </c>
      <c r="L616" s="7">
        <f>IF(COUNTA(A616,B616)=0,"",IF(OR(A616="",B616=""),"Preencher CPF e entrada",IF(COUNTIFS($A$12:$A$5011,A616,$B$12:$B$5011,B616)&gt;1,"CPF + dia duplicado",IF(OR(AND(E616&lt;&gt;"",E616&lt;B616),AND(F616&lt;&gt;"",F616&lt;B616)),"Evento anterior à entrada",IF(AND(F616&lt;&gt;"",E616=""),"Conversa sem agendamento",IF(OR(E616&gt;TODAY(),F616&gt;TODAY()),"Verificar evento futuro","OK"))))))</f>
        <v/>
      </c>
    </row>
    <row r="617" spans="9:12">
      <c r="I617" s="5">
        <f>IF(OR(A617="",B617=""),"",B617-WEEKDAY(B617,2)+1)</f>
        <v/>
      </c>
      <c r="J617" s="5">
        <f>IF(I617="","",I617+6)</f>
        <v/>
      </c>
      <c r="K617" s="6">
        <f>IF(OR(A617="",B617=""),"",DATE(YEAR(B617),MONTH(B617),1))</f>
        <v/>
      </c>
      <c r="L617" s="7">
        <f>IF(COUNTA(A617,B617)=0,"",IF(OR(A617="",B617=""),"Preencher CPF e entrada",IF(COUNTIFS($A$12:$A$5011,A617,$B$12:$B$5011,B617)&gt;1,"CPF + dia duplicado",IF(OR(AND(E617&lt;&gt;"",E617&lt;B617),AND(F617&lt;&gt;"",F617&lt;B617)),"Evento anterior à entrada",IF(AND(F617&lt;&gt;"",E617=""),"Conversa sem agendamento",IF(OR(E617&gt;TODAY(),F617&gt;TODAY()),"Verificar evento futuro","OK"))))))</f>
        <v/>
      </c>
    </row>
    <row r="618" spans="9:12">
      <c r="I618" s="5">
        <f>IF(OR(A618="",B618=""),"",B618-WEEKDAY(B618,2)+1)</f>
        <v/>
      </c>
      <c r="J618" s="5">
        <f>IF(I618="","",I618+6)</f>
        <v/>
      </c>
      <c r="K618" s="6">
        <f>IF(OR(A618="",B618=""),"",DATE(YEAR(B618),MONTH(B618),1))</f>
        <v/>
      </c>
      <c r="L618" s="7">
        <f>IF(COUNTA(A618,B618)=0,"",IF(OR(A618="",B618=""),"Preencher CPF e entrada",IF(COUNTIFS($A$12:$A$5011,A618,$B$12:$B$5011,B618)&gt;1,"CPF + dia duplicado",IF(OR(AND(E618&lt;&gt;"",E618&lt;B618),AND(F618&lt;&gt;"",F618&lt;B618)),"Evento anterior à entrada",IF(AND(F618&lt;&gt;"",E618=""),"Conversa sem agendamento",IF(OR(E618&gt;TODAY(),F618&gt;TODAY()),"Verificar evento futuro","OK"))))))</f>
        <v/>
      </c>
    </row>
    <row r="619" spans="9:12">
      <c r="I619" s="5">
        <f>IF(OR(A619="",B619=""),"",B619-WEEKDAY(B619,2)+1)</f>
        <v/>
      </c>
      <c r="J619" s="5">
        <f>IF(I619="","",I619+6)</f>
        <v/>
      </c>
      <c r="K619" s="6">
        <f>IF(OR(A619="",B619=""),"",DATE(YEAR(B619),MONTH(B619),1))</f>
        <v/>
      </c>
      <c r="L619" s="7">
        <f>IF(COUNTA(A619,B619)=0,"",IF(OR(A619="",B619=""),"Preencher CPF e entrada",IF(COUNTIFS($A$12:$A$5011,A619,$B$12:$B$5011,B619)&gt;1,"CPF + dia duplicado",IF(OR(AND(E619&lt;&gt;"",E619&lt;B619),AND(F619&lt;&gt;"",F619&lt;B619)),"Evento anterior à entrada",IF(AND(F619&lt;&gt;"",E619=""),"Conversa sem agendamento",IF(OR(E619&gt;TODAY(),F619&gt;TODAY()),"Verificar evento futuro","OK"))))))</f>
        <v/>
      </c>
    </row>
    <row r="620" spans="9:12">
      <c r="I620" s="5">
        <f>IF(OR(A620="",B620=""),"",B620-WEEKDAY(B620,2)+1)</f>
        <v/>
      </c>
      <c r="J620" s="5">
        <f>IF(I620="","",I620+6)</f>
        <v/>
      </c>
      <c r="K620" s="6">
        <f>IF(OR(A620="",B620=""),"",DATE(YEAR(B620),MONTH(B620),1))</f>
        <v/>
      </c>
      <c r="L620" s="7">
        <f>IF(COUNTA(A620,B620)=0,"",IF(OR(A620="",B620=""),"Preencher CPF e entrada",IF(COUNTIFS($A$12:$A$5011,A620,$B$12:$B$5011,B620)&gt;1,"CPF + dia duplicado",IF(OR(AND(E620&lt;&gt;"",E620&lt;B620),AND(F620&lt;&gt;"",F620&lt;B620)),"Evento anterior à entrada",IF(AND(F620&lt;&gt;"",E620=""),"Conversa sem agendamento",IF(OR(E620&gt;TODAY(),F620&gt;TODAY()),"Verificar evento futuro","OK"))))))</f>
        <v/>
      </c>
    </row>
    <row r="621" spans="9:12">
      <c r="I621" s="5">
        <f>IF(OR(A621="",B621=""),"",B621-WEEKDAY(B621,2)+1)</f>
        <v/>
      </c>
      <c r="J621" s="5">
        <f>IF(I621="","",I621+6)</f>
        <v/>
      </c>
      <c r="K621" s="6">
        <f>IF(OR(A621="",B621=""),"",DATE(YEAR(B621),MONTH(B621),1))</f>
        <v/>
      </c>
      <c r="L621" s="7">
        <f>IF(COUNTA(A621,B621)=0,"",IF(OR(A621="",B621=""),"Preencher CPF e entrada",IF(COUNTIFS($A$12:$A$5011,A621,$B$12:$B$5011,B621)&gt;1,"CPF + dia duplicado",IF(OR(AND(E621&lt;&gt;"",E621&lt;B621),AND(F621&lt;&gt;"",F621&lt;B621)),"Evento anterior à entrada",IF(AND(F621&lt;&gt;"",E621=""),"Conversa sem agendamento",IF(OR(E621&gt;TODAY(),F621&gt;TODAY()),"Verificar evento futuro","OK"))))))</f>
        <v/>
      </c>
    </row>
    <row r="622" spans="9:12">
      <c r="I622" s="5">
        <f>IF(OR(A622="",B622=""),"",B622-WEEKDAY(B622,2)+1)</f>
        <v/>
      </c>
      <c r="J622" s="5">
        <f>IF(I622="","",I622+6)</f>
        <v/>
      </c>
      <c r="K622" s="6">
        <f>IF(OR(A622="",B622=""),"",DATE(YEAR(B622),MONTH(B622),1))</f>
        <v/>
      </c>
      <c r="L622" s="7">
        <f>IF(COUNTA(A622,B622)=0,"",IF(OR(A622="",B622=""),"Preencher CPF e entrada",IF(COUNTIFS($A$12:$A$5011,A622,$B$12:$B$5011,B622)&gt;1,"CPF + dia duplicado",IF(OR(AND(E622&lt;&gt;"",E622&lt;B622),AND(F622&lt;&gt;"",F622&lt;B622)),"Evento anterior à entrada",IF(AND(F622&lt;&gt;"",E622=""),"Conversa sem agendamento",IF(OR(E622&gt;TODAY(),F622&gt;TODAY()),"Verificar evento futuro","OK"))))))</f>
        <v/>
      </c>
    </row>
    <row r="623" spans="9:12">
      <c r="I623" s="5">
        <f>IF(OR(A623="",B623=""),"",B623-WEEKDAY(B623,2)+1)</f>
        <v/>
      </c>
      <c r="J623" s="5">
        <f>IF(I623="","",I623+6)</f>
        <v/>
      </c>
      <c r="K623" s="6">
        <f>IF(OR(A623="",B623=""),"",DATE(YEAR(B623),MONTH(B623),1))</f>
        <v/>
      </c>
      <c r="L623" s="7">
        <f>IF(COUNTA(A623,B623)=0,"",IF(OR(A623="",B623=""),"Preencher CPF e entrada",IF(COUNTIFS($A$12:$A$5011,A623,$B$12:$B$5011,B623)&gt;1,"CPF + dia duplicado",IF(OR(AND(E623&lt;&gt;"",E623&lt;B623),AND(F623&lt;&gt;"",F623&lt;B623)),"Evento anterior à entrada",IF(AND(F623&lt;&gt;"",E623=""),"Conversa sem agendamento",IF(OR(E623&gt;TODAY(),F623&gt;TODAY()),"Verificar evento futuro","OK"))))))</f>
        <v/>
      </c>
    </row>
    <row r="624" spans="9:12">
      <c r="I624" s="5">
        <f>IF(OR(A624="",B624=""),"",B624-WEEKDAY(B624,2)+1)</f>
        <v/>
      </c>
      <c r="J624" s="5">
        <f>IF(I624="","",I624+6)</f>
        <v/>
      </c>
      <c r="K624" s="6">
        <f>IF(OR(A624="",B624=""),"",DATE(YEAR(B624),MONTH(B624),1))</f>
        <v/>
      </c>
      <c r="L624" s="7">
        <f>IF(COUNTA(A624,B624)=0,"",IF(OR(A624="",B624=""),"Preencher CPF e entrada",IF(COUNTIFS($A$12:$A$5011,A624,$B$12:$B$5011,B624)&gt;1,"CPF + dia duplicado",IF(OR(AND(E624&lt;&gt;"",E624&lt;B624),AND(F624&lt;&gt;"",F624&lt;B624)),"Evento anterior à entrada",IF(AND(F624&lt;&gt;"",E624=""),"Conversa sem agendamento",IF(OR(E624&gt;TODAY(),F624&gt;TODAY()),"Verificar evento futuro","OK"))))))</f>
        <v/>
      </c>
    </row>
    <row r="625" spans="9:12">
      <c r="I625" s="5">
        <f>IF(OR(A625="",B625=""),"",B625-WEEKDAY(B625,2)+1)</f>
        <v/>
      </c>
      <c r="J625" s="5">
        <f>IF(I625="","",I625+6)</f>
        <v/>
      </c>
      <c r="K625" s="6">
        <f>IF(OR(A625="",B625=""),"",DATE(YEAR(B625),MONTH(B625),1))</f>
        <v/>
      </c>
      <c r="L625" s="7">
        <f>IF(COUNTA(A625,B625)=0,"",IF(OR(A625="",B625=""),"Preencher CPF e entrada",IF(COUNTIFS($A$12:$A$5011,A625,$B$12:$B$5011,B625)&gt;1,"CPF + dia duplicado",IF(OR(AND(E625&lt;&gt;"",E625&lt;B625),AND(F625&lt;&gt;"",F625&lt;B625)),"Evento anterior à entrada",IF(AND(F625&lt;&gt;"",E625=""),"Conversa sem agendamento",IF(OR(E625&gt;TODAY(),F625&gt;TODAY()),"Verificar evento futuro","OK"))))))</f>
        <v/>
      </c>
    </row>
    <row r="626" spans="9:12">
      <c r="I626" s="5">
        <f>IF(OR(A626="",B626=""),"",B626-WEEKDAY(B626,2)+1)</f>
        <v/>
      </c>
      <c r="J626" s="5">
        <f>IF(I626="","",I626+6)</f>
        <v/>
      </c>
      <c r="K626" s="6">
        <f>IF(OR(A626="",B626=""),"",DATE(YEAR(B626),MONTH(B626),1))</f>
        <v/>
      </c>
      <c r="L626" s="7">
        <f>IF(COUNTA(A626,B626)=0,"",IF(OR(A626="",B626=""),"Preencher CPF e entrada",IF(COUNTIFS($A$12:$A$5011,A626,$B$12:$B$5011,B626)&gt;1,"CPF + dia duplicado",IF(OR(AND(E626&lt;&gt;"",E626&lt;B626),AND(F626&lt;&gt;"",F626&lt;B626)),"Evento anterior à entrada",IF(AND(F626&lt;&gt;"",E626=""),"Conversa sem agendamento",IF(OR(E626&gt;TODAY(),F626&gt;TODAY()),"Verificar evento futuro","OK"))))))</f>
        <v/>
      </c>
    </row>
    <row r="627" spans="9:12">
      <c r="I627" s="5">
        <f>IF(OR(A627="",B627=""),"",B627-WEEKDAY(B627,2)+1)</f>
        <v/>
      </c>
      <c r="J627" s="5">
        <f>IF(I627="","",I627+6)</f>
        <v/>
      </c>
      <c r="K627" s="6">
        <f>IF(OR(A627="",B627=""),"",DATE(YEAR(B627),MONTH(B627),1))</f>
        <v/>
      </c>
      <c r="L627" s="7">
        <f>IF(COUNTA(A627,B627)=0,"",IF(OR(A627="",B627=""),"Preencher CPF e entrada",IF(COUNTIFS($A$12:$A$5011,A627,$B$12:$B$5011,B627)&gt;1,"CPF + dia duplicado",IF(OR(AND(E627&lt;&gt;"",E627&lt;B627),AND(F627&lt;&gt;"",F627&lt;B627)),"Evento anterior à entrada",IF(AND(F627&lt;&gt;"",E627=""),"Conversa sem agendamento",IF(OR(E627&gt;TODAY(),F627&gt;TODAY()),"Verificar evento futuro","OK"))))))</f>
        <v/>
      </c>
    </row>
    <row r="628" spans="9:12">
      <c r="I628" s="5">
        <f>IF(OR(A628="",B628=""),"",B628-WEEKDAY(B628,2)+1)</f>
        <v/>
      </c>
      <c r="J628" s="5">
        <f>IF(I628="","",I628+6)</f>
        <v/>
      </c>
      <c r="K628" s="6">
        <f>IF(OR(A628="",B628=""),"",DATE(YEAR(B628),MONTH(B628),1))</f>
        <v/>
      </c>
      <c r="L628" s="7">
        <f>IF(COUNTA(A628,B628)=0,"",IF(OR(A628="",B628=""),"Preencher CPF e entrada",IF(COUNTIFS($A$12:$A$5011,A628,$B$12:$B$5011,B628)&gt;1,"CPF + dia duplicado",IF(OR(AND(E628&lt;&gt;"",E628&lt;B628),AND(F628&lt;&gt;"",F628&lt;B628)),"Evento anterior à entrada",IF(AND(F628&lt;&gt;"",E628=""),"Conversa sem agendamento",IF(OR(E628&gt;TODAY(),F628&gt;TODAY()),"Verificar evento futuro","OK"))))))</f>
        <v/>
      </c>
    </row>
    <row r="629" spans="9:12">
      <c r="I629" s="5">
        <f>IF(OR(A629="",B629=""),"",B629-WEEKDAY(B629,2)+1)</f>
        <v/>
      </c>
      <c r="J629" s="5">
        <f>IF(I629="","",I629+6)</f>
        <v/>
      </c>
      <c r="K629" s="6">
        <f>IF(OR(A629="",B629=""),"",DATE(YEAR(B629),MONTH(B629),1))</f>
        <v/>
      </c>
      <c r="L629" s="7">
        <f>IF(COUNTA(A629,B629)=0,"",IF(OR(A629="",B629=""),"Preencher CPF e entrada",IF(COUNTIFS($A$12:$A$5011,A629,$B$12:$B$5011,B629)&gt;1,"CPF + dia duplicado",IF(OR(AND(E629&lt;&gt;"",E629&lt;B629),AND(F629&lt;&gt;"",F629&lt;B629)),"Evento anterior à entrada",IF(AND(F629&lt;&gt;"",E629=""),"Conversa sem agendamento",IF(OR(E629&gt;TODAY(),F629&gt;TODAY()),"Verificar evento futuro","OK"))))))</f>
        <v/>
      </c>
    </row>
    <row r="630" spans="9:12">
      <c r="I630" s="5">
        <f>IF(OR(A630="",B630=""),"",B630-WEEKDAY(B630,2)+1)</f>
        <v/>
      </c>
      <c r="J630" s="5">
        <f>IF(I630="","",I630+6)</f>
        <v/>
      </c>
      <c r="K630" s="6">
        <f>IF(OR(A630="",B630=""),"",DATE(YEAR(B630),MONTH(B630),1))</f>
        <v/>
      </c>
      <c r="L630" s="7">
        <f>IF(COUNTA(A630,B630)=0,"",IF(OR(A630="",B630=""),"Preencher CPF e entrada",IF(COUNTIFS($A$12:$A$5011,A630,$B$12:$B$5011,B630)&gt;1,"CPF + dia duplicado",IF(OR(AND(E630&lt;&gt;"",E630&lt;B630),AND(F630&lt;&gt;"",F630&lt;B630)),"Evento anterior à entrada",IF(AND(F630&lt;&gt;"",E630=""),"Conversa sem agendamento",IF(OR(E630&gt;TODAY(),F630&gt;TODAY()),"Verificar evento futuro","OK"))))))</f>
        <v/>
      </c>
    </row>
    <row r="631" spans="9:12">
      <c r="I631" s="5">
        <f>IF(OR(A631="",B631=""),"",B631-WEEKDAY(B631,2)+1)</f>
        <v/>
      </c>
      <c r="J631" s="5">
        <f>IF(I631="","",I631+6)</f>
        <v/>
      </c>
      <c r="K631" s="6">
        <f>IF(OR(A631="",B631=""),"",DATE(YEAR(B631),MONTH(B631),1))</f>
        <v/>
      </c>
      <c r="L631" s="7">
        <f>IF(COUNTA(A631,B631)=0,"",IF(OR(A631="",B631=""),"Preencher CPF e entrada",IF(COUNTIFS($A$12:$A$5011,A631,$B$12:$B$5011,B631)&gt;1,"CPF + dia duplicado",IF(OR(AND(E631&lt;&gt;"",E631&lt;B631),AND(F631&lt;&gt;"",F631&lt;B631)),"Evento anterior à entrada",IF(AND(F631&lt;&gt;"",E631=""),"Conversa sem agendamento",IF(OR(E631&gt;TODAY(),F631&gt;TODAY()),"Verificar evento futuro","OK"))))))</f>
        <v/>
      </c>
    </row>
    <row r="632" spans="9:12">
      <c r="I632" s="5">
        <f>IF(OR(A632="",B632=""),"",B632-WEEKDAY(B632,2)+1)</f>
        <v/>
      </c>
      <c r="J632" s="5">
        <f>IF(I632="","",I632+6)</f>
        <v/>
      </c>
      <c r="K632" s="6">
        <f>IF(OR(A632="",B632=""),"",DATE(YEAR(B632),MONTH(B632),1))</f>
        <v/>
      </c>
      <c r="L632" s="7">
        <f>IF(COUNTA(A632,B632)=0,"",IF(OR(A632="",B632=""),"Preencher CPF e entrada",IF(COUNTIFS($A$12:$A$5011,A632,$B$12:$B$5011,B632)&gt;1,"CPF + dia duplicado",IF(OR(AND(E632&lt;&gt;"",E632&lt;B632),AND(F632&lt;&gt;"",F632&lt;B632)),"Evento anterior à entrada",IF(AND(F632&lt;&gt;"",E632=""),"Conversa sem agendamento",IF(OR(E632&gt;TODAY(),F632&gt;TODAY()),"Verificar evento futuro","OK"))))))</f>
        <v/>
      </c>
    </row>
    <row r="633" spans="9:12">
      <c r="I633" s="5">
        <f>IF(OR(A633="",B633=""),"",B633-WEEKDAY(B633,2)+1)</f>
        <v/>
      </c>
      <c r="J633" s="5">
        <f>IF(I633="","",I633+6)</f>
        <v/>
      </c>
      <c r="K633" s="6">
        <f>IF(OR(A633="",B633=""),"",DATE(YEAR(B633),MONTH(B633),1))</f>
        <v/>
      </c>
      <c r="L633" s="7">
        <f>IF(COUNTA(A633,B633)=0,"",IF(OR(A633="",B633=""),"Preencher CPF e entrada",IF(COUNTIFS($A$12:$A$5011,A633,$B$12:$B$5011,B633)&gt;1,"CPF + dia duplicado",IF(OR(AND(E633&lt;&gt;"",E633&lt;B633),AND(F633&lt;&gt;"",F633&lt;B633)),"Evento anterior à entrada",IF(AND(F633&lt;&gt;"",E633=""),"Conversa sem agendamento",IF(OR(E633&gt;TODAY(),F633&gt;TODAY()),"Verificar evento futuro","OK"))))))</f>
        <v/>
      </c>
    </row>
    <row r="634" spans="9:12">
      <c r="I634" s="5">
        <f>IF(OR(A634="",B634=""),"",B634-WEEKDAY(B634,2)+1)</f>
        <v/>
      </c>
      <c r="J634" s="5">
        <f>IF(I634="","",I634+6)</f>
        <v/>
      </c>
      <c r="K634" s="6">
        <f>IF(OR(A634="",B634=""),"",DATE(YEAR(B634),MONTH(B634),1))</f>
        <v/>
      </c>
      <c r="L634" s="7">
        <f>IF(COUNTA(A634,B634)=0,"",IF(OR(A634="",B634=""),"Preencher CPF e entrada",IF(COUNTIFS($A$12:$A$5011,A634,$B$12:$B$5011,B634)&gt;1,"CPF + dia duplicado",IF(OR(AND(E634&lt;&gt;"",E634&lt;B634),AND(F634&lt;&gt;"",F634&lt;B634)),"Evento anterior à entrada",IF(AND(F634&lt;&gt;"",E634=""),"Conversa sem agendamento",IF(OR(E634&gt;TODAY(),F634&gt;TODAY()),"Verificar evento futuro","OK"))))))</f>
        <v/>
      </c>
    </row>
    <row r="635" spans="9:12">
      <c r="I635" s="5">
        <f>IF(OR(A635="",B635=""),"",B635-WEEKDAY(B635,2)+1)</f>
        <v/>
      </c>
      <c r="J635" s="5">
        <f>IF(I635="","",I635+6)</f>
        <v/>
      </c>
      <c r="K635" s="6">
        <f>IF(OR(A635="",B635=""),"",DATE(YEAR(B635),MONTH(B635),1))</f>
        <v/>
      </c>
      <c r="L635" s="7">
        <f>IF(COUNTA(A635,B635)=0,"",IF(OR(A635="",B635=""),"Preencher CPF e entrada",IF(COUNTIFS($A$12:$A$5011,A635,$B$12:$B$5011,B635)&gt;1,"CPF + dia duplicado",IF(OR(AND(E635&lt;&gt;"",E635&lt;B635),AND(F635&lt;&gt;"",F635&lt;B635)),"Evento anterior à entrada",IF(AND(F635&lt;&gt;"",E635=""),"Conversa sem agendamento",IF(OR(E635&gt;TODAY(),F635&gt;TODAY()),"Verificar evento futuro","OK"))))))</f>
        <v/>
      </c>
    </row>
    <row r="636" spans="9:12">
      <c r="I636" s="5">
        <f>IF(OR(A636="",B636=""),"",B636-WEEKDAY(B636,2)+1)</f>
        <v/>
      </c>
      <c r="J636" s="5">
        <f>IF(I636="","",I636+6)</f>
        <v/>
      </c>
      <c r="K636" s="6">
        <f>IF(OR(A636="",B636=""),"",DATE(YEAR(B636),MONTH(B636),1))</f>
        <v/>
      </c>
      <c r="L636" s="7">
        <f>IF(COUNTA(A636,B636)=0,"",IF(OR(A636="",B636=""),"Preencher CPF e entrada",IF(COUNTIFS($A$12:$A$5011,A636,$B$12:$B$5011,B636)&gt;1,"CPF + dia duplicado",IF(OR(AND(E636&lt;&gt;"",E636&lt;B636),AND(F636&lt;&gt;"",F636&lt;B636)),"Evento anterior à entrada",IF(AND(F636&lt;&gt;"",E636=""),"Conversa sem agendamento",IF(OR(E636&gt;TODAY(),F636&gt;TODAY()),"Verificar evento futuro","OK"))))))</f>
        <v/>
      </c>
    </row>
    <row r="637" spans="9:12">
      <c r="I637" s="5">
        <f>IF(OR(A637="",B637=""),"",B637-WEEKDAY(B637,2)+1)</f>
        <v/>
      </c>
      <c r="J637" s="5">
        <f>IF(I637="","",I637+6)</f>
        <v/>
      </c>
      <c r="K637" s="6">
        <f>IF(OR(A637="",B637=""),"",DATE(YEAR(B637),MONTH(B637),1))</f>
        <v/>
      </c>
      <c r="L637" s="7">
        <f>IF(COUNTA(A637,B637)=0,"",IF(OR(A637="",B637=""),"Preencher CPF e entrada",IF(COUNTIFS($A$12:$A$5011,A637,$B$12:$B$5011,B637)&gt;1,"CPF + dia duplicado",IF(OR(AND(E637&lt;&gt;"",E637&lt;B637),AND(F637&lt;&gt;"",F637&lt;B637)),"Evento anterior à entrada",IF(AND(F637&lt;&gt;"",E637=""),"Conversa sem agendamento",IF(OR(E637&gt;TODAY(),F637&gt;TODAY()),"Verificar evento futuro","OK"))))))</f>
        <v/>
      </c>
    </row>
    <row r="638" spans="9:12">
      <c r="I638" s="5">
        <f>IF(OR(A638="",B638=""),"",B638-WEEKDAY(B638,2)+1)</f>
        <v/>
      </c>
      <c r="J638" s="5">
        <f>IF(I638="","",I638+6)</f>
        <v/>
      </c>
      <c r="K638" s="6">
        <f>IF(OR(A638="",B638=""),"",DATE(YEAR(B638),MONTH(B638),1))</f>
        <v/>
      </c>
      <c r="L638" s="7">
        <f>IF(COUNTA(A638,B638)=0,"",IF(OR(A638="",B638=""),"Preencher CPF e entrada",IF(COUNTIFS($A$12:$A$5011,A638,$B$12:$B$5011,B638)&gt;1,"CPF + dia duplicado",IF(OR(AND(E638&lt;&gt;"",E638&lt;B638),AND(F638&lt;&gt;"",F638&lt;B638)),"Evento anterior à entrada",IF(AND(F638&lt;&gt;"",E638=""),"Conversa sem agendamento",IF(OR(E638&gt;TODAY(),F638&gt;TODAY()),"Verificar evento futuro","OK"))))))</f>
        <v/>
      </c>
    </row>
    <row r="639" spans="9:12">
      <c r="I639" s="5">
        <f>IF(OR(A639="",B639=""),"",B639-WEEKDAY(B639,2)+1)</f>
        <v/>
      </c>
      <c r="J639" s="5">
        <f>IF(I639="","",I639+6)</f>
        <v/>
      </c>
      <c r="K639" s="6">
        <f>IF(OR(A639="",B639=""),"",DATE(YEAR(B639),MONTH(B639),1))</f>
        <v/>
      </c>
      <c r="L639" s="7">
        <f>IF(COUNTA(A639,B639)=0,"",IF(OR(A639="",B639=""),"Preencher CPF e entrada",IF(COUNTIFS($A$12:$A$5011,A639,$B$12:$B$5011,B639)&gt;1,"CPF + dia duplicado",IF(OR(AND(E639&lt;&gt;"",E639&lt;B639),AND(F639&lt;&gt;"",F639&lt;B639)),"Evento anterior à entrada",IF(AND(F639&lt;&gt;"",E639=""),"Conversa sem agendamento",IF(OR(E639&gt;TODAY(),F639&gt;TODAY()),"Verificar evento futuro","OK"))))))</f>
        <v/>
      </c>
    </row>
    <row r="640" spans="9:12">
      <c r="I640" s="5">
        <f>IF(OR(A640="",B640=""),"",B640-WEEKDAY(B640,2)+1)</f>
        <v/>
      </c>
      <c r="J640" s="5">
        <f>IF(I640="","",I640+6)</f>
        <v/>
      </c>
      <c r="K640" s="6">
        <f>IF(OR(A640="",B640=""),"",DATE(YEAR(B640),MONTH(B640),1))</f>
        <v/>
      </c>
      <c r="L640" s="7">
        <f>IF(COUNTA(A640,B640)=0,"",IF(OR(A640="",B640=""),"Preencher CPF e entrada",IF(COUNTIFS($A$12:$A$5011,A640,$B$12:$B$5011,B640)&gt;1,"CPF + dia duplicado",IF(OR(AND(E640&lt;&gt;"",E640&lt;B640),AND(F640&lt;&gt;"",F640&lt;B640)),"Evento anterior à entrada",IF(AND(F640&lt;&gt;"",E640=""),"Conversa sem agendamento",IF(OR(E640&gt;TODAY(),F640&gt;TODAY()),"Verificar evento futuro","OK"))))))</f>
        <v/>
      </c>
    </row>
    <row r="641" spans="9:12">
      <c r="I641" s="5">
        <f>IF(OR(A641="",B641=""),"",B641-WEEKDAY(B641,2)+1)</f>
        <v/>
      </c>
      <c r="J641" s="5">
        <f>IF(I641="","",I641+6)</f>
        <v/>
      </c>
      <c r="K641" s="6">
        <f>IF(OR(A641="",B641=""),"",DATE(YEAR(B641),MONTH(B641),1))</f>
        <v/>
      </c>
      <c r="L641" s="7">
        <f>IF(COUNTA(A641,B641)=0,"",IF(OR(A641="",B641=""),"Preencher CPF e entrada",IF(COUNTIFS($A$12:$A$5011,A641,$B$12:$B$5011,B641)&gt;1,"CPF + dia duplicado",IF(OR(AND(E641&lt;&gt;"",E641&lt;B641),AND(F641&lt;&gt;"",F641&lt;B641)),"Evento anterior à entrada",IF(AND(F641&lt;&gt;"",E641=""),"Conversa sem agendamento",IF(OR(E641&gt;TODAY(),F641&gt;TODAY()),"Verificar evento futuro","OK"))))))</f>
        <v/>
      </c>
    </row>
    <row r="642" spans="9:12">
      <c r="I642" s="5">
        <f>IF(OR(A642="",B642=""),"",B642-WEEKDAY(B642,2)+1)</f>
        <v/>
      </c>
      <c r="J642" s="5">
        <f>IF(I642="","",I642+6)</f>
        <v/>
      </c>
      <c r="K642" s="6">
        <f>IF(OR(A642="",B642=""),"",DATE(YEAR(B642),MONTH(B642),1))</f>
        <v/>
      </c>
      <c r="L642" s="7">
        <f>IF(COUNTA(A642,B642)=0,"",IF(OR(A642="",B642=""),"Preencher CPF e entrada",IF(COUNTIFS($A$12:$A$5011,A642,$B$12:$B$5011,B642)&gt;1,"CPF + dia duplicado",IF(OR(AND(E642&lt;&gt;"",E642&lt;B642),AND(F642&lt;&gt;"",F642&lt;B642)),"Evento anterior à entrada",IF(AND(F642&lt;&gt;"",E642=""),"Conversa sem agendamento",IF(OR(E642&gt;TODAY(),F642&gt;TODAY()),"Verificar evento futuro","OK"))))))</f>
        <v/>
      </c>
    </row>
    <row r="643" spans="9:12">
      <c r="I643" s="5">
        <f>IF(OR(A643="",B643=""),"",B643-WEEKDAY(B643,2)+1)</f>
        <v/>
      </c>
      <c r="J643" s="5">
        <f>IF(I643="","",I643+6)</f>
        <v/>
      </c>
      <c r="K643" s="6">
        <f>IF(OR(A643="",B643=""),"",DATE(YEAR(B643),MONTH(B643),1))</f>
        <v/>
      </c>
      <c r="L643" s="7">
        <f>IF(COUNTA(A643,B643)=0,"",IF(OR(A643="",B643=""),"Preencher CPF e entrada",IF(COUNTIFS($A$12:$A$5011,A643,$B$12:$B$5011,B643)&gt;1,"CPF + dia duplicado",IF(OR(AND(E643&lt;&gt;"",E643&lt;B643),AND(F643&lt;&gt;"",F643&lt;B643)),"Evento anterior à entrada",IF(AND(F643&lt;&gt;"",E643=""),"Conversa sem agendamento",IF(OR(E643&gt;TODAY(),F643&gt;TODAY()),"Verificar evento futuro","OK"))))))</f>
        <v/>
      </c>
    </row>
    <row r="644" spans="9:12">
      <c r="I644" s="5">
        <f>IF(OR(A644="",B644=""),"",B644-WEEKDAY(B644,2)+1)</f>
        <v/>
      </c>
      <c r="J644" s="5">
        <f>IF(I644="","",I644+6)</f>
        <v/>
      </c>
      <c r="K644" s="6">
        <f>IF(OR(A644="",B644=""),"",DATE(YEAR(B644),MONTH(B644),1))</f>
        <v/>
      </c>
      <c r="L644" s="7">
        <f>IF(COUNTA(A644,B644)=0,"",IF(OR(A644="",B644=""),"Preencher CPF e entrada",IF(COUNTIFS($A$12:$A$5011,A644,$B$12:$B$5011,B644)&gt;1,"CPF + dia duplicado",IF(OR(AND(E644&lt;&gt;"",E644&lt;B644),AND(F644&lt;&gt;"",F644&lt;B644)),"Evento anterior à entrada",IF(AND(F644&lt;&gt;"",E644=""),"Conversa sem agendamento",IF(OR(E644&gt;TODAY(),F644&gt;TODAY()),"Verificar evento futuro","OK"))))))</f>
        <v/>
      </c>
    </row>
    <row r="645" spans="9:12">
      <c r="I645" s="5">
        <f>IF(OR(A645="",B645=""),"",B645-WEEKDAY(B645,2)+1)</f>
        <v/>
      </c>
      <c r="J645" s="5">
        <f>IF(I645="","",I645+6)</f>
        <v/>
      </c>
      <c r="K645" s="6">
        <f>IF(OR(A645="",B645=""),"",DATE(YEAR(B645),MONTH(B645),1))</f>
        <v/>
      </c>
      <c r="L645" s="7">
        <f>IF(COUNTA(A645,B645)=0,"",IF(OR(A645="",B645=""),"Preencher CPF e entrada",IF(COUNTIFS($A$12:$A$5011,A645,$B$12:$B$5011,B645)&gt;1,"CPF + dia duplicado",IF(OR(AND(E645&lt;&gt;"",E645&lt;B645),AND(F645&lt;&gt;"",F645&lt;B645)),"Evento anterior à entrada",IF(AND(F645&lt;&gt;"",E645=""),"Conversa sem agendamento",IF(OR(E645&gt;TODAY(),F645&gt;TODAY()),"Verificar evento futuro","OK"))))))</f>
        <v/>
      </c>
    </row>
    <row r="646" spans="9:12">
      <c r="I646" s="5">
        <f>IF(OR(A646="",B646=""),"",B646-WEEKDAY(B646,2)+1)</f>
        <v/>
      </c>
      <c r="J646" s="5">
        <f>IF(I646="","",I646+6)</f>
        <v/>
      </c>
      <c r="K646" s="6">
        <f>IF(OR(A646="",B646=""),"",DATE(YEAR(B646),MONTH(B646),1))</f>
        <v/>
      </c>
      <c r="L646" s="7">
        <f>IF(COUNTA(A646,B646)=0,"",IF(OR(A646="",B646=""),"Preencher CPF e entrada",IF(COUNTIFS($A$12:$A$5011,A646,$B$12:$B$5011,B646)&gt;1,"CPF + dia duplicado",IF(OR(AND(E646&lt;&gt;"",E646&lt;B646),AND(F646&lt;&gt;"",F646&lt;B646)),"Evento anterior à entrada",IF(AND(F646&lt;&gt;"",E646=""),"Conversa sem agendamento",IF(OR(E646&gt;TODAY(),F646&gt;TODAY()),"Verificar evento futuro","OK"))))))</f>
        <v/>
      </c>
    </row>
    <row r="647" spans="9:12">
      <c r="I647" s="5">
        <f>IF(OR(A647="",B647=""),"",B647-WEEKDAY(B647,2)+1)</f>
        <v/>
      </c>
      <c r="J647" s="5">
        <f>IF(I647="","",I647+6)</f>
        <v/>
      </c>
      <c r="K647" s="6">
        <f>IF(OR(A647="",B647=""),"",DATE(YEAR(B647),MONTH(B647),1))</f>
        <v/>
      </c>
      <c r="L647" s="7">
        <f>IF(COUNTA(A647,B647)=0,"",IF(OR(A647="",B647=""),"Preencher CPF e entrada",IF(COUNTIFS($A$12:$A$5011,A647,$B$12:$B$5011,B647)&gt;1,"CPF + dia duplicado",IF(OR(AND(E647&lt;&gt;"",E647&lt;B647),AND(F647&lt;&gt;"",F647&lt;B647)),"Evento anterior à entrada",IF(AND(F647&lt;&gt;"",E647=""),"Conversa sem agendamento",IF(OR(E647&gt;TODAY(),F647&gt;TODAY()),"Verificar evento futuro","OK"))))))</f>
        <v/>
      </c>
    </row>
    <row r="648" spans="9:12">
      <c r="I648" s="5">
        <f>IF(OR(A648="",B648=""),"",B648-WEEKDAY(B648,2)+1)</f>
        <v/>
      </c>
      <c r="J648" s="5">
        <f>IF(I648="","",I648+6)</f>
        <v/>
      </c>
      <c r="K648" s="6">
        <f>IF(OR(A648="",B648=""),"",DATE(YEAR(B648),MONTH(B648),1))</f>
        <v/>
      </c>
      <c r="L648" s="7">
        <f>IF(COUNTA(A648,B648)=0,"",IF(OR(A648="",B648=""),"Preencher CPF e entrada",IF(COUNTIFS($A$12:$A$5011,A648,$B$12:$B$5011,B648)&gt;1,"CPF + dia duplicado",IF(OR(AND(E648&lt;&gt;"",E648&lt;B648),AND(F648&lt;&gt;"",F648&lt;B648)),"Evento anterior à entrada",IF(AND(F648&lt;&gt;"",E648=""),"Conversa sem agendamento",IF(OR(E648&gt;TODAY(),F648&gt;TODAY()),"Verificar evento futuro","OK"))))))</f>
        <v/>
      </c>
    </row>
    <row r="649" spans="9:12">
      <c r="I649" s="5">
        <f>IF(OR(A649="",B649=""),"",B649-WEEKDAY(B649,2)+1)</f>
        <v/>
      </c>
      <c r="J649" s="5">
        <f>IF(I649="","",I649+6)</f>
        <v/>
      </c>
      <c r="K649" s="6">
        <f>IF(OR(A649="",B649=""),"",DATE(YEAR(B649),MONTH(B649),1))</f>
        <v/>
      </c>
      <c r="L649" s="7">
        <f>IF(COUNTA(A649,B649)=0,"",IF(OR(A649="",B649=""),"Preencher CPF e entrada",IF(COUNTIFS($A$12:$A$5011,A649,$B$12:$B$5011,B649)&gt;1,"CPF + dia duplicado",IF(OR(AND(E649&lt;&gt;"",E649&lt;B649),AND(F649&lt;&gt;"",F649&lt;B649)),"Evento anterior à entrada",IF(AND(F649&lt;&gt;"",E649=""),"Conversa sem agendamento",IF(OR(E649&gt;TODAY(),F649&gt;TODAY()),"Verificar evento futuro","OK"))))))</f>
        <v/>
      </c>
    </row>
    <row r="650" spans="9:12">
      <c r="I650" s="5">
        <f>IF(OR(A650="",B650=""),"",B650-WEEKDAY(B650,2)+1)</f>
        <v/>
      </c>
      <c r="J650" s="5">
        <f>IF(I650="","",I650+6)</f>
        <v/>
      </c>
      <c r="K650" s="6">
        <f>IF(OR(A650="",B650=""),"",DATE(YEAR(B650),MONTH(B650),1))</f>
        <v/>
      </c>
      <c r="L650" s="7">
        <f>IF(COUNTA(A650,B650)=0,"",IF(OR(A650="",B650=""),"Preencher CPF e entrada",IF(COUNTIFS($A$12:$A$5011,A650,$B$12:$B$5011,B650)&gt;1,"CPF + dia duplicado",IF(OR(AND(E650&lt;&gt;"",E650&lt;B650),AND(F650&lt;&gt;"",F650&lt;B650)),"Evento anterior à entrada",IF(AND(F650&lt;&gt;"",E650=""),"Conversa sem agendamento",IF(OR(E650&gt;TODAY(),F650&gt;TODAY()),"Verificar evento futuro","OK"))))))</f>
        <v/>
      </c>
    </row>
    <row r="651" spans="9:12">
      <c r="I651" s="5">
        <f>IF(OR(A651="",B651=""),"",B651-WEEKDAY(B651,2)+1)</f>
        <v/>
      </c>
      <c r="J651" s="5">
        <f>IF(I651="","",I651+6)</f>
        <v/>
      </c>
      <c r="K651" s="6">
        <f>IF(OR(A651="",B651=""),"",DATE(YEAR(B651),MONTH(B651),1))</f>
        <v/>
      </c>
      <c r="L651" s="7">
        <f>IF(COUNTA(A651,B651)=0,"",IF(OR(A651="",B651=""),"Preencher CPF e entrada",IF(COUNTIFS($A$12:$A$5011,A651,$B$12:$B$5011,B651)&gt;1,"CPF + dia duplicado",IF(OR(AND(E651&lt;&gt;"",E651&lt;B651),AND(F651&lt;&gt;"",F651&lt;B651)),"Evento anterior à entrada",IF(AND(F651&lt;&gt;"",E651=""),"Conversa sem agendamento",IF(OR(E651&gt;TODAY(),F651&gt;TODAY()),"Verificar evento futuro","OK"))))))</f>
        <v/>
      </c>
    </row>
    <row r="652" spans="9:12">
      <c r="I652" s="5">
        <f>IF(OR(A652="",B652=""),"",B652-WEEKDAY(B652,2)+1)</f>
        <v/>
      </c>
      <c r="J652" s="5">
        <f>IF(I652="","",I652+6)</f>
        <v/>
      </c>
      <c r="K652" s="6">
        <f>IF(OR(A652="",B652=""),"",DATE(YEAR(B652),MONTH(B652),1))</f>
        <v/>
      </c>
      <c r="L652" s="7">
        <f>IF(COUNTA(A652,B652)=0,"",IF(OR(A652="",B652=""),"Preencher CPF e entrada",IF(COUNTIFS($A$12:$A$5011,A652,$B$12:$B$5011,B652)&gt;1,"CPF + dia duplicado",IF(OR(AND(E652&lt;&gt;"",E652&lt;B652),AND(F652&lt;&gt;"",F652&lt;B652)),"Evento anterior à entrada",IF(AND(F652&lt;&gt;"",E652=""),"Conversa sem agendamento",IF(OR(E652&gt;TODAY(),F652&gt;TODAY()),"Verificar evento futuro","OK"))))))</f>
        <v/>
      </c>
    </row>
    <row r="653" spans="9:12">
      <c r="I653" s="5">
        <f>IF(OR(A653="",B653=""),"",B653-WEEKDAY(B653,2)+1)</f>
        <v/>
      </c>
      <c r="J653" s="5">
        <f>IF(I653="","",I653+6)</f>
        <v/>
      </c>
      <c r="K653" s="6">
        <f>IF(OR(A653="",B653=""),"",DATE(YEAR(B653),MONTH(B653),1))</f>
        <v/>
      </c>
      <c r="L653" s="7">
        <f>IF(COUNTA(A653,B653)=0,"",IF(OR(A653="",B653=""),"Preencher CPF e entrada",IF(COUNTIFS($A$12:$A$5011,A653,$B$12:$B$5011,B653)&gt;1,"CPF + dia duplicado",IF(OR(AND(E653&lt;&gt;"",E653&lt;B653),AND(F653&lt;&gt;"",F653&lt;B653)),"Evento anterior à entrada",IF(AND(F653&lt;&gt;"",E653=""),"Conversa sem agendamento",IF(OR(E653&gt;TODAY(),F653&gt;TODAY()),"Verificar evento futuro","OK"))))))</f>
        <v/>
      </c>
    </row>
    <row r="654" spans="9:12">
      <c r="I654" s="5">
        <f>IF(OR(A654="",B654=""),"",B654-WEEKDAY(B654,2)+1)</f>
        <v/>
      </c>
      <c r="J654" s="5">
        <f>IF(I654="","",I654+6)</f>
        <v/>
      </c>
      <c r="K654" s="6">
        <f>IF(OR(A654="",B654=""),"",DATE(YEAR(B654),MONTH(B654),1))</f>
        <v/>
      </c>
      <c r="L654" s="7">
        <f>IF(COUNTA(A654,B654)=0,"",IF(OR(A654="",B654=""),"Preencher CPF e entrada",IF(COUNTIFS($A$12:$A$5011,A654,$B$12:$B$5011,B654)&gt;1,"CPF + dia duplicado",IF(OR(AND(E654&lt;&gt;"",E654&lt;B654),AND(F654&lt;&gt;"",F654&lt;B654)),"Evento anterior à entrada",IF(AND(F654&lt;&gt;"",E654=""),"Conversa sem agendamento",IF(OR(E654&gt;TODAY(),F654&gt;TODAY()),"Verificar evento futuro","OK"))))))</f>
        <v/>
      </c>
    </row>
    <row r="655" spans="9:12">
      <c r="I655" s="5">
        <f>IF(OR(A655="",B655=""),"",B655-WEEKDAY(B655,2)+1)</f>
        <v/>
      </c>
      <c r="J655" s="5">
        <f>IF(I655="","",I655+6)</f>
        <v/>
      </c>
      <c r="K655" s="6">
        <f>IF(OR(A655="",B655=""),"",DATE(YEAR(B655),MONTH(B655),1))</f>
        <v/>
      </c>
      <c r="L655" s="7">
        <f>IF(COUNTA(A655,B655)=0,"",IF(OR(A655="",B655=""),"Preencher CPF e entrada",IF(COUNTIFS($A$12:$A$5011,A655,$B$12:$B$5011,B655)&gt;1,"CPF + dia duplicado",IF(OR(AND(E655&lt;&gt;"",E655&lt;B655),AND(F655&lt;&gt;"",F655&lt;B655)),"Evento anterior à entrada",IF(AND(F655&lt;&gt;"",E655=""),"Conversa sem agendamento",IF(OR(E655&gt;TODAY(),F655&gt;TODAY()),"Verificar evento futuro","OK"))))))</f>
        <v/>
      </c>
    </row>
    <row r="656" spans="9:12">
      <c r="I656" s="5">
        <f>IF(OR(A656="",B656=""),"",B656-WEEKDAY(B656,2)+1)</f>
        <v/>
      </c>
      <c r="J656" s="5">
        <f>IF(I656="","",I656+6)</f>
        <v/>
      </c>
      <c r="K656" s="6">
        <f>IF(OR(A656="",B656=""),"",DATE(YEAR(B656),MONTH(B656),1))</f>
        <v/>
      </c>
      <c r="L656" s="7">
        <f>IF(COUNTA(A656,B656)=0,"",IF(OR(A656="",B656=""),"Preencher CPF e entrada",IF(COUNTIFS($A$12:$A$5011,A656,$B$12:$B$5011,B656)&gt;1,"CPF + dia duplicado",IF(OR(AND(E656&lt;&gt;"",E656&lt;B656),AND(F656&lt;&gt;"",F656&lt;B656)),"Evento anterior à entrada",IF(AND(F656&lt;&gt;"",E656=""),"Conversa sem agendamento",IF(OR(E656&gt;TODAY(),F656&gt;TODAY()),"Verificar evento futuro","OK"))))))</f>
        <v/>
      </c>
    </row>
    <row r="657" spans="9:12">
      <c r="I657" s="5">
        <f>IF(OR(A657="",B657=""),"",B657-WEEKDAY(B657,2)+1)</f>
        <v/>
      </c>
      <c r="J657" s="5">
        <f>IF(I657="","",I657+6)</f>
        <v/>
      </c>
      <c r="K657" s="6">
        <f>IF(OR(A657="",B657=""),"",DATE(YEAR(B657),MONTH(B657),1))</f>
        <v/>
      </c>
      <c r="L657" s="7">
        <f>IF(COUNTA(A657,B657)=0,"",IF(OR(A657="",B657=""),"Preencher CPF e entrada",IF(COUNTIFS($A$12:$A$5011,A657,$B$12:$B$5011,B657)&gt;1,"CPF + dia duplicado",IF(OR(AND(E657&lt;&gt;"",E657&lt;B657),AND(F657&lt;&gt;"",F657&lt;B657)),"Evento anterior à entrada",IF(AND(F657&lt;&gt;"",E657=""),"Conversa sem agendamento",IF(OR(E657&gt;TODAY(),F657&gt;TODAY()),"Verificar evento futuro","OK"))))))</f>
        <v/>
      </c>
    </row>
    <row r="658" spans="9:12">
      <c r="I658" s="5">
        <f>IF(OR(A658="",B658=""),"",B658-WEEKDAY(B658,2)+1)</f>
        <v/>
      </c>
      <c r="J658" s="5">
        <f>IF(I658="","",I658+6)</f>
        <v/>
      </c>
      <c r="K658" s="6">
        <f>IF(OR(A658="",B658=""),"",DATE(YEAR(B658),MONTH(B658),1))</f>
        <v/>
      </c>
      <c r="L658" s="7">
        <f>IF(COUNTA(A658,B658)=0,"",IF(OR(A658="",B658=""),"Preencher CPF e entrada",IF(COUNTIFS($A$12:$A$5011,A658,$B$12:$B$5011,B658)&gt;1,"CPF + dia duplicado",IF(OR(AND(E658&lt;&gt;"",E658&lt;B658),AND(F658&lt;&gt;"",F658&lt;B658)),"Evento anterior à entrada",IF(AND(F658&lt;&gt;"",E658=""),"Conversa sem agendamento",IF(OR(E658&gt;TODAY(),F658&gt;TODAY()),"Verificar evento futuro","OK"))))))</f>
        <v/>
      </c>
    </row>
    <row r="659" spans="9:12">
      <c r="I659" s="5">
        <f>IF(OR(A659="",B659=""),"",B659-WEEKDAY(B659,2)+1)</f>
        <v/>
      </c>
      <c r="J659" s="5">
        <f>IF(I659="","",I659+6)</f>
        <v/>
      </c>
      <c r="K659" s="6">
        <f>IF(OR(A659="",B659=""),"",DATE(YEAR(B659),MONTH(B659),1))</f>
        <v/>
      </c>
      <c r="L659" s="7">
        <f>IF(COUNTA(A659,B659)=0,"",IF(OR(A659="",B659=""),"Preencher CPF e entrada",IF(COUNTIFS($A$12:$A$5011,A659,$B$12:$B$5011,B659)&gt;1,"CPF + dia duplicado",IF(OR(AND(E659&lt;&gt;"",E659&lt;B659),AND(F659&lt;&gt;"",F659&lt;B659)),"Evento anterior à entrada",IF(AND(F659&lt;&gt;"",E659=""),"Conversa sem agendamento",IF(OR(E659&gt;TODAY(),F659&gt;TODAY()),"Verificar evento futuro","OK"))))))</f>
        <v/>
      </c>
    </row>
    <row r="660" spans="9:12">
      <c r="I660" s="5">
        <f>IF(OR(A660="",B660=""),"",B660-WEEKDAY(B660,2)+1)</f>
        <v/>
      </c>
      <c r="J660" s="5">
        <f>IF(I660="","",I660+6)</f>
        <v/>
      </c>
      <c r="K660" s="6">
        <f>IF(OR(A660="",B660=""),"",DATE(YEAR(B660),MONTH(B660),1))</f>
        <v/>
      </c>
      <c r="L660" s="7">
        <f>IF(COUNTA(A660,B660)=0,"",IF(OR(A660="",B660=""),"Preencher CPF e entrada",IF(COUNTIFS($A$12:$A$5011,A660,$B$12:$B$5011,B660)&gt;1,"CPF + dia duplicado",IF(OR(AND(E660&lt;&gt;"",E660&lt;B660),AND(F660&lt;&gt;"",F660&lt;B660)),"Evento anterior à entrada",IF(AND(F660&lt;&gt;"",E660=""),"Conversa sem agendamento",IF(OR(E660&gt;TODAY(),F660&gt;TODAY()),"Verificar evento futuro","OK"))))))</f>
        <v/>
      </c>
    </row>
    <row r="661" spans="9:12">
      <c r="I661" s="5">
        <f>IF(OR(A661="",B661=""),"",B661-WEEKDAY(B661,2)+1)</f>
        <v/>
      </c>
      <c r="J661" s="5">
        <f>IF(I661="","",I661+6)</f>
        <v/>
      </c>
      <c r="K661" s="6">
        <f>IF(OR(A661="",B661=""),"",DATE(YEAR(B661),MONTH(B661),1))</f>
        <v/>
      </c>
      <c r="L661" s="7">
        <f>IF(COUNTA(A661,B661)=0,"",IF(OR(A661="",B661=""),"Preencher CPF e entrada",IF(COUNTIFS($A$12:$A$5011,A661,$B$12:$B$5011,B661)&gt;1,"CPF + dia duplicado",IF(OR(AND(E661&lt;&gt;"",E661&lt;B661),AND(F661&lt;&gt;"",F661&lt;B661)),"Evento anterior à entrada",IF(AND(F661&lt;&gt;"",E661=""),"Conversa sem agendamento",IF(OR(E661&gt;TODAY(),F661&gt;TODAY()),"Verificar evento futuro","OK"))))))</f>
        <v/>
      </c>
    </row>
    <row r="662" spans="9:12">
      <c r="I662" s="5">
        <f>IF(OR(A662="",B662=""),"",B662-WEEKDAY(B662,2)+1)</f>
        <v/>
      </c>
      <c r="J662" s="5">
        <f>IF(I662="","",I662+6)</f>
        <v/>
      </c>
      <c r="K662" s="6">
        <f>IF(OR(A662="",B662=""),"",DATE(YEAR(B662),MONTH(B662),1))</f>
        <v/>
      </c>
      <c r="L662" s="7">
        <f>IF(COUNTA(A662,B662)=0,"",IF(OR(A662="",B662=""),"Preencher CPF e entrada",IF(COUNTIFS($A$12:$A$5011,A662,$B$12:$B$5011,B662)&gt;1,"CPF + dia duplicado",IF(OR(AND(E662&lt;&gt;"",E662&lt;B662),AND(F662&lt;&gt;"",F662&lt;B662)),"Evento anterior à entrada",IF(AND(F662&lt;&gt;"",E662=""),"Conversa sem agendamento",IF(OR(E662&gt;TODAY(),F662&gt;TODAY()),"Verificar evento futuro","OK"))))))</f>
        <v/>
      </c>
    </row>
    <row r="663" spans="9:12">
      <c r="I663" s="5">
        <f>IF(OR(A663="",B663=""),"",B663-WEEKDAY(B663,2)+1)</f>
        <v/>
      </c>
      <c r="J663" s="5">
        <f>IF(I663="","",I663+6)</f>
        <v/>
      </c>
      <c r="K663" s="6">
        <f>IF(OR(A663="",B663=""),"",DATE(YEAR(B663),MONTH(B663),1))</f>
        <v/>
      </c>
      <c r="L663" s="7">
        <f>IF(COUNTA(A663,B663)=0,"",IF(OR(A663="",B663=""),"Preencher CPF e entrada",IF(COUNTIFS($A$12:$A$5011,A663,$B$12:$B$5011,B663)&gt;1,"CPF + dia duplicado",IF(OR(AND(E663&lt;&gt;"",E663&lt;B663),AND(F663&lt;&gt;"",F663&lt;B663)),"Evento anterior à entrada",IF(AND(F663&lt;&gt;"",E663=""),"Conversa sem agendamento",IF(OR(E663&gt;TODAY(),F663&gt;TODAY()),"Verificar evento futuro","OK"))))))</f>
        <v/>
      </c>
    </row>
    <row r="664" spans="9:12">
      <c r="I664" s="5">
        <f>IF(OR(A664="",B664=""),"",B664-WEEKDAY(B664,2)+1)</f>
        <v/>
      </c>
      <c r="J664" s="5">
        <f>IF(I664="","",I664+6)</f>
        <v/>
      </c>
      <c r="K664" s="6">
        <f>IF(OR(A664="",B664=""),"",DATE(YEAR(B664),MONTH(B664),1))</f>
        <v/>
      </c>
      <c r="L664" s="7">
        <f>IF(COUNTA(A664,B664)=0,"",IF(OR(A664="",B664=""),"Preencher CPF e entrada",IF(COUNTIFS($A$12:$A$5011,A664,$B$12:$B$5011,B664)&gt;1,"CPF + dia duplicado",IF(OR(AND(E664&lt;&gt;"",E664&lt;B664),AND(F664&lt;&gt;"",F664&lt;B664)),"Evento anterior à entrada",IF(AND(F664&lt;&gt;"",E664=""),"Conversa sem agendamento",IF(OR(E664&gt;TODAY(),F664&gt;TODAY()),"Verificar evento futuro","OK"))))))</f>
        <v/>
      </c>
    </row>
    <row r="665" spans="9:12">
      <c r="I665" s="5">
        <f>IF(OR(A665="",B665=""),"",B665-WEEKDAY(B665,2)+1)</f>
        <v/>
      </c>
      <c r="J665" s="5">
        <f>IF(I665="","",I665+6)</f>
        <v/>
      </c>
      <c r="K665" s="6">
        <f>IF(OR(A665="",B665=""),"",DATE(YEAR(B665),MONTH(B665),1))</f>
        <v/>
      </c>
      <c r="L665" s="7">
        <f>IF(COUNTA(A665,B665)=0,"",IF(OR(A665="",B665=""),"Preencher CPF e entrada",IF(COUNTIFS($A$12:$A$5011,A665,$B$12:$B$5011,B665)&gt;1,"CPF + dia duplicado",IF(OR(AND(E665&lt;&gt;"",E665&lt;B665),AND(F665&lt;&gt;"",F665&lt;B665)),"Evento anterior à entrada",IF(AND(F665&lt;&gt;"",E665=""),"Conversa sem agendamento",IF(OR(E665&gt;TODAY(),F665&gt;TODAY()),"Verificar evento futuro","OK"))))))</f>
        <v/>
      </c>
    </row>
    <row r="666" spans="9:12">
      <c r="I666" s="5">
        <f>IF(OR(A666="",B666=""),"",B666-WEEKDAY(B666,2)+1)</f>
        <v/>
      </c>
      <c r="J666" s="5">
        <f>IF(I666="","",I666+6)</f>
        <v/>
      </c>
      <c r="K666" s="6">
        <f>IF(OR(A666="",B666=""),"",DATE(YEAR(B666),MONTH(B666),1))</f>
        <v/>
      </c>
      <c r="L666" s="7">
        <f>IF(COUNTA(A666,B666)=0,"",IF(OR(A666="",B666=""),"Preencher CPF e entrada",IF(COUNTIFS($A$12:$A$5011,A666,$B$12:$B$5011,B666)&gt;1,"CPF + dia duplicado",IF(OR(AND(E666&lt;&gt;"",E666&lt;B666),AND(F666&lt;&gt;"",F666&lt;B666)),"Evento anterior à entrada",IF(AND(F666&lt;&gt;"",E666=""),"Conversa sem agendamento",IF(OR(E666&gt;TODAY(),F666&gt;TODAY()),"Verificar evento futuro","OK"))))))</f>
        <v/>
      </c>
    </row>
    <row r="667" spans="9:12">
      <c r="I667" s="5">
        <f>IF(OR(A667="",B667=""),"",B667-WEEKDAY(B667,2)+1)</f>
        <v/>
      </c>
      <c r="J667" s="5">
        <f>IF(I667="","",I667+6)</f>
        <v/>
      </c>
      <c r="K667" s="6">
        <f>IF(OR(A667="",B667=""),"",DATE(YEAR(B667),MONTH(B667),1))</f>
        <v/>
      </c>
      <c r="L667" s="7">
        <f>IF(COUNTA(A667,B667)=0,"",IF(OR(A667="",B667=""),"Preencher CPF e entrada",IF(COUNTIFS($A$12:$A$5011,A667,$B$12:$B$5011,B667)&gt;1,"CPF + dia duplicado",IF(OR(AND(E667&lt;&gt;"",E667&lt;B667),AND(F667&lt;&gt;"",F667&lt;B667)),"Evento anterior à entrada",IF(AND(F667&lt;&gt;"",E667=""),"Conversa sem agendamento",IF(OR(E667&gt;TODAY(),F667&gt;TODAY()),"Verificar evento futuro","OK"))))))</f>
        <v/>
      </c>
    </row>
    <row r="668" spans="9:12">
      <c r="I668" s="5">
        <f>IF(OR(A668="",B668=""),"",B668-WEEKDAY(B668,2)+1)</f>
        <v/>
      </c>
      <c r="J668" s="5">
        <f>IF(I668="","",I668+6)</f>
        <v/>
      </c>
      <c r="K668" s="6">
        <f>IF(OR(A668="",B668=""),"",DATE(YEAR(B668),MONTH(B668),1))</f>
        <v/>
      </c>
      <c r="L668" s="7">
        <f>IF(COUNTA(A668,B668)=0,"",IF(OR(A668="",B668=""),"Preencher CPF e entrada",IF(COUNTIFS($A$12:$A$5011,A668,$B$12:$B$5011,B668)&gt;1,"CPF + dia duplicado",IF(OR(AND(E668&lt;&gt;"",E668&lt;B668),AND(F668&lt;&gt;"",F668&lt;B668)),"Evento anterior à entrada",IF(AND(F668&lt;&gt;"",E668=""),"Conversa sem agendamento",IF(OR(E668&gt;TODAY(),F668&gt;TODAY()),"Verificar evento futuro","OK"))))))</f>
        <v/>
      </c>
    </row>
    <row r="669" spans="9:12">
      <c r="I669" s="5">
        <f>IF(OR(A669="",B669=""),"",B669-WEEKDAY(B669,2)+1)</f>
        <v/>
      </c>
      <c r="J669" s="5">
        <f>IF(I669="","",I669+6)</f>
        <v/>
      </c>
      <c r="K669" s="6">
        <f>IF(OR(A669="",B669=""),"",DATE(YEAR(B669),MONTH(B669),1))</f>
        <v/>
      </c>
      <c r="L669" s="7">
        <f>IF(COUNTA(A669,B669)=0,"",IF(OR(A669="",B669=""),"Preencher CPF e entrada",IF(COUNTIFS($A$12:$A$5011,A669,$B$12:$B$5011,B669)&gt;1,"CPF + dia duplicado",IF(OR(AND(E669&lt;&gt;"",E669&lt;B669),AND(F669&lt;&gt;"",F669&lt;B669)),"Evento anterior à entrada",IF(AND(F669&lt;&gt;"",E669=""),"Conversa sem agendamento",IF(OR(E669&gt;TODAY(),F669&gt;TODAY()),"Verificar evento futuro","OK"))))))</f>
        <v/>
      </c>
    </row>
    <row r="670" spans="9:12">
      <c r="I670" s="5">
        <f>IF(OR(A670="",B670=""),"",B670-WEEKDAY(B670,2)+1)</f>
        <v/>
      </c>
      <c r="J670" s="5">
        <f>IF(I670="","",I670+6)</f>
        <v/>
      </c>
      <c r="K670" s="6">
        <f>IF(OR(A670="",B670=""),"",DATE(YEAR(B670),MONTH(B670),1))</f>
        <v/>
      </c>
      <c r="L670" s="7">
        <f>IF(COUNTA(A670,B670)=0,"",IF(OR(A670="",B670=""),"Preencher CPF e entrada",IF(COUNTIFS($A$12:$A$5011,A670,$B$12:$B$5011,B670)&gt;1,"CPF + dia duplicado",IF(OR(AND(E670&lt;&gt;"",E670&lt;B670),AND(F670&lt;&gt;"",F670&lt;B670)),"Evento anterior à entrada",IF(AND(F670&lt;&gt;"",E670=""),"Conversa sem agendamento",IF(OR(E670&gt;TODAY(),F670&gt;TODAY()),"Verificar evento futuro","OK"))))))</f>
        <v/>
      </c>
    </row>
    <row r="671" spans="9:12">
      <c r="I671" s="5">
        <f>IF(OR(A671="",B671=""),"",B671-WEEKDAY(B671,2)+1)</f>
        <v/>
      </c>
      <c r="J671" s="5">
        <f>IF(I671="","",I671+6)</f>
        <v/>
      </c>
      <c r="K671" s="6">
        <f>IF(OR(A671="",B671=""),"",DATE(YEAR(B671),MONTH(B671),1))</f>
        <v/>
      </c>
      <c r="L671" s="7">
        <f>IF(COUNTA(A671,B671)=0,"",IF(OR(A671="",B671=""),"Preencher CPF e entrada",IF(COUNTIFS($A$12:$A$5011,A671,$B$12:$B$5011,B671)&gt;1,"CPF + dia duplicado",IF(OR(AND(E671&lt;&gt;"",E671&lt;B671),AND(F671&lt;&gt;"",F671&lt;B671)),"Evento anterior à entrada",IF(AND(F671&lt;&gt;"",E671=""),"Conversa sem agendamento",IF(OR(E671&gt;TODAY(),F671&gt;TODAY()),"Verificar evento futuro","OK"))))))</f>
        <v/>
      </c>
    </row>
    <row r="672" spans="9:12">
      <c r="I672" s="5">
        <f>IF(OR(A672="",B672=""),"",B672-WEEKDAY(B672,2)+1)</f>
        <v/>
      </c>
      <c r="J672" s="5">
        <f>IF(I672="","",I672+6)</f>
        <v/>
      </c>
      <c r="K672" s="6">
        <f>IF(OR(A672="",B672=""),"",DATE(YEAR(B672),MONTH(B672),1))</f>
        <v/>
      </c>
      <c r="L672" s="7">
        <f>IF(COUNTA(A672,B672)=0,"",IF(OR(A672="",B672=""),"Preencher CPF e entrada",IF(COUNTIFS($A$12:$A$5011,A672,$B$12:$B$5011,B672)&gt;1,"CPF + dia duplicado",IF(OR(AND(E672&lt;&gt;"",E672&lt;B672),AND(F672&lt;&gt;"",F672&lt;B672)),"Evento anterior à entrada",IF(AND(F672&lt;&gt;"",E672=""),"Conversa sem agendamento",IF(OR(E672&gt;TODAY(),F672&gt;TODAY()),"Verificar evento futuro","OK"))))))</f>
        <v/>
      </c>
    </row>
    <row r="673" spans="9:12">
      <c r="I673" s="5">
        <f>IF(OR(A673="",B673=""),"",B673-WEEKDAY(B673,2)+1)</f>
        <v/>
      </c>
      <c r="J673" s="5">
        <f>IF(I673="","",I673+6)</f>
        <v/>
      </c>
      <c r="K673" s="6">
        <f>IF(OR(A673="",B673=""),"",DATE(YEAR(B673),MONTH(B673),1))</f>
        <v/>
      </c>
      <c r="L673" s="7">
        <f>IF(COUNTA(A673,B673)=0,"",IF(OR(A673="",B673=""),"Preencher CPF e entrada",IF(COUNTIFS($A$12:$A$5011,A673,$B$12:$B$5011,B673)&gt;1,"CPF + dia duplicado",IF(OR(AND(E673&lt;&gt;"",E673&lt;B673),AND(F673&lt;&gt;"",F673&lt;B673)),"Evento anterior à entrada",IF(AND(F673&lt;&gt;"",E673=""),"Conversa sem agendamento",IF(OR(E673&gt;TODAY(),F673&gt;TODAY()),"Verificar evento futuro","OK"))))))</f>
        <v/>
      </c>
    </row>
    <row r="674" spans="9:12">
      <c r="I674" s="5">
        <f>IF(OR(A674="",B674=""),"",B674-WEEKDAY(B674,2)+1)</f>
        <v/>
      </c>
      <c r="J674" s="5">
        <f>IF(I674="","",I674+6)</f>
        <v/>
      </c>
      <c r="K674" s="6">
        <f>IF(OR(A674="",B674=""),"",DATE(YEAR(B674),MONTH(B674),1))</f>
        <v/>
      </c>
      <c r="L674" s="7">
        <f>IF(COUNTA(A674,B674)=0,"",IF(OR(A674="",B674=""),"Preencher CPF e entrada",IF(COUNTIFS($A$12:$A$5011,A674,$B$12:$B$5011,B674)&gt;1,"CPF + dia duplicado",IF(OR(AND(E674&lt;&gt;"",E674&lt;B674),AND(F674&lt;&gt;"",F674&lt;B674)),"Evento anterior à entrada",IF(AND(F674&lt;&gt;"",E674=""),"Conversa sem agendamento",IF(OR(E674&gt;TODAY(),F674&gt;TODAY()),"Verificar evento futuro","OK"))))))</f>
        <v/>
      </c>
    </row>
    <row r="675" spans="9:12">
      <c r="I675" s="5">
        <f>IF(OR(A675="",B675=""),"",B675-WEEKDAY(B675,2)+1)</f>
        <v/>
      </c>
      <c r="J675" s="5">
        <f>IF(I675="","",I675+6)</f>
        <v/>
      </c>
      <c r="K675" s="6">
        <f>IF(OR(A675="",B675=""),"",DATE(YEAR(B675),MONTH(B675),1))</f>
        <v/>
      </c>
      <c r="L675" s="7">
        <f>IF(COUNTA(A675,B675)=0,"",IF(OR(A675="",B675=""),"Preencher CPF e entrada",IF(COUNTIFS($A$12:$A$5011,A675,$B$12:$B$5011,B675)&gt;1,"CPF + dia duplicado",IF(OR(AND(E675&lt;&gt;"",E675&lt;B675),AND(F675&lt;&gt;"",F675&lt;B675)),"Evento anterior à entrada",IF(AND(F675&lt;&gt;"",E675=""),"Conversa sem agendamento",IF(OR(E675&gt;TODAY(),F675&gt;TODAY()),"Verificar evento futuro","OK"))))))</f>
        <v/>
      </c>
    </row>
    <row r="676" spans="9:12">
      <c r="I676" s="5">
        <f>IF(OR(A676="",B676=""),"",B676-WEEKDAY(B676,2)+1)</f>
        <v/>
      </c>
      <c r="J676" s="5">
        <f>IF(I676="","",I676+6)</f>
        <v/>
      </c>
      <c r="K676" s="6">
        <f>IF(OR(A676="",B676=""),"",DATE(YEAR(B676),MONTH(B676),1))</f>
        <v/>
      </c>
      <c r="L676" s="7">
        <f>IF(COUNTA(A676,B676)=0,"",IF(OR(A676="",B676=""),"Preencher CPF e entrada",IF(COUNTIFS($A$12:$A$5011,A676,$B$12:$B$5011,B676)&gt;1,"CPF + dia duplicado",IF(OR(AND(E676&lt;&gt;"",E676&lt;B676),AND(F676&lt;&gt;"",F676&lt;B676)),"Evento anterior à entrada",IF(AND(F676&lt;&gt;"",E676=""),"Conversa sem agendamento",IF(OR(E676&gt;TODAY(),F676&gt;TODAY()),"Verificar evento futuro","OK"))))))</f>
        <v/>
      </c>
    </row>
    <row r="677" spans="9:12">
      <c r="I677" s="5">
        <f>IF(OR(A677="",B677=""),"",B677-WEEKDAY(B677,2)+1)</f>
        <v/>
      </c>
      <c r="J677" s="5">
        <f>IF(I677="","",I677+6)</f>
        <v/>
      </c>
      <c r="K677" s="6">
        <f>IF(OR(A677="",B677=""),"",DATE(YEAR(B677),MONTH(B677),1))</f>
        <v/>
      </c>
      <c r="L677" s="7">
        <f>IF(COUNTA(A677,B677)=0,"",IF(OR(A677="",B677=""),"Preencher CPF e entrada",IF(COUNTIFS($A$12:$A$5011,A677,$B$12:$B$5011,B677)&gt;1,"CPF + dia duplicado",IF(OR(AND(E677&lt;&gt;"",E677&lt;B677),AND(F677&lt;&gt;"",F677&lt;B677)),"Evento anterior à entrada",IF(AND(F677&lt;&gt;"",E677=""),"Conversa sem agendamento",IF(OR(E677&gt;TODAY(),F677&gt;TODAY()),"Verificar evento futuro","OK"))))))</f>
        <v/>
      </c>
    </row>
    <row r="678" spans="9:12">
      <c r="I678" s="5">
        <f>IF(OR(A678="",B678=""),"",B678-WEEKDAY(B678,2)+1)</f>
        <v/>
      </c>
      <c r="J678" s="5">
        <f>IF(I678="","",I678+6)</f>
        <v/>
      </c>
      <c r="K678" s="6">
        <f>IF(OR(A678="",B678=""),"",DATE(YEAR(B678),MONTH(B678),1))</f>
        <v/>
      </c>
      <c r="L678" s="7">
        <f>IF(COUNTA(A678,B678)=0,"",IF(OR(A678="",B678=""),"Preencher CPF e entrada",IF(COUNTIFS($A$12:$A$5011,A678,$B$12:$B$5011,B678)&gt;1,"CPF + dia duplicado",IF(OR(AND(E678&lt;&gt;"",E678&lt;B678),AND(F678&lt;&gt;"",F678&lt;B678)),"Evento anterior à entrada",IF(AND(F678&lt;&gt;"",E678=""),"Conversa sem agendamento",IF(OR(E678&gt;TODAY(),F678&gt;TODAY()),"Verificar evento futuro","OK"))))))</f>
        <v/>
      </c>
    </row>
    <row r="679" spans="9:12">
      <c r="I679" s="5">
        <f>IF(OR(A679="",B679=""),"",B679-WEEKDAY(B679,2)+1)</f>
        <v/>
      </c>
      <c r="J679" s="5">
        <f>IF(I679="","",I679+6)</f>
        <v/>
      </c>
      <c r="K679" s="6">
        <f>IF(OR(A679="",B679=""),"",DATE(YEAR(B679),MONTH(B679),1))</f>
        <v/>
      </c>
      <c r="L679" s="7">
        <f>IF(COUNTA(A679,B679)=0,"",IF(OR(A679="",B679=""),"Preencher CPF e entrada",IF(COUNTIFS($A$12:$A$5011,A679,$B$12:$B$5011,B679)&gt;1,"CPF + dia duplicado",IF(OR(AND(E679&lt;&gt;"",E679&lt;B679),AND(F679&lt;&gt;"",F679&lt;B679)),"Evento anterior à entrada",IF(AND(F679&lt;&gt;"",E679=""),"Conversa sem agendamento",IF(OR(E679&gt;TODAY(),F679&gt;TODAY()),"Verificar evento futuro","OK"))))))</f>
        <v/>
      </c>
    </row>
    <row r="680" spans="9:12">
      <c r="I680" s="5">
        <f>IF(OR(A680="",B680=""),"",B680-WEEKDAY(B680,2)+1)</f>
        <v/>
      </c>
      <c r="J680" s="5">
        <f>IF(I680="","",I680+6)</f>
        <v/>
      </c>
      <c r="K680" s="6">
        <f>IF(OR(A680="",B680=""),"",DATE(YEAR(B680),MONTH(B680),1))</f>
        <v/>
      </c>
      <c r="L680" s="7">
        <f>IF(COUNTA(A680,B680)=0,"",IF(OR(A680="",B680=""),"Preencher CPF e entrada",IF(COUNTIFS($A$12:$A$5011,A680,$B$12:$B$5011,B680)&gt;1,"CPF + dia duplicado",IF(OR(AND(E680&lt;&gt;"",E680&lt;B680),AND(F680&lt;&gt;"",F680&lt;B680)),"Evento anterior à entrada",IF(AND(F680&lt;&gt;"",E680=""),"Conversa sem agendamento",IF(OR(E680&gt;TODAY(),F680&gt;TODAY()),"Verificar evento futuro","OK"))))))</f>
        <v/>
      </c>
    </row>
    <row r="681" spans="9:12">
      <c r="I681" s="5">
        <f>IF(OR(A681="",B681=""),"",B681-WEEKDAY(B681,2)+1)</f>
        <v/>
      </c>
      <c r="J681" s="5">
        <f>IF(I681="","",I681+6)</f>
        <v/>
      </c>
      <c r="K681" s="6">
        <f>IF(OR(A681="",B681=""),"",DATE(YEAR(B681),MONTH(B681),1))</f>
        <v/>
      </c>
      <c r="L681" s="7">
        <f>IF(COUNTA(A681,B681)=0,"",IF(OR(A681="",B681=""),"Preencher CPF e entrada",IF(COUNTIFS($A$12:$A$5011,A681,$B$12:$B$5011,B681)&gt;1,"CPF + dia duplicado",IF(OR(AND(E681&lt;&gt;"",E681&lt;B681),AND(F681&lt;&gt;"",F681&lt;B681)),"Evento anterior à entrada",IF(AND(F681&lt;&gt;"",E681=""),"Conversa sem agendamento",IF(OR(E681&gt;TODAY(),F681&gt;TODAY()),"Verificar evento futuro","OK"))))))</f>
        <v/>
      </c>
    </row>
    <row r="682" spans="9:12">
      <c r="I682" s="5">
        <f>IF(OR(A682="",B682=""),"",B682-WEEKDAY(B682,2)+1)</f>
        <v/>
      </c>
      <c r="J682" s="5">
        <f>IF(I682="","",I682+6)</f>
        <v/>
      </c>
      <c r="K682" s="6">
        <f>IF(OR(A682="",B682=""),"",DATE(YEAR(B682),MONTH(B682),1))</f>
        <v/>
      </c>
      <c r="L682" s="7">
        <f>IF(COUNTA(A682,B682)=0,"",IF(OR(A682="",B682=""),"Preencher CPF e entrada",IF(COUNTIFS($A$12:$A$5011,A682,$B$12:$B$5011,B682)&gt;1,"CPF + dia duplicado",IF(OR(AND(E682&lt;&gt;"",E682&lt;B682),AND(F682&lt;&gt;"",F682&lt;B682)),"Evento anterior à entrada",IF(AND(F682&lt;&gt;"",E682=""),"Conversa sem agendamento",IF(OR(E682&gt;TODAY(),F682&gt;TODAY()),"Verificar evento futuro","OK"))))))</f>
        <v/>
      </c>
    </row>
    <row r="683" spans="9:12">
      <c r="I683" s="5">
        <f>IF(OR(A683="",B683=""),"",B683-WEEKDAY(B683,2)+1)</f>
        <v/>
      </c>
      <c r="J683" s="5">
        <f>IF(I683="","",I683+6)</f>
        <v/>
      </c>
      <c r="K683" s="6">
        <f>IF(OR(A683="",B683=""),"",DATE(YEAR(B683),MONTH(B683),1))</f>
        <v/>
      </c>
      <c r="L683" s="7">
        <f>IF(COUNTA(A683,B683)=0,"",IF(OR(A683="",B683=""),"Preencher CPF e entrada",IF(COUNTIFS($A$12:$A$5011,A683,$B$12:$B$5011,B683)&gt;1,"CPF + dia duplicado",IF(OR(AND(E683&lt;&gt;"",E683&lt;B683),AND(F683&lt;&gt;"",F683&lt;B683)),"Evento anterior à entrada",IF(AND(F683&lt;&gt;"",E683=""),"Conversa sem agendamento",IF(OR(E683&gt;TODAY(),F683&gt;TODAY()),"Verificar evento futuro","OK"))))))</f>
        <v/>
      </c>
    </row>
    <row r="684" spans="9:12">
      <c r="I684" s="5">
        <f>IF(OR(A684="",B684=""),"",B684-WEEKDAY(B684,2)+1)</f>
        <v/>
      </c>
      <c r="J684" s="5">
        <f>IF(I684="","",I684+6)</f>
        <v/>
      </c>
      <c r="K684" s="6">
        <f>IF(OR(A684="",B684=""),"",DATE(YEAR(B684),MONTH(B684),1))</f>
        <v/>
      </c>
      <c r="L684" s="7">
        <f>IF(COUNTA(A684,B684)=0,"",IF(OR(A684="",B684=""),"Preencher CPF e entrada",IF(COUNTIFS($A$12:$A$5011,A684,$B$12:$B$5011,B684)&gt;1,"CPF + dia duplicado",IF(OR(AND(E684&lt;&gt;"",E684&lt;B684),AND(F684&lt;&gt;"",F684&lt;B684)),"Evento anterior à entrada",IF(AND(F684&lt;&gt;"",E684=""),"Conversa sem agendamento",IF(OR(E684&gt;TODAY(),F684&gt;TODAY()),"Verificar evento futuro","OK"))))))</f>
        <v/>
      </c>
    </row>
    <row r="685" spans="9:12">
      <c r="I685" s="5">
        <f>IF(OR(A685="",B685=""),"",B685-WEEKDAY(B685,2)+1)</f>
        <v/>
      </c>
      <c r="J685" s="5">
        <f>IF(I685="","",I685+6)</f>
        <v/>
      </c>
      <c r="K685" s="6">
        <f>IF(OR(A685="",B685=""),"",DATE(YEAR(B685),MONTH(B685),1))</f>
        <v/>
      </c>
      <c r="L685" s="7">
        <f>IF(COUNTA(A685,B685)=0,"",IF(OR(A685="",B685=""),"Preencher CPF e entrada",IF(COUNTIFS($A$12:$A$5011,A685,$B$12:$B$5011,B685)&gt;1,"CPF + dia duplicado",IF(OR(AND(E685&lt;&gt;"",E685&lt;B685),AND(F685&lt;&gt;"",F685&lt;B685)),"Evento anterior à entrada",IF(AND(F685&lt;&gt;"",E685=""),"Conversa sem agendamento",IF(OR(E685&gt;TODAY(),F685&gt;TODAY()),"Verificar evento futuro","OK"))))))</f>
        <v/>
      </c>
    </row>
    <row r="686" spans="9:12">
      <c r="I686" s="5">
        <f>IF(OR(A686="",B686=""),"",B686-WEEKDAY(B686,2)+1)</f>
        <v/>
      </c>
      <c r="J686" s="5">
        <f>IF(I686="","",I686+6)</f>
        <v/>
      </c>
      <c r="K686" s="6">
        <f>IF(OR(A686="",B686=""),"",DATE(YEAR(B686),MONTH(B686),1))</f>
        <v/>
      </c>
      <c r="L686" s="7">
        <f>IF(COUNTA(A686,B686)=0,"",IF(OR(A686="",B686=""),"Preencher CPF e entrada",IF(COUNTIFS($A$12:$A$5011,A686,$B$12:$B$5011,B686)&gt;1,"CPF + dia duplicado",IF(OR(AND(E686&lt;&gt;"",E686&lt;B686),AND(F686&lt;&gt;"",F686&lt;B686)),"Evento anterior à entrada",IF(AND(F686&lt;&gt;"",E686=""),"Conversa sem agendamento",IF(OR(E686&gt;TODAY(),F686&gt;TODAY()),"Verificar evento futuro","OK"))))))</f>
        <v/>
      </c>
    </row>
    <row r="687" spans="9:12">
      <c r="I687" s="5">
        <f>IF(OR(A687="",B687=""),"",B687-WEEKDAY(B687,2)+1)</f>
        <v/>
      </c>
      <c r="J687" s="5">
        <f>IF(I687="","",I687+6)</f>
        <v/>
      </c>
      <c r="K687" s="6">
        <f>IF(OR(A687="",B687=""),"",DATE(YEAR(B687),MONTH(B687),1))</f>
        <v/>
      </c>
      <c r="L687" s="7">
        <f>IF(COUNTA(A687,B687)=0,"",IF(OR(A687="",B687=""),"Preencher CPF e entrada",IF(COUNTIFS($A$12:$A$5011,A687,$B$12:$B$5011,B687)&gt;1,"CPF + dia duplicado",IF(OR(AND(E687&lt;&gt;"",E687&lt;B687),AND(F687&lt;&gt;"",F687&lt;B687)),"Evento anterior à entrada",IF(AND(F687&lt;&gt;"",E687=""),"Conversa sem agendamento",IF(OR(E687&gt;TODAY(),F687&gt;TODAY()),"Verificar evento futuro","OK"))))))</f>
        <v/>
      </c>
    </row>
    <row r="688" spans="9:12">
      <c r="I688" s="5">
        <f>IF(OR(A688="",B688=""),"",B688-WEEKDAY(B688,2)+1)</f>
        <v/>
      </c>
      <c r="J688" s="5">
        <f>IF(I688="","",I688+6)</f>
        <v/>
      </c>
      <c r="K688" s="6">
        <f>IF(OR(A688="",B688=""),"",DATE(YEAR(B688),MONTH(B688),1))</f>
        <v/>
      </c>
      <c r="L688" s="7">
        <f>IF(COUNTA(A688,B688)=0,"",IF(OR(A688="",B688=""),"Preencher CPF e entrada",IF(COUNTIFS($A$12:$A$5011,A688,$B$12:$B$5011,B688)&gt;1,"CPF + dia duplicado",IF(OR(AND(E688&lt;&gt;"",E688&lt;B688),AND(F688&lt;&gt;"",F688&lt;B688)),"Evento anterior à entrada",IF(AND(F688&lt;&gt;"",E688=""),"Conversa sem agendamento",IF(OR(E688&gt;TODAY(),F688&gt;TODAY()),"Verificar evento futuro","OK"))))))</f>
        <v/>
      </c>
    </row>
    <row r="689" spans="9:12">
      <c r="I689" s="5">
        <f>IF(OR(A689="",B689=""),"",B689-WEEKDAY(B689,2)+1)</f>
        <v/>
      </c>
      <c r="J689" s="5">
        <f>IF(I689="","",I689+6)</f>
        <v/>
      </c>
      <c r="K689" s="6">
        <f>IF(OR(A689="",B689=""),"",DATE(YEAR(B689),MONTH(B689),1))</f>
        <v/>
      </c>
      <c r="L689" s="7">
        <f>IF(COUNTA(A689,B689)=0,"",IF(OR(A689="",B689=""),"Preencher CPF e entrada",IF(COUNTIFS($A$12:$A$5011,A689,$B$12:$B$5011,B689)&gt;1,"CPF + dia duplicado",IF(OR(AND(E689&lt;&gt;"",E689&lt;B689),AND(F689&lt;&gt;"",F689&lt;B689)),"Evento anterior à entrada",IF(AND(F689&lt;&gt;"",E689=""),"Conversa sem agendamento",IF(OR(E689&gt;TODAY(),F689&gt;TODAY()),"Verificar evento futuro","OK"))))))</f>
        <v/>
      </c>
    </row>
    <row r="690" spans="9:12">
      <c r="I690" s="5">
        <f>IF(OR(A690="",B690=""),"",B690-WEEKDAY(B690,2)+1)</f>
        <v/>
      </c>
      <c r="J690" s="5">
        <f>IF(I690="","",I690+6)</f>
        <v/>
      </c>
      <c r="K690" s="6">
        <f>IF(OR(A690="",B690=""),"",DATE(YEAR(B690),MONTH(B690),1))</f>
        <v/>
      </c>
      <c r="L690" s="7">
        <f>IF(COUNTA(A690,B690)=0,"",IF(OR(A690="",B690=""),"Preencher CPF e entrada",IF(COUNTIFS($A$12:$A$5011,A690,$B$12:$B$5011,B690)&gt;1,"CPF + dia duplicado",IF(OR(AND(E690&lt;&gt;"",E690&lt;B690),AND(F690&lt;&gt;"",F690&lt;B690)),"Evento anterior à entrada",IF(AND(F690&lt;&gt;"",E690=""),"Conversa sem agendamento",IF(OR(E690&gt;TODAY(),F690&gt;TODAY()),"Verificar evento futuro","OK"))))))</f>
        <v/>
      </c>
    </row>
    <row r="691" spans="9:12">
      <c r="I691" s="5">
        <f>IF(OR(A691="",B691=""),"",B691-WEEKDAY(B691,2)+1)</f>
        <v/>
      </c>
      <c r="J691" s="5">
        <f>IF(I691="","",I691+6)</f>
        <v/>
      </c>
      <c r="K691" s="6">
        <f>IF(OR(A691="",B691=""),"",DATE(YEAR(B691),MONTH(B691),1))</f>
        <v/>
      </c>
      <c r="L691" s="7">
        <f>IF(COUNTA(A691,B691)=0,"",IF(OR(A691="",B691=""),"Preencher CPF e entrada",IF(COUNTIFS($A$12:$A$5011,A691,$B$12:$B$5011,B691)&gt;1,"CPF + dia duplicado",IF(OR(AND(E691&lt;&gt;"",E691&lt;B691),AND(F691&lt;&gt;"",F691&lt;B691)),"Evento anterior à entrada",IF(AND(F691&lt;&gt;"",E691=""),"Conversa sem agendamento",IF(OR(E691&gt;TODAY(),F691&gt;TODAY()),"Verificar evento futuro","OK"))))))</f>
        <v/>
      </c>
    </row>
    <row r="692" spans="9:12">
      <c r="I692" s="5">
        <f>IF(OR(A692="",B692=""),"",B692-WEEKDAY(B692,2)+1)</f>
        <v/>
      </c>
      <c r="J692" s="5">
        <f>IF(I692="","",I692+6)</f>
        <v/>
      </c>
      <c r="K692" s="6">
        <f>IF(OR(A692="",B692=""),"",DATE(YEAR(B692),MONTH(B692),1))</f>
        <v/>
      </c>
      <c r="L692" s="7">
        <f>IF(COUNTA(A692,B692)=0,"",IF(OR(A692="",B692=""),"Preencher CPF e entrada",IF(COUNTIFS($A$12:$A$5011,A692,$B$12:$B$5011,B692)&gt;1,"CPF + dia duplicado",IF(OR(AND(E692&lt;&gt;"",E692&lt;B692),AND(F692&lt;&gt;"",F692&lt;B692)),"Evento anterior à entrada",IF(AND(F692&lt;&gt;"",E692=""),"Conversa sem agendamento",IF(OR(E692&gt;TODAY(),F692&gt;TODAY()),"Verificar evento futuro","OK"))))))</f>
        <v/>
      </c>
    </row>
    <row r="693" spans="9:12">
      <c r="I693" s="5">
        <f>IF(OR(A693="",B693=""),"",B693-WEEKDAY(B693,2)+1)</f>
        <v/>
      </c>
      <c r="J693" s="5">
        <f>IF(I693="","",I693+6)</f>
        <v/>
      </c>
      <c r="K693" s="6">
        <f>IF(OR(A693="",B693=""),"",DATE(YEAR(B693),MONTH(B693),1))</f>
        <v/>
      </c>
      <c r="L693" s="7">
        <f>IF(COUNTA(A693,B693)=0,"",IF(OR(A693="",B693=""),"Preencher CPF e entrada",IF(COUNTIFS($A$12:$A$5011,A693,$B$12:$B$5011,B693)&gt;1,"CPF + dia duplicado",IF(OR(AND(E693&lt;&gt;"",E693&lt;B693),AND(F693&lt;&gt;"",F693&lt;B693)),"Evento anterior à entrada",IF(AND(F693&lt;&gt;"",E693=""),"Conversa sem agendamento",IF(OR(E693&gt;TODAY(),F693&gt;TODAY()),"Verificar evento futuro","OK"))))))</f>
        <v/>
      </c>
    </row>
    <row r="694" spans="9:12">
      <c r="I694" s="5">
        <f>IF(OR(A694="",B694=""),"",B694-WEEKDAY(B694,2)+1)</f>
        <v/>
      </c>
      <c r="J694" s="5">
        <f>IF(I694="","",I694+6)</f>
        <v/>
      </c>
      <c r="K694" s="6">
        <f>IF(OR(A694="",B694=""),"",DATE(YEAR(B694),MONTH(B694),1))</f>
        <v/>
      </c>
      <c r="L694" s="7">
        <f>IF(COUNTA(A694,B694)=0,"",IF(OR(A694="",B694=""),"Preencher CPF e entrada",IF(COUNTIFS($A$12:$A$5011,A694,$B$12:$B$5011,B694)&gt;1,"CPF + dia duplicado",IF(OR(AND(E694&lt;&gt;"",E694&lt;B694),AND(F694&lt;&gt;"",F694&lt;B694)),"Evento anterior à entrada",IF(AND(F694&lt;&gt;"",E694=""),"Conversa sem agendamento",IF(OR(E694&gt;TODAY(),F694&gt;TODAY()),"Verificar evento futuro","OK"))))))</f>
        <v/>
      </c>
    </row>
    <row r="695" spans="9:12">
      <c r="I695" s="5">
        <f>IF(OR(A695="",B695=""),"",B695-WEEKDAY(B695,2)+1)</f>
        <v/>
      </c>
      <c r="J695" s="5">
        <f>IF(I695="","",I695+6)</f>
        <v/>
      </c>
      <c r="K695" s="6">
        <f>IF(OR(A695="",B695=""),"",DATE(YEAR(B695),MONTH(B695),1))</f>
        <v/>
      </c>
      <c r="L695" s="7">
        <f>IF(COUNTA(A695,B695)=0,"",IF(OR(A695="",B695=""),"Preencher CPF e entrada",IF(COUNTIFS($A$12:$A$5011,A695,$B$12:$B$5011,B695)&gt;1,"CPF + dia duplicado",IF(OR(AND(E695&lt;&gt;"",E695&lt;B695),AND(F695&lt;&gt;"",F695&lt;B695)),"Evento anterior à entrada",IF(AND(F695&lt;&gt;"",E695=""),"Conversa sem agendamento",IF(OR(E695&gt;TODAY(),F695&gt;TODAY()),"Verificar evento futuro","OK"))))))</f>
        <v/>
      </c>
    </row>
    <row r="696" spans="9:12">
      <c r="I696" s="5">
        <f>IF(OR(A696="",B696=""),"",B696-WEEKDAY(B696,2)+1)</f>
        <v/>
      </c>
      <c r="J696" s="5">
        <f>IF(I696="","",I696+6)</f>
        <v/>
      </c>
      <c r="K696" s="6">
        <f>IF(OR(A696="",B696=""),"",DATE(YEAR(B696),MONTH(B696),1))</f>
        <v/>
      </c>
      <c r="L696" s="7">
        <f>IF(COUNTA(A696,B696)=0,"",IF(OR(A696="",B696=""),"Preencher CPF e entrada",IF(COUNTIFS($A$12:$A$5011,A696,$B$12:$B$5011,B696)&gt;1,"CPF + dia duplicado",IF(OR(AND(E696&lt;&gt;"",E696&lt;B696),AND(F696&lt;&gt;"",F696&lt;B696)),"Evento anterior à entrada",IF(AND(F696&lt;&gt;"",E696=""),"Conversa sem agendamento",IF(OR(E696&gt;TODAY(),F696&gt;TODAY()),"Verificar evento futuro","OK"))))))</f>
        <v/>
      </c>
    </row>
    <row r="697" spans="9:12">
      <c r="I697" s="5">
        <f>IF(OR(A697="",B697=""),"",B697-WEEKDAY(B697,2)+1)</f>
        <v/>
      </c>
      <c r="J697" s="5">
        <f>IF(I697="","",I697+6)</f>
        <v/>
      </c>
      <c r="K697" s="6">
        <f>IF(OR(A697="",B697=""),"",DATE(YEAR(B697),MONTH(B697),1))</f>
        <v/>
      </c>
      <c r="L697" s="7">
        <f>IF(COUNTA(A697,B697)=0,"",IF(OR(A697="",B697=""),"Preencher CPF e entrada",IF(COUNTIFS($A$12:$A$5011,A697,$B$12:$B$5011,B697)&gt;1,"CPF + dia duplicado",IF(OR(AND(E697&lt;&gt;"",E697&lt;B697),AND(F697&lt;&gt;"",F697&lt;B697)),"Evento anterior à entrada",IF(AND(F697&lt;&gt;"",E697=""),"Conversa sem agendamento",IF(OR(E697&gt;TODAY(),F697&gt;TODAY()),"Verificar evento futuro","OK"))))))</f>
        <v/>
      </c>
    </row>
    <row r="698" spans="9:12">
      <c r="I698" s="5">
        <f>IF(OR(A698="",B698=""),"",B698-WEEKDAY(B698,2)+1)</f>
        <v/>
      </c>
      <c r="J698" s="5">
        <f>IF(I698="","",I698+6)</f>
        <v/>
      </c>
      <c r="K698" s="6">
        <f>IF(OR(A698="",B698=""),"",DATE(YEAR(B698),MONTH(B698),1))</f>
        <v/>
      </c>
      <c r="L698" s="7">
        <f>IF(COUNTA(A698,B698)=0,"",IF(OR(A698="",B698=""),"Preencher CPF e entrada",IF(COUNTIFS($A$12:$A$5011,A698,$B$12:$B$5011,B698)&gt;1,"CPF + dia duplicado",IF(OR(AND(E698&lt;&gt;"",E698&lt;B698),AND(F698&lt;&gt;"",F698&lt;B698)),"Evento anterior à entrada",IF(AND(F698&lt;&gt;"",E698=""),"Conversa sem agendamento",IF(OR(E698&gt;TODAY(),F698&gt;TODAY()),"Verificar evento futuro","OK"))))))</f>
        <v/>
      </c>
    </row>
    <row r="699" spans="9:12">
      <c r="I699" s="5">
        <f>IF(OR(A699="",B699=""),"",B699-WEEKDAY(B699,2)+1)</f>
        <v/>
      </c>
      <c r="J699" s="5">
        <f>IF(I699="","",I699+6)</f>
        <v/>
      </c>
      <c r="K699" s="6">
        <f>IF(OR(A699="",B699=""),"",DATE(YEAR(B699),MONTH(B699),1))</f>
        <v/>
      </c>
      <c r="L699" s="7">
        <f>IF(COUNTA(A699,B699)=0,"",IF(OR(A699="",B699=""),"Preencher CPF e entrada",IF(COUNTIFS($A$12:$A$5011,A699,$B$12:$B$5011,B699)&gt;1,"CPF + dia duplicado",IF(OR(AND(E699&lt;&gt;"",E699&lt;B699),AND(F699&lt;&gt;"",F699&lt;B699)),"Evento anterior à entrada",IF(AND(F699&lt;&gt;"",E699=""),"Conversa sem agendamento",IF(OR(E699&gt;TODAY(),F699&gt;TODAY()),"Verificar evento futuro","OK"))))))</f>
        <v/>
      </c>
    </row>
    <row r="700" spans="9:12">
      <c r="I700" s="5">
        <f>IF(OR(A700="",B700=""),"",B700-WEEKDAY(B700,2)+1)</f>
        <v/>
      </c>
      <c r="J700" s="5">
        <f>IF(I700="","",I700+6)</f>
        <v/>
      </c>
      <c r="K700" s="6">
        <f>IF(OR(A700="",B700=""),"",DATE(YEAR(B700),MONTH(B700),1))</f>
        <v/>
      </c>
      <c r="L700" s="7">
        <f>IF(COUNTA(A700,B700)=0,"",IF(OR(A700="",B700=""),"Preencher CPF e entrada",IF(COUNTIFS($A$12:$A$5011,A700,$B$12:$B$5011,B700)&gt;1,"CPF + dia duplicado",IF(OR(AND(E700&lt;&gt;"",E700&lt;B700),AND(F700&lt;&gt;"",F700&lt;B700)),"Evento anterior à entrada",IF(AND(F700&lt;&gt;"",E700=""),"Conversa sem agendamento",IF(OR(E700&gt;TODAY(),F700&gt;TODAY()),"Verificar evento futuro","OK"))))))</f>
        <v/>
      </c>
    </row>
    <row r="701" spans="9:12">
      <c r="I701" s="5">
        <f>IF(OR(A701="",B701=""),"",B701-WEEKDAY(B701,2)+1)</f>
        <v/>
      </c>
      <c r="J701" s="5">
        <f>IF(I701="","",I701+6)</f>
        <v/>
      </c>
      <c r="K701" s="6">
        <f>IF(OR(A701="",B701=""),"",DATE(YEAR(B701),MONTH(B701),1))</f>
        <v/>
      </c>
      <c r="L701" s="7">
        <f>IF(COUNTA(A701,B701)=0,"",IF(OR(A701="",B701=""),"Preencher CPF e entrada",IF(COUNTIFS($A$12:$A$5011,A701,$B$12:$B$5011,B701)&gt;1,"CPF + dia duplicado",IF(OR(AND(E701&lt;&gt;"",E701&lt;B701),AND(F701&lt;&gt;"",F701&lt;B701)),"Evento anterior à entrada",IF(AND(F701&lt;&gt;"",E701=""),"Conversa sem agendamento",IF(OR(E701&gt;TODAY(),F701&gt;TODAY()),"Verificar evento futuro","OK"))))))</f>
        <v/>
      </c>
    </row>
    <row r="702" spans="9:12">
      <c r="I702" s="5">
        <f>IF(OR(A702="",B702=""),"",B702-WEEKDAY(B702,2)+1)</f>
        <v/>
      </c>
      <c r="J702" s="5">
        <f>IF(I702="","",I702+6)</f>
        <v/>
      </c>
      <c r="K702" s="6">
        <f>IF(OR(A702="",B702=""),"",DATE(YEAR(B702),MONTH(B702),1))</f>
        <v/>
      </c>
      <c r="L702" s="7">
        <f>IF(COUNTA(A702,B702)=0,"",IF(OR(A702="",B702=""),"Preencher CPF e entrada",IF(COUNTIFS($A$12:$A$5011,A702,$B$12:$B$5011,B702)&gt;1,"CPF + dia duplicado",IF(OR(AND(E702&lt;&gt;"",E702&lt;B702),AND(F702&lt;&gt;"",F702&lt;B702)),"Evento anterior à entrada",IF(AND(F702&lt;&gt;"",E702=""),"Conversa sem agendamento",IF(OR(E702&gt;TODAY(),F702&gt;TODAY()),"Verificar evento futuro","OK"))))))</f>
        <v/>
      </c>
    </row>
    <row r="703" spans="9:12">
      <c r="I703" s="5">
        <f>IF(OR(A703="",B703=""),"",B703-WEEKDAY(B703,2)+1)</f>
        <v/>
      </c>
      <c r="J703" s="5">
        <f>IF(I703="","",I703+6)</f>
        <v/>
      </c>
      <c r="K703" s="6">
        <f>IF(OR(A703="",B703=""),"",DATE(YEAR(B703),MONTH(B703),1))</f>
        <v/>
      </c>
      <c r="L703" s="7">
        <f>IF(COUNTA(A703,B703)=0,"",IF(OR(A703="",B703=""),"Preencher CPF e entrada",IF(COUNTIFS($A$12:$A$5011,A703,$B$12:$B$5011,B703)&gt;1,"CPF + dia duplicado",IF(OR(AND(E703&lt;&gt;"",E703&lt;B703),AND(F703&lt;&gt;"",F703&lt;B703)),"Evento anterior à entrada",IF(AND(F703&lt;&gt;"",E703=""),"Conversa sem agendamento",IF(OR(E703&gt;TODAY(),F703&gt;TODAY()),"Verificar evento futuro","OK"))))))</f>
        <v/>
      </c>
    </row>
    <row r="704" spans="9:12">
      <c r="I704" s="5">
        <f>IF(OR(A704="",B704=""),"",B704-WEEKDAY(B704,2)+1)</f>
        <v/>
      </c>
      <c r="J704" s="5">
        <f>IF(I704="","",I704+6)</f>
        <v/>
      </c>
      <c r="K704" s="6">
        <f>IF(OR(A704="",B704=""),"",DATE(YEAR(B704),MONTH(B704),1))</f>
        <v/>
      </c>
      <c r="L704" s="7">
        <f>IF(COUNTA(A704,B704)=0,"",IF(OR(A704="",B704=""),"Preencher CPF e entrada",IF(COUNTIFS($A$12:$A$5011,A704,$B$12:$B$5011,B704)&gt;1,"CPF + dia duplicado",IF(OR(AND(E704&lt;&gt;"",E704&lt;B704),AND(F704&lt;&gt;"",F704&lt;B704)),"Evento anterior à entrada",IF(AND(F704&lt;&gt;"",E704=""),"Conversa sem agendamento",IF(OR(E704&gt;TODAY(),F704&gt;TODAY()),"Verificar evento futuro","OK"))))))</f>
        <v/>
      </c>
    </row>
    <row r="705" spans="9:12">
      <c r="I705" s="5">
        <f>IF(OR(A705="",B705=""),"",B705-WEEKDAY(B705,2)+1)</f>
        <v/>
      </c>
      <c r="J705" s="5">
        <f>IF(I705="","",I705+6)</f>
        <v/>
      </c>
      <c r="K705" s="6">
        <f>IF(OR(A705="",B705=""),"",DATE(YEAR(B705),MONTH(B705),1))</f>
        <v/>
      </c>
      <c r="L705" s="7">
        <f>IF(COUNTA(A705,B705)=0,"",IF(OR(A705="",B705=""),"Preencher CPF e entrada",IF(COUNTIFS($A$12:$A$5011,A705,$B$12:$B$5011,B705)&gt;1,"CPF + dia duplicado",IF(OR(AND(E705&lt;&gt;"",E705&lt;B705),AND(F705&lt;&gt;"",F705&lt;B705)),"Evento anterior à entrada",IF(AND(F705&lt;&gt;"",E705=""),"Conversa sem agendamento",IF(OR(E705&gt;TODAY(),F705&gt;TODAY()),"Verificar evento futuro","OK"))))))</f>
        <v/>
      </c>
    </row>
    <row r="706" spans="9:12">
      <c r="I706" s="5">
        <f>IF(OR(A706="",B706=""),"",B706-WEEKDAY(B706,2)+1)</f>
        <v/>
      </c>
      <c r="J706" s="5">
        <f>IF(I706="","",I706+6)</f>
        <v/>
      </c>
      <c r="K706" s="6">
        <f>IF(OR(A706="",B706=""),"",DATE(YEAR(B706),MONTH(B706),1))</f>
        <v/>
      </c>
      <c r="L706" s="7">
        <f>IF(COUNTA(A706,B706)=0,"",IF(OR(A706="",B706=""),"Preencher CPF e entrada",IF(COUNTIFS($A$12:$A$5011,A706,$B$12:$B$5011,B706)&gt;1,"CPF + dia duplicado",IF(OR(AND(E706&lt;&gt;"",E706&lt;B706),AND(F706&lt;&gt;"",F706&lt;B706)),"Evento anterior à entrada",IF(AND(F706&lt;&gt;"",E706=""),"Conversa sem agendamento",IF(OR(E706&gt;TODAY(),F706&gt;TODAY()),"Verificar evento futuro","OK"))))))</f>
        <v/>
      </c>
    </row>
    <row r="707" spans="9:12">
      <c r="I707" s="5">
        <f>IF(OR(A707="",B707=""),"",B707-WEEKDAY(B707,2)+1)</f>
        <v/>
      </c>
      <c r="J707" s="5">
        <f>IF(I707="","",I707+6)</f>
        <v/>
      </c>
      <c r="K707" s="6">
        <f>IF(OR(A707="",B707=""),"",DATE(YEAR(B707),MONTH(B707),1))</f>
        <v/>
      </c>
      <c r="L707" s="7">
        <f>IF(COUNTA(A707,B707)=0,"",IF(OR(A707="",B707=""),"Preencher CPF e entrada",IF(COUNTIFS($A$12:$A$5011,A707,$B$12:$B$5011,B707)&gt;1,"CPF + dia duplicado",IF(OR(AND(E707&lt;&gt;"",E707&lt;B707),AND(F707&lt;&gt;"",F707&lt;B707)),"Evento anterior à entrada",IF(AND(F707&lt;&gt;"",E707=""),"Conversa sem agendamento",IF(OR(E707&gt;TODAY(),F707&gt;TODAY()),"Verificar evento futuro","OK"))))))</f>
        <v/>
      </c>
    </row>
    <row r="708" spans="9:12">
      <c r="I708" s="5">
        <f>IF(OR(A708="",B708=""),"",B708-WEEKDAY(B708,2)+1)</f>
        <v/>
      </c>
      <c r="J708" s="5">
        <f>IF(I708="","",I708+6)</f>
        <v/>
      </c>
      <c r="K708" s="6">
        <f>IF(OR(A708="",B708=""),"",DATE(YEAR(B708),MONTH(B708),1))</f>
        <v/>
      </c>
      <c r="L708" s="7">
        <f>IF(COUNTA(A708,B708)=0,"",IF(OR(A708="",B708=""),"Preencher CPF e entrada",IF(COUNTIFS($A$12:$A$5011,A708,$B$12:$B$5011,B708)&gt;1,"CPF + dia duplicado",IF(OR(AND(E708&lt;&gt;"",E708&lt;B708),AND(F708&lt;&gt;"",F708&lt;B708)),"Evento anterior à entrada",IF(AND(F708&lt;&gt;"",E708=""),"Conversa sem agendamento",IF(OR(E708&gt;TODAY(),F708&gt;TODAY()),"Verificar evento futuro","OK"))))))</f>
        <v/>
      </c>
    </row>
    <row r="709" spans="9:12">
      <c r="I709" s="5">
        <f>IF(OR(A709="",B709=""),"",B709-WEEKDAY(B709,2)+1)</f>
        <v/>
      </c>
      <c r="J709" s="5">
        <f>IF(I709="","",I709+6)</f>
        <v/>
      </c>
      <c r="K709" s="6">
        <f>IF(OR(A709="",B709=""),"",DATE(YEAR(B709),MONTH(B709),1))</f>
        <v/>
      </c>
      <c r="L709" s="7">
        <f>IF(COUNTA(A709,B709)=0,"",IF(OR(A709="",B709=""),"Preencher CPF e entrada",IF(COUNTIFS($A$12:$A$5011,A709,$B$12:$B$5011,B709)&gt;1,"CPF + dia duplicado",IF(OR(AND(E709&lt;&gt;"",E709&lt;B709),AND(F709&lt;&gt;"",F709&lt;B709)),"Evento anterior à entrada",IF(AND(F709&lt;&gt;"",E709=""),"Conversa sem agendamento",IF(OR(E709&gt;TODAY(),F709&gt;TODAY()),"Verificar evento futuro","OK"))))))</f>
        <v/>
      </c>
    </row>
    <row r="710" spans="9:12">
      <c r="I710" s="5">
        <f>IF(OR(A710="",B710=""),"",B710-WEEKDAY(B710,2)+1)</f>
        <v/>
      </c>
      <c r="J710" s="5">
        <f>IF(I710="","",I710+6)</f>
        <v/>
      </c>
      <c r="K710" s="6">
        <f>IF(OR(A710="",B710=""),"",DATE(YEAR(B710),MONTH(B710),1))</f>
        <v/>
      </c>
      <c r="L710" s="7">
        <f>IF(COUNTA(A710,B710)=0,"",IF(OR(A710="",B710=""),"Preencher CPF e entrada",IF(COUNTIFS($A$12:$A$5011,A710,$B$12:$B$5011,B710)&gt;1,"CPF + dia duplicado",IF(OR(AND(E710&lt;&gt;"",E710&lt;B710),AND(F710&lt;&gt;"",F710&lt;B710)),"Evento anterior à entrada",IF(AND(F710&lt;&gt;"",E710=""),"Conversa sem agendamento",IF(OR(E710&gt;TODAY(),F710&gt;TODAY()),"Verificar evento futuro","OK"))))))</f>
        <v/>
      </c>
    </row>
    <row r="711" spans="9:12">
      <c r="I711" s="5">
        <f>IF(OR(A711="",B711=""),"",B711-WEEKDAY(B711,2)+1)</f>
        <v/>
      </c>
      <c r="J711" s="5">
        <f>IF(I711="","",I711+6)</f>
        <v/>
      </c>
      <c r="K711" s="6">
        <f>IF(OR(A711="",B711=""),"",DATE(YEAR(B711),MONTH(B711),1))</f>
        <v/>
      </c>
      <c r="L711" s="7">
        <f>IF(COUNTA(A711,B711)=0,"",IF(OR(A711="",B711=""),"Preencher CPF e entrada",IF(COUNTIFS($A$12:$A$5011,A711,$B$12:$B$5011,B711)&gt;1,"CPF + dia duplicado",IF(OR(AND(E711&lt;&gt;"",E711&lt;B711),AND(F711&lt;&gt;"",F711&lt;B711)),"Evento anterior à entrada",IF(AND(F711&lt;&gt;"",E711=""),"Conversa sem agendamento",IF(OR(E711&gt;TODAY(),F711&gt;TODAY()),"Verificar evento futuro","OK"))))))</f>
        <v/>
      </c>
    </row>
    <row r="712" spans="9:12">
      <c r="I712" s="5">
        <f>IF(OR(A712="",B712=""),"",B712-WEEKDAY(B712,2)+1)</f>
        <v/>
      </c>
      <c r="J712" s="5">
        <f>IF(I712="","",I712+6)</f>
        <v/>
      </c>
      <c r="K712" s="6">
        <f>IF(OR(A712="",B712=""),"",DATE(YEAR(B712),MONTH(B712),1))</f>
        <v/>
      </c>
      <c r="L712" s="7">
        <f>IF(COUNTA(A712,B712)=0,"",IF(OR(A712="",B712=""),"Preencher CPF e entrada",IF(COUNTIFS($A$12:$A$5011,A712,$B$12:$B$5011,B712)&gt;1,"CPF + dia duplicado",IF(OR(AND(E712&lt;&gt;"",E712&lt;B712),AND(F712&lt;&gt;"",F712&lt;B712)),"Evento anterior à entrada",IF(AND(F712&lt;&gt;"",E712=""),"Conversa sem agendamento",IF(OR(E712&gt;TODAY(),F712&gt;TODAY()),"Verificar evento futuro","OK"))))))</f>
        <v/>
      </c>
    </row>
    <row r="713" spans="9:12">
      <c r="I713" s="5">
        <f>IF(OR(A713="",B713=""),"",B713-WEEKDAY(B713,2)+1)</f>
        <v/>
      </c>
      <c r="J713" s="5">
        <f>IF(I713="","",I713+6)</f>
        <v/>
      </c>
      <c r="K713" s="6">
        <f>IF(OR(A713="",B713=""),"",DATE(YEAR(B713),MONTH(B713),1))</f>
        <v/>
      </c>
      <c r="L713" s="7">
        <f>IF(COUNTA(A713,B713)=0,"",IF(OR(A713="",B713=""),"Preencher CPF e entrada",IF(COUNTIFS($A$12:$A$5011,A713,$B$12:$B$5011,B713)&gt;1,"CPF + dia duplicado",IF(OR(AND(E713&lt;&gt;"",E713&lt;B713),AND(F713&lt;&gt;"",F713&lt;B713)),"Evento anterior à entrada",IF(AND(F713&lt;&gt;"",E713=""),"Conversa sem agendamento",IF(OR(E713&gt;TODAY(),F713&gt;TODAY()),"Verificar evento futuro","OK"))))))</f>
        <v/>
      </c>
    </row>
    <row r="714" spans="9:12">
      <c r="I714" s="5">
        <f>IF(OR(A714="",B714=""),"",B714-WEEKDAY(B714,2)+1)</f>
        <v/>
      </c>
      <c r="J714" s="5">
        <f>IF(I714="","",I714+6)</f>
        <v/>
      </c>
      <c r="K714" s="6">
        <f>IF(OR(A714="",B714=""),"",DATE(YEAR(B714),MONTH(B714),1))</f>
        <v/>
      </c>
      <c r="L714" s="7">
        <f>IF(COUNTA(A714,B714)=0,"",IF(OR(A714="",B714=""),"Preencher CPF e entrada",IF(COUNTIFS($A$12:$A$5011,A714,$B$12:$B$5011,B714)&gt;1,"CPF + dia duplicado",IF(OR(AND(E714&lt;&gt;"",E714&lt;B714),AND(F714&lt;&gt;"",F714&lt;B714)),"Evento anterior à entrada",IF(AND(F714&lt;&gt;"",E714=""),"Conversa sem agendamento",IF(OR(E714&gt;TODAY(),F714&gt;TODAY()),"Verificar evento futuro","OK"))))))</f>
        <v/>
      </c>
    </row>
    <row r="715" spans="9:12">
      <c r="I715" s="5">
        <f>IF(OR(A715="",B715=""),"",B715-WEEKDAY(B715,2)+1)</f>
        <v/>
      </c>
      <c r="J715" s="5">
        <f>IF(I715="","",I715+6)</f>
        <v/>
      </c>
      <c r="K715" s="6">
        <f>IF(OR(A715="",B715=""),"",DATE(YEAR(B715),MONTH(B715),1))</f>
        <v/>
      </c>
      <c r="L715" s="7">
        <f>IF(COUNTA(A715,B715)=0,"",IF(OR(A715="",B715=""),"Preencher CPF e entrada",IF(COUNTIFS($A$12:$A$5011,A715,$B$12:$B$5011,B715)&gt;1,"CPF + dia duplicado",IF(OR(AND(E715&lt;&gt;"",E715&lt;B715),AND(F715&lt;&gt;"",F715&lt;B715)),"Evento anterior à entrada",IF(AND(F715&lt;&gt;"",E715=""),"Conversa sem agendamento",IF(OR(E715&gt;TODAY(),F715&gt;TODAY()),"Verificar evento futuro","OK"))))))</f>
        <v/>
      </c>
    </row>
    <row r="716" spans="9:12">
      <c r="I716" s="5">
        <f>IF(OR(A716="",B716=""),"",B716-WEEKDAY(B716,2)+1)</f>
        <v/>
      </c>
      <c r="J716" s="5">
        <f>IF(I716="","",I716+6)</f>
        <v/>
      </c>
      <c r="K716" s="6">
        <f>IF(OR(A716="",B716=""),"",DATE(YEAR(B716),MONTH(B716),1))</f>
        <v/>
      </c>
      <c r="L716" s="7">
        <f>IF(COUNTA(A716,B716)=0,"",IF(OR(A716="",B716=""),"Preencher CPF e entrada",IF(COUNTIFS($A$12:$A$5011,A716,$B$12:$B$5011,B716)&gt;1,"CPF + dia duplicado",IF(OR(AND(E716&lt;&gt;"",E716&lt;B716),AND(F716&lt;&gt;"",F716&lt;B716)),"Evento anterior à entrada",IF(AND(F716&lt;&gt;"",E716=""),"Conversa sem agendamento",IF(OR(E716&gt;TODAY(),F716&gt;TODAY()),"Verificar evento futuro","OK"))))))</f>
        <v/>
      </c>
    </row>
    <row r="717" spans="9:12">
      <c r="I717" s="5">
        <f>IF(OR(A717="",B717=""),"",B717-WEEKDAY(B717,2)+1)</f>
        <v/>
      </c>
      <c r="J717" s="5">
        <f>IF(I717="","",I717+6)</f>
        <v/>
      </c>
      <c r="K717" s="6">
        <f>IF(OR(A717="",B717=""),"",DATE(YEAR(B717),MONTH(B717),1))</f>
        <v/>
      </c>
      <c r="L717" s="7">
        <f>IF(COUNTA(A717,B717)=0,"",IF(OR(A717="",B717=""),"Preencher CPF e entrada",IF(COUNTIFS($A$12:$A$5011,A717,$B$12:$B$5011,B717)&gt;1,"CPF + dia duplicado",IF(OR(AND(E717&lt;&gt;"",E717&lt;B717),AND(F717&lt;&gt;"",F717&lt;B717)),"Evento anterior à entrada",IF(AND(F717&lt;&gt;"",E717=""),"Conversa sem agendamento",IF(OR(E717&gt;TODAY(),F717&gt;TODAY()),"Verificar evento futuro","OK"))))))</f>
        <v/>
      </c>
    </row>
    <row r="718" spans="9:12">
      <c r="I718" s="5">
        <f>IF(OR(A718="",B718=""),"",B718-WEEKDAY(B718,2)+1)</f>
        <v/>
      </c>
      <c r="J718" s="5">
        <f>IF(I718="","",I718+6)</f>
        <v/>
      </c>
      <c r="K718" s="6">
        <f>IF(OR(A718="",B718=""),"",DATE(YEAR(B718),MONTH(B718),1))</f>
        <v/>
      </c>
      <c r="L718" s="7">
        <f>IF(COUNTA(A718,B718)=0,"",IF(OR(A718="",B718=""),"Preencher CPF e entrada",IF(COUNTIFS($A$12:$A$5011,A718,$B$12:$B$5011,B718)&gt;1,"CPF + dia duplicado",IF(OR(AND(E718&lt;&gt;"",E718&lt;B718),AND(F718&lt;&gt;"",F718&lt;B718)),"Evento anterior à entrada",IF(AND(F718&lt;&gt;"",E718=""),"Conversa sem agendamento",IF(OR(E718&gt;TODAY(),F718&gt;TODAY()),"Verificar evento futuro","OK"))))))</f>
        <v/>
      </c>
    </row>
    <row r="719" spans="9:12">
      <c r="I719" s="5">
        <f>IF(OR(A719="",B719=""),"",B719-WEEKDAY(B719,2)+1)</f>
        <v/>
      </c>
      <c r="J719" s="5">
        <f>IF(I719="","",I719+6)</f>
        <v/>
      </c>
      <c r="K719" s="6">
        <f>IF(OR(A719="",B719=""),"",DATE(YEAR(B719),MONTH(B719),1))</f>
        <v/>
      </c>
      <c r="L719" s="7">
        <f>IF(COUNTA(A719,B719)=0,"",IF(OR(A719="",B719=""),"Preencher CPF e entrada",IF(COUNTIFS($A$12:$A$5011,A719,$B$12:$B$5011,B719)&gt;1,"CPF + dia duplicado",IF(OR(AND(E719&lt;&gt;"",E719&lt;B719),AND(F719&lt;&gt;"",F719&lt;B719)),"Evento anterior à entrada",IF(AND(F719&lt;&gt;"",E719=""),"Conversa sem agendamento",IF(OR(E719&gt;TODAY(),F719&gt;TODAY()),"Verificar evento futuro","OK"))))))</f>
        <v/>
      </c>
    </row>
    <row r="720" spans="9:12">
      <c r="I720" s="5">
        <f>IF(OR(A720="",B720=""),"",B720-WEEKDAY(B720,2)+1)</f>
        <v/>
      </c>
      <c r="J720" s="5">
        <f>IF(I720="","",I720+6)</f>
        <v/>
      </c>
      <c r="K720" s="6">
        <f>IF(OR(A720="",B720=""),"",DATE(YEAR(B720),MONTH(B720),1))</f>
        <v/>
      </c>
      <c r="L720" s="7">
        <f>IF(COUNTA(A720,B720)=0,"",IF(OR(A720="",B720=""),"Preencher CPF e entrada",IF(COUNTIFS($A$12:$A$5011,A720,$B$12:$B$5011,B720)&gt;1,"CPF + dia duplicado",IF(OR(AND(E720&lt;&gt;"",E720&lt;B720),AND(F720&lt;&gt;"",F720&lt;B720)),"Evento anterior à entrada",IF(AND(F720&lt;&gt;"",E720=""),"Conversa sem agendamento",IF(OR(E720&gt;TODAY(),F720&gt;TODAY()),"Verificar evento futuro","OK"))))))</f>
        <v/>
      </c>
    </row>
    <row r="721" spans="9:12">
      <c r="I721" s="5">
        <f>IF(OR(A721="",B721=""),"",B721-WEEKDAY(B721,2)+1)</f>
        <v/>
      </c>
      <c r="J721" s="5">
        <f>IF(I721="","",I721+6)</f>
        <v/>
      </c>
      <c r="K721" s="6">
        <f>IF(OR(A721="",B721=""),"",DATE(YEAR(B721),MONTH(B721),1))</f>
        <v/>
      </c>
      <c r="L721" s="7">
        <f>IF(COUNTA(A721,B721)=0,"",IF(OR(A721="",B721=""),"Preencher CPF e entrada",IF(COUNTIFS($A$12:$A$5011,A721,$B$12:$B$5011,B721)&gt;1,"CPF + dia duplicado",IF(OR(AND(E721&lt;&gt;"",E721&lt;B721),AND(F721&lt;&gt;"",F721&lt;B721)),"Evento anterior à entrada",IF(AND(F721&lt;&gt;"",E721=""),"Conversa sem agendamento",IF(OR(E721&gt;TODAY(),F721&gt;TODAY()),"Verificar evento futuro","OK"))))))</f>
        <v/>
      </c>
    </row>
    <row r="722" spans="9:12">
      <c r="I722" s="5">
        <f>IF(OR(A722="",B722=""),"",B722-WEEKDAY(B722,2)+1)</f>
        <v/>
      </c>
      <c r="J722" s="5">
        <f>IF(I722="","",I722+6)</f>
        <v/>
      </c>
      <c r="K722" s="6">
        <f>IF(OR(A722="",B722=""),"",DATE(YEAR(B722),MONTH(B722),1))</f>
        <v/>
      </c>
      <c r="L722" s="7">
        <f>IF(COUNTA(A722,B722)=0,"",IF(OR(A722="",B722=""),"Preencher CPF e entrada",IF(COUNTIFS($A$12:$A$5011,A722,$B$12:$B$5011,B722)&gt;1,"CPF + dia duplicado",IF(OR(AND(E722&lt;&gt;"",E722&lt;B722),AND(F722&lt;&gt;"",F722&lt;B722)),"Evento anterior à entrada",IF(AND(F722&lt;&gt;"",E722=""),"Conversa sem agendamento",IF(OR(E722&gt;TODAY(),F722&gt;TODAY()),"Verificar evento futuro","OK"))))))</f>
        <v/>
      </c>
    </row>
    <row r="723" spans="9:12">
      <c r="I723" s="5">
        <f>IF(OR(A723="",B723=""),"",B723-WEEKDAY(B723,2)+1)</f>
        <v/>
      </c>
      <c r="J723" s="5">
        <f>IF(I723="","",I723+6)</f>
        <v/>
      </c>
      <c r="K723" s="6">
        <f>IF(OR(A723="",B723=""),"",DATE(YEAR(B723),MONTH(B723),1))</f>
        <v/>
      </c>
      <c r="L723" s="7">
        <f>IF(COUNTA(A723,B723)=0,"",IF(OR(A723="",B723=""),"Preencher CPF e entrada",IF(COUNTIFS($A$12:$A$5011,A723,$B$12:$B$5011,B723)&gt;1,"CPF + dia duplicado",IF(OR(AND(E723&lt;&gt;"",E723&lt;B723),AND(F723&lt;&gt;"",F723&lt;B723)),"Evento anterior à entrada",IF(AND(F723&lt;&gt;"",E723=""),"Conversa sem agendamento",IF(OR(E723&gt;TODAY(),F723&gt;TODAY()),"Verificar evento futuro","OK"))))))</f>
        <v/>
      </c>
    </row>
    <row r="724" spans="9:12">
      <c r="I724" s="5">
        <f>IF(OR(A724="",B724=""),"",B724-WEEKDAY(B724,2)+1)</f>
        <v/>
      </c>
      <c r="J724" s="5">
        <f>IF(I724="","",I724+6)</f>
        <v/>
      </c>
      <c r="K724" s="6">
        <f>IF(OR(A724="",B724=""),"",DATE(YEAR(B724),MONTH(B724),1))</f>
        <v/>
      </c>
      <c r="L724" s="7">
        <f>IF(COUNTA(A724,B724)=0,"",IF(OR(A724="",B724=""),"Preencher CPF e entrada",IF(COUNTIFS($A$12:$A$5011,A724,$B$12:$B$5011,B724)&gt;1,"CPF + dia duplicado",IF(OR(AND(E724&lt;&gt;"",E724&lt;B724),AND(F724&lt;&gt;"",F724&lt;B724)),"Evento anterior à entrada",IF(AND(F724&lt;&gt;"",E724=""),"Conversa sem agendamento",IF(OR(E724&gt;TODAY(),F724&gt;TODAY()),"Verificar evento futuro","OK"))))))</f>
        <v/>
      </c>
    </row>
    <row r="725" spans="9:12">
      <c r="I725" s="5">
        <f>IF(OR(A725="",B725=""),"",B725-WEEKDAY(B725,2)+1)</f>
        <v/>
      </c>
      <c r="J725" s="5">
        <f>IF(I725="","",I725+6)</f>
        <v/>
      </c>
      <c r="K725" s="6">
        <f>IF(OR(A725="",B725=""),"",DATE(YEAR(B725),MONTH(B725),1))</f>
        <v/>
      </c>
      <c r="L725" s="7">
        <f>IF(COUNTA(A725,B725)=0,"",IF(OR(A725="",B725=""),"Preencher CPF e entrada",IF(COUNTIFS($A$12:$A$5011,A725,$B$12:$B$5011,B725)&gt;1,"CPF + dia duplicado",IF(OR(AND(E725&lt;&gt;"",E725&lt;B725),AND(F725&lt;&gt;"",F725&lt;B725)),"Evento anterior à entrada",IF(AND(F725&lt;&gt;"",E725=""),"Conversa sem agendamento",IF(OR(E725&gt;TODAY(),F725&gt;TODAY()),"Verificar evento futuro","OK"))))))</f>
        <v/>
      </c>
    </row>
    <row r="726" spans="9:12">
      <c r="I726" s="5">
        <f>IF(OR(A726="",B726=""),"",B726-WEEKDAY(B726,2)+1)</f>
        <v/>
      </c>
      <c r="J726" s="5">
        <f>IF(I726="","",I726+6)</f>
        <v/>
      </c>
      <c r="K726" s="6">
        <f>IF(OR(A726="",B726=""),"",DATE(YEAR(B726),MONTH(B726),1))</f>
        <v/>
      </c>
      <c r="L726" s="7">
        <f>IF(COUNTA(A726,B726)=0,"",IF(OR(A726="",B726=""),"Preencher CPF e entrada",IF(COUNTIFS($A$12:$A$5011,A726,$B$12:$B$5011,B726)&gt;1,"CPF + dia duplicado",IF(OR(AND(E726&lt;&gt;"",E726&lt;B726),AND(F726&lt;&gt;"",F726&lt;B726)),"Evento anterior à entrada",IF(AND(F726&lt;&gt;"",E726=""),"Conversa sem agendamento",IF(OR(E726&gt;TODAY(),F726&gt;TODAY()),"Verificar evento futuro","OK"))))))</f>
        <v/>
      </c>
    </row>
    <row r="727" spans="9:12">
      <c r="I727" s="5">
        <f>IF(OR(A727="",B727=""),"",B727-WEEKDAY(B727,2)+1)</f>
        <v/>
      </c>
      <c r="J727" s="5">
        <f>IF(I727="","",I727+6)</f>
        <v/>
      </c>
      <c r="K727" s="6">
        <f>IF(OR(A727="",B727=""),"",DATE(YEAR(B727),MONTH(B727),1))</f>
        <v/>
      </c>
      <c r="L727" s="7">
        <f>IF(COUNTA(A727,B727)=0,"",IF(OR(A727="",B727=""),"Preencher CPF e entrada",IF(COUNTIFS($A$12:$A$5011,A727,$B$12:$B$5011,B727)&gt;1,"CPF + dia duplicado",IF(OR(AND(E727&lt;&gt;"",E727&lt;B727),AND(F727&lt;&gt;"",F727&lt;B727)),"Evento anterior à entrada",IF(AND(F727&lt;&gt;"",E727=""),"Conversa sem agendamento",IF(OR(E727&gt;TODAY(),F727&gt;TODAY()),"Verificar evento futuro","OK"))))))</f>
        <v/>
      </c>
    </row>
    <row r="728" spans="9:12">
      <c r="I728" s="5">
        <f>IF(OR(A728="",B728=""),"",B728-WEEKDAY(B728,2)+1)</f>
        <v/>
      </c>
      <c r="J728" s="5">
        <f>IF(I728="","",I728+6)</f>
        <v/>
      </c>
      <c r="K728" s="6">
        <f>IF(OR(A728="",B728=""),"",DATE(YEAR(B728),MONTH(B728),1))</f>
        <v/>
      </c>
      <c r="L728" s="7">
        <f>IF(COUNTA(A728,B728)=0,"",IF(OR(A728="",B728=""),"Preencher CPF e entrada",IF(COUNTIFS($A$12:$A$5011,A728,$B$12:$B$5011,B728)&gt;1,"CPF + dia duplicado",IF(OR(AND(E728&lt;&gt;"",E728&lt;B728),AND(F728&lt;&gt;"",F728&lt;B728)),"Evento anterior à entrada",IF(AND(F728&lt;&gt;"",E728=""),"Conversa sem agendamento",IF(OR(E728&gt;TODAY(),F728&gt;TODAY()),"Verificar evento futuro","OK"))))))</f>
        <v/>
      </c>
    </row>
    <row r="729" spans="9:12">
      <c r="I729" s="5">
        <f>IF(OR(A729="",B729=""),"",B729-WEEKDAY(B729,2)+1)</f>
        <v/>
      </c>
      <c r="J729" s="5">
        <f>IF(I729="","",I729+6)</f>
        <v/>
      </c>
      <c r="K729" s="6">
        <f>IF(OR(A729="",B729=""),"",DATE(YEAR(B729),MONTH(B729),1))</f>
        <v/>
      </c>
      <c r="L729" s="7">
        <f>IF(COUNTA(A729,B729)=0,"",IF(OR(A729="",B729=""),"Preencher CPF e entrada",IF(COUNTIFS($A$12:$A$5011,A729,$B$12:$B$5011,B729)&gt;1,"CPF + dia duplicado",IF(OR(AND(E729&lt;&gt;"",E729&lt;B729),AND(F729&lt;&gt;"",F729&lt;B729)),"Evento anterior à entrada",IF(AND(F729&lt;&gt;"",E729=""),"Conversa sem agendamento",IF(OR(E729&gt;TODAY(),F729&gt;TODAY()),"Verificar evento futuro","OK"))))))</f>
        <v/>
      </c>
    </row>
    <row r="730" spans="9:12">
      <c r="I730" s="5">
        <f>IF(OR(A730="",B730=""),"",B730-WEEKDAY(B730,2)+1)</f>
        <v/>
      </c>
      <c r="J730" s="5">
        <f>IF(I730="","",I730+6)</f>
        <v/>
      </c>
      <c r="K730" s="6">
        <f>IF(OR(A730="",B730=""),"",DATE(YEAR(B730),MONTH(B730),1))</f>
        <v/>
      </c>
      <c r="L730" s="7">
        <f>IF(COUNTA(A730,B730)=0,"",IF(OR(A730="",B730=""),"Preencher CPF e entrada",IF(COUNTIFS($A$12:$A$5011,A730,$B$12:$B$5011,B730)&gt;1,"CPF + dia duplicado",IF(OR(AND(E730&lt;&gt;"",E730&lt;B730),AND(F730&lt;&gt;"",F730&lt;B730)),"Evento anterior à entrada",IF(AND(F730&lt;&gt;"",E730=""),"Conversa sem agendamento",IF(OR(E730&gt;TODAY(),F730&gt;TODAY()),"Verificar evento futuro","OK"))))))</f>
        <v/>
      </c>
    </row>
    <row r="731" spans="9:12">
      <c r="I731" s="5">
        <f>IF(OR(A731="",B731=""),"",B731-WEEKDAY(B731,2)+1)</f>
        <v/>
      </c>
      <c r="J731" s="5">
        <f>IF(I731="","",I731+6)</f>
        <v/>
      </c>
      <c r="K731" s="6">
        <f>IF(OR(A731="",B731=""),"",DATE(YEAR(B731),MONTH(B731),1))</f>
        <v/>
      </c>
      <c r="L731" s="7">
        <f>IF(COUNTA(A731,B731)=0,"",IF(OR(A731="",B731=""),"Preencher CPF e entrada",IF(COUNTIFS($A$12:$A$5011,A731,$B$12:$B$5011,B731)&gt;1,"CPF + dia duplicado",IF(OR(AND(E731&lt;&gt;"",E731&lt;B731),AND(F731&lt;&gt;"",F731&lt;B731)),"Evento anterior à entrada",IF(AND(F731&lt;&gt;"",E731=""),"Conversa sem agendamento",IF(OR(E731&gt;TODAY(),F731&gt;TODAY()),"Verificar evento futuro","OK"))))))</f>
        <v/>
      </c>
    </row>
    <row r="732" spans="9:12">
      <c r="I732" s="5">
        <f>IF(OR(A732="",B732=""),"",B732-WEEKDAY(B732,2)+1)</f>
        <v/>
      </c>
      <c r="J732" s="5">
        <f>IF(I732="","",I732+6)</f>
        <v/>
      </c>
      <c r="K732" s="6">
        <f>IF(OR(A732="",B732=""),"",DATE(YEAR(B732),MONTH(B732),1))</f>
        <v/>
      </c>
      <c r="L732" s="7">
        <f>IF(COUNTA(A732,B732)=0,"",IF(OR(A732="",B732=""),"Preencher CPF e entrada",IF(COUNTIFS($A$12:$A$5011,A732,$B$12:$B$5011,B732)&gt;1,"CPF + dia duplicado",IF(OR(AND(E732&lt;&gt;"",E732&lt;B732),AND(F732&lt;&gt;"",F732&lt;B732)),"Evento anterior à entrada",IF(AND(F732&lt;&gt;"",E732=""),"Conversa sem agendamento",IF(OR(E732&gt;TODAY(),F732&gt;TODAY()),"Verificar evento futuro","OK"))))))</f>
        <v/>
      </c>
    </row>
    <row r="733" spans="9:12">
      <c r="I733" s="5">
        <f>IF(OR(A733="",B733=""),"",B733-WEEKDAY(B733,2)+1)</f>
        <v/>
      </c>
      <c r="J733" s="5">
        <f>IF(I733="","",I733+6)</f>
        <v/>
      </c>
      <c r="K733" s="6">
        <f>IF(OR(A733="",B733=""),"",DATE(YEAR(B733),MONTH(B733),1))</f>
        <v/>
      </c>
      <c r="L733" s="7">
        <f>IF(COUNTA(A733,B733)=0,"",IF(OR(A733="",B733=""),"Preencher CPF e entrada",IF(COUNTIFS($A$12:$A$5011,A733,$B$12:$B$5011,B733)&gt;1,"CPF + dia duplicado",IF(OR(AND(E733&lt;&gt;"",E733&lt;B733),AND(F733&lt;&gt;"",F733&lt;B733)),"Evento anterior à entrada",IF(AND(F733&lt;&gt;"",E733=""),"Conversa sem agendamento",IF(OR(E733&gt;TODAY(),F733&gt;TODAY()),"Verificar evento futuro","OK"))))))</f>
        <v/>
      </c>
    </row>
    <row r="734" spans="9:12">
      <c r="I734" s="5">
        <f>IF(OR(A734="",B734=""),"",B734-WEEKDAY(B734,2)+1)</f>
        <v/>
      </c>
      <c r="J734" s="5">
        <f>IF(I734="","",I734+6)</f>
        <v/>
      </c>
      <c r="K734" s="6">
        <f>IF(OR(A734="",B734=""),"",DATE(YEAR(B734),MONTH(B734),1))</f>
        <v/>
      </c>
      <c r="L734" s="7">
        <f>IF(COUNTA(A734,B734)=0,"",IF(OR(A734="",B734=""),"Preencher CPF e entrada",IF(COUNTIFS($A$12:$A$5011,A734,$B$12:$B$5011,B734)&gt;1,"CPF + dia duplicado",IF(OR(AND(E734&lt;&gt;"",E734&lt;B734),AND(F734&lt;&gt;"",F734&lt;B734)),"Evento anterior à entrada",IF(AND(F734&lt;&gt;"",E734=""),"Conversa sem agendamento",IF(OR(E734&gt;TODAY(),F734&gt;TODAY()),"Verificar evento futuro","OK"))))))</f>
        <v/>
      </c>
    </row>
    <row r="735" spans="9:12">
      <c r="I735" s="5">
        <f>IF(OR(A735="",B735=""),"",B735-WEEKDAY(B735,2)+1)</f>
        <v/>
      </c>
      <c r="J735" s="5">
        <f>IF(I735="","",I735+6)</f>
        <v/>
      </c>
      <c r="K735" s="6">
        <f>IF(OR(A735="",B735=""),"",DATE(YEAR(B735),MONTH(B735),1))</f>
        <v/>
      </c>
      <c r="L735" s="7">
        <f>IF(COUNTA(A735,B735)=0,"",IF(OR(A735="",B735=""),"Preencher CPF e entrada",IF(COUNTIFS($A$12:$A$5011,A735,$B$12:$B$5011,B735)&gt;1,"CPF + dia duplicado",IF(OR(AND(E735&lt;&gt;"",E735&lt;B735),AND(F735&lt;&gt;"",F735&lt;B735)),"Evento anterior à entrada",IF(AND(F735&lt;&gt;"",E735=""),"Conversa sem agendamento",IF(OR(E735&gt;TODAY(),F735&gt;TODAY()),"Verificar evento futuro","OK"))))))</f>
        <v/>
      </c>
    </row>
    <row r="736" spans="9:12">
      <c r="I736" s="5">
        <f>IF(OR(A736="",B736=""),"",B736-WEEKDAY(B736,2)+1)</f>
        <v/>
      </c>
      <c r="J736" s="5">
        <f>IF(I736="","",I736+6)</f>
        <v/>
      </c>
      <c r="K736" s="6">
        <f>IF(OR(A736="",B736=""),"",DATE(YEAR(B736),MONTH(B736),1))</f>
        <v/>
      </c>
      <c r="L736" s="7">
        <f>IF(COUNTA(A736,B736)=0,"",IF(OR(A736="",B736=""),"Preencher CPF e entrada",IF(COUNTIFS($A$12:$A$5011,A736,$B$12:$B$5011,B736)&gt;1,"CPF + dia duplicado",IF(OR(AND(E736&lt;&gt;"",E736&lt;B736),AND(F736&lt;&gt;"",F736&lt;B736)),"Evento anterior à entrada",IF(AND(F736&lt;&gt;"",E736=""),"Conversa sem agendamento",IF(OR(E736&gt;TODAY(),F736&gt;TODAY()),"Verificar evento futuro","OK"))))))</f>
        <v/>
      </c>
    </row>
    <row r="737" spans="9:12">
      <c r="I737" s="5">
        <f>IF(OR(A737="",B737=""),"",B737-WEEKDAY(B737,2)+1)</f>
        <v/>
      </c>
      <c r="J737" s="5">
        <f>IF(I737="","",I737+6)</f>
        <v/>
      </c>
      <c r="K737" s="6">
        <f>IF(OR(A737="",B737=""),"",DATE(YEAR(B737),MONTH(B737),1))</f>
        <v/>
      </c>
      <c r="L737" s="7">
        <f>IF(COUNTA(A737,B737)=0,"",IF(OR(A737="",B737=""),"Preencher CPF e entrada",IF(COUNTIFS($A$12:$A$5011,A737,$B$12:$B$5011,B737)&gt;1,"CPF + dia duplicado",IF(OR(AND(E737&lt;&gt;"",E737&lt;B737),AND(F737&lt;&gt;"",F737&lt;B737)),"Evento anterior à entrada",IF(AND(F737&lt;&gt;"",E737=""),"Conversa sem agendamento",IF(OR(E737&gt;TODAY(),F737&gt;TODAY()),"Verificar evento futuro","OK"))))))</f>
        <v/>
      </c>
    </row>
    <row r="738" spans="9:12">
      <c r="I738" s="5">
        <f>IF(OR(A738="",B738=""),"",B738-WEEKDAY(B738,2)+1)</f>
        <v/>
      </c>
      <c r="J738" s="5">
        <f>IF(I738="","",I738+6)</f>
        <v/>
      </c>
      <c r="K738" s="6">
        <f>IF(OR(A738="",B738=""),"",DATE(YEAR(B738),MONTH(B738),1))</f>
        <v/>
      </c>
      <c r="L738" s="7">
        <f>IF(COUNTA(A738,B738)=0,"",IF(OR(A738="",B738=""),"Preencher CPF e entrada",IF(COUNTIFS($A$12:$A$5011,A738,$B$12:$B$5011,B738)&gt;1,"CPF + dia duplicado",IF(OR(AND(E738&lt;&gt;"",E738&lt;B738),AND(F738&lt;&gt;"",F738&lt;B738)),"Evento anterior à entrada",IF(AND(F738&lt;&gt;"",E738=""),"Conversa sem agendamento",IF(OR(E738&gt;TODAY(),F738&gt;TODAY()),"Verificar evento futuro","OK"))))))</f>
        <v/>
      </c>
    </row>
    <row r="739" spans="9:12">
      <c r="I739" s="5">
        <f>IF(OR(A739="",B739=""),"",B739-WEEKDAY(B739,2)+1)</f>
        <v/>
      </c>
      <c r="J739" s="5">
        <f>IF(I739="","",I739+6)</f>
        <v/>
      </c>
      <c r="K739" s="6">
        <f>IF(OR(A739="",B739=""),"",DATE(YEAR(B739),MONTH(B739),1))</f>
        <v/>
      </c>
      <c r="L739" s="7">
        <f>IF(COUNTA(A739,B739)=0,"",IF(OR(A739="",B739=""),"Preencher CPF e entrada",IF(COUNTIFS($A$12:$A$5011,A739,$B$12:$B$5011,B739)&gt;1,"CPF + dia duplicado",IF(OR(AND(E739&lt;&gt;"",E739&lt;B739),AND(F739&lt;&gt;"",F739&lt;B739)),"Evento anterior à entrada",IF(AND(F739&lt;&gt;"",E739=""),"Conversa sem agendamento",IF(OR(E739&gt;TODAY(),F739&gt;TODAY()),"Verificar evento futuro","OK"))))))</f>
        <v/>
      </c>
    </row>
    <row r="740" spans="9:12">
      <c r="I740" s="5">
        <f>IF(OR(A740="",B740=""),"",B740-WEEKDAY(B740,2)+1)</f>
        <v/>
      </c>
      <c r="J740" s="5">
        <f>IF(I740="","",I740+6)</f>
        <v/>
      </c>
      <c r="K740" s="6">
        <f>IF(OR(A740="",B740=""),"",DATE(YEAR(B740),MONTH(B740),1))</f>
        <v/>
      </c>
      <c r="L740" s="7">
        <f>IF(COUNTA(A740,B740)=0,"",IF(OR(A740="",B740=""),"Preencher CPF e entrada",IF(COUNTIFS($A$12:$A$5011,A740,$B$12:$B$5011,B740)&gt;1,"CPF + dia duplicado",IF(OR(AND(E740&lt;&gt;"",E740&lt;B740),AND(F740&lt;&gt;"",F740&lt;B740)),"Evento anterior à entrada",IF(AND(F740&lt;&gt;"",E740=""),"Conversa sem agendamento",IF(OR(E740&gt;TODAY(),F740&gt;TODAY()),"Verificar evento futuro","OK"))))))</f>
        <v/>
      </c>
    </row>
    <row r="741" spans="9:12">
      <c r="I741" s="5">
        <f>IF(OR(A741="",B741=""),"",B741-WEEKDAY(B741,2)+1)</f>
        <v/>
      </c>
      <c r="J741" s="5">
        <f>IF(I741="","",I741+6)</f>
        <v/>
      </c>
      <c r="K741" s="6">
        <f>IF(OR(A741="",B741=""),"",DATE(YEAR(B741),MONTH(B741),1))</f>
        <v/>
      </c>
      <c r="L741" s="7">
        <f>IF(COUNTA(A741,B741)=0,"",IF(OR(A741="",B741=""),"Preencher CPF e entrada",IF(COUNTIFS($A$12:$A$5011,A741,$B$12:$B$5011,B741)&gt;1,"CPF + dia duplicado",IF(OR(AND(E741&lt;&gt;"",E741&lt;B741),AND(F741&lt;&gt;"",F741&lt;B741)),"Evento anterior à entrada",IF(AND(F741&lt;&gt;"",E741=""),"Conversa sem agendamento",IF(OR(E741&gt;TODAY(),F741&gt;TODAY()),"Verificar evento futuro","OK"))))))</f>
        <v/>
      </c>
    </row>
    <row r="742" spans="9:12">
      <c r="I742" s="5">
        <f>IF(OR(A742="",B742=""),"",B742-WEEKDAY(B742,2)+1)</f>
        <v/>
      </c>
      <c r="J742" s="5">
        <f>IF(I742="","",I742+6)</f>
        <v/>
      </c>
      <c r="K742" s="6">
        <f>IF(OR(A742="",B742=""),"",DATE(YEAR(B742),MONTH(B742),1))</f>
        <v/>
      </c>
      <c r="L742" s="7">
        <f>IF(COUNTA(A742,B742)=0,"",IF(OR(A742="",B742=""),"Preencher CPF e entrada",IF(COUNTIFS($A$12:$A$5011,A742,$B$12:$B$5011,B742)&gt;1,"CPF + dia duplicado",IF(OR(AND(E742&lt;&gt;"",E742&lt;B742),AND(F742&lt;&gt;"",F742&lt;B742)),"Evento anterior à entrada",IF(AND(F742&lt;&gt;"",E742=""),"Conversa sem agendamento",IF(OR(E742&gt;TODAY(),F742&gt;TODAY()),"Verificar evento futuro","OK"))))))</f>
        <v/>
      </c>
    </row>
    <row r="743" spans="9:12">
      <c r="I743" s="5">
        <f>IF(OR(A743="",B743=""),"",B743-WEEKDAY(B743,2)+1)</f>
        <v/>
      </c>
      <c r="J743" s="5">
        <f>IF(I743="","",I743+6)</f>
        <v/>
      </c>
      <c r="K743" s="6">
        <f>IF(OR(A743="",B743=""),"",DATE(YEAR(B743),MONTH(B743),1))</f>
        <v/>
      </c>
      <c r="L743" s="7">
        <f>IF(COUNTA(A743,B743)=0,"",IF(OR(A743="",B743=""),"Preencher CPF e entrada",IF(COUNTIFS($A$12:$A$5011,A743,$B$12:$B$5011,B743)&gt;1,"CPF + dia duplicado",IF(OR(AND(E743&lt;&gt;"",E743&lt;B743),AND(F743&lt;&gt;"",F743&lt;B743)),"Evento anterior à entrada",IF(AND(F743&lt;&gt;"",E743=""),"Conversa sem agendamento",IF(OR(E743&gt;TODAY(),F743&gt;TODAY()),"Verificar evento futuro","OK"))))))</f>
        <v/>
      </c>
    </row>
    <row r="744" spans="9:12">
      <c r="I744" s="5">
        <f>IF(OR(A744="",B744=""),"",B744-WEEKDAY(B744,2)+1)</f>
        <v/>
      </c>
      <c r="J744" s="5">
        <f>IF(I744="","",I744+6)</f>
        <v/>
      </c>
      <c r="K744" s="6">
        <f>IF(OR(A744="",B744=""),"",DATE(YEAR(B744),MONTH(B744),1))</f>
        <v/>
      </c>
      <c r="L744" s="7">
        <f>IF(COUNTA(A744,B744)=0,"",IF(OR(A744="",B744=""),"Preencher CPF e entrada",IF(COUNTIFS($A$12:$A$5011,A744,$B$12:$B$5011,B744)&gt;1,"CPF + dia duplicado",IF(OR(AND(E744&lt;&gt;"",E744&lt;B744),AND(F744&lt;&gt;"",F744&lt;B744)),"Evento anterior à entrada",IF(AND(F744&lt;&gt;"",E744=""),"Conversa sem agendamento",IF(OR(E744&gt;TODAY(),F744&gt;TODAY()),"Verificar evento futuro","OK"))))))</f>
        <v/>
      </c>
    </row>
    <row r="745" spans="9:12">
      <c r="I745" s="5">
        <f>IF(OR(A745="",B745=""),"",B745-WEEKDAY(B745,2)+1)</f>
        <v/>
      </c>
      <c r="J745" s="5">
        <f>IF(I745="","",I745+6)</f>
        <v/>
      </c>
      <c r="K745" s="6">
        <f>IF(OR(A745="",B745=""),"",DATE(YEAR(B745),MONTH(B745),1))</f>
        <v/>
      </c>
      <c r="L745" s="7">
        <f>IF(COUNTA(A745,B745)=0,"",IF(OR(A745="",B745=""),"Preencher CPF e entrada",IF(COUNTIFS($A$12:$A$5011,A745,$B$12:$B$5011,B745)&gt;1,"CPF + dia duplicado",IF(OR(AND(E745&lt;&gt;"",E745&lt;B745),AND(F745&lt;&gt;"",F745&lt;B745)),"Evento anterior à entrada",IF(AND(F745&lt;&gt;"",E745=""),"Conversa sem agendamento",IF(OR(E745&gt;TODAY(),F745&gt;TODAY()),"Verificar evento futuro","OK"))))))</f>
        <v/>
      </c>
    </row>
    <row r="746" spans="9:12">
      <c r="I746" s="5">
        <f>IF(OR(A746="",B746=""),"",B746-WEEKDAY(B746,2)+1)</f>
        <v/>
      </c>
      <c r="J746" s="5">
        <f>IF(I746="","",I746+6)</f>
        <v/>
      </c>
      <c r="K746" s="6">
        <f>IF(OR(A746="",B746=""),"",DATE(YEAR(B746),MONTH(B746),1))</f>
        <v/>
      </c>
      <c r="L746" s="7">
        <f>IF(COUNTA(A746,B746)=0,"",IF(OR(A746="",B746=""),"Preencher CPF e entrada",IF(COUNTIFS($A$12:$A$5011,A746,$B$12:$B$5011,B746)&gt;1,"CPF + dia duplicado",IF(OR(AND(E746&lt;&gt;"",E746&lt;B746),AND(F746&lt;&gt;"",F746&lt;B746)),"Evento anterior à entrada",IF(AND(F746&lt;&gt;"",E746=""),"Conversa sem agendamento",IF(OR(E746&gt;TODAY(),F746&gt;TODAY()),"Verificar evento futuro","OK"))))))</f>
        <v/>
      </c>
    </row>
    <row r="747" spans="9:12">
      <c r="I747" s="5">
        <f>IF(OR(A747="",B747=""),"",B747-WEEKDAY(B747,2)+1)</f>
        <v/>
      </c>
      <c r="J747" s="5">
        <f>IF(I747="","",I747+6)</f>
        <v/>
      </c>
      <c r="K747" s="6">
        <f>IF(OR(A747="",B747=""),"",DATE(YEAR(B747),MONTH(B747),1))</f>
        <v/>
      </c>
      <c r="L747" s="7">
        <f>IF(COUNTA(A747,B747)=0,"",IF(OR(A747="",B747=""),"Preencher CPF e entrada",IF(COUNTIFS($A$12:$A$5011,A747,$B$12:$B$5011,B747)&gt;1,"CPF + dia duplicado",IF(OR(AND(E747&lt;&gt;"",E747&lt;B747),AND(F747&lt;&gt;"",F747&lt;B747)),"Evento anterior à entrada",IF(AND(F747&lt;&gt;"",E747=""),"Conversa sem agendamento",IF(OR(E747&gt;TODAY(),F747&gt;TODAY()),"Verificar evento futuro","OK"))))))</f>
        <v/>
      </c>
    </row>
    <row r="748" spans="9:12">
      <c r="I748" s="5">
        <f>IF(OR(A748="",B748=""),"",B748-WEEKDAY(B748,2)+1)</f>
        <v/>
      </c>
      <c r="J748" s="5">
        <f>IF(I748="","",I748+6)</f>
        <v/>
      </c>
      <c r="K748" s="6">
        <f>IF(OR(A748="",B748=""),"",DATE(YEAR(B748),MONTH(B748),1))</f>
        <v/>
      </c>
      <c r="L748" s="7">
        <f>IF(COUNTA(A748,B748)=0,"",IF(OR(A748="",B748=""),"Preencher CPF e entrada",IF(COUNTIFS($A$12:$A$5011,A748,$B$12:$B$5011,B748)&gt;1,"CPF + dia duplicado",IF(OR(AND(E748&lt;&gt;"",E748&lt;B748),AND(F748&lt;&gt;"",F748&lt;B748)),"Evento anterior à entrada",IF(AND(F748&lt;&gt;"",E748=""),"Conversa sem agendamento",IF(OR(E748&gt;TODAY(),F748&gt;TODAY()),"Verificar evento futuro","OK"))))))</f>
        <v/>
      </c>
    </row>
    <row r="749" spans="9:12">
      <c r="I749" s="5">
        <f>IF(OR(A749="",B749=""),"",B749-WEEKDAY(B749,2)+1)</f>
        <v/>
      </c>
      <c r="J749" s="5">
        <f>IF(I749="","",I749+6)</f>
        <v/>
      </c>
      <c r="K749" s="6">
        <f>IF(OR(A749="",B749=""),"",DATE(YEAR(B749),MONTH(B749),1))</f>
        <v/>
      </c>
      <c r="L749" s="7">
        <f>IF(COUNTA(A749,B749)=0,"",IF(OR(A749="",B749=""),"Preencher CPF e entrada",IF(COUNTIFS($A$12:$A$5011,A749,$B$12:$B$5011,B749)&gt;1,"CPF + dia duplicado",IF(OR(AND(E749&lt;&gt;"",E749&lt;B749),AND(F749&lt;&gt;"",F749&lt;B749)),"Evento anterior à entrada",IF(AND(F749&lt;&gt;"",E749=""),"Conversa sem agendamento",IF(OR(E749&gt;TODAY(),F749&gt;TODAY()),"Verificar evento futuro","OK"))))))</f>
        <v/>
      </c>
    </row>
    <row r="750" spans="9:12">
      <c r="I750" s="5">
        <f>IF(OR(A750="",B750=""),"",B750-WEEKDAY(B750,2)+1)</f>
        <v/>
      </c>
      <c r="J750" s="5">
        <f>IF(I750="","",I750+6)</f>
        <v/>
      </c>
      <c r="K750" s="6">
        <f>IF(OR(A750="",B750=""),"",DATE(YEAR(B750),MONTH(B750),1))</f>
        <v/>
      </c>
      <c r="L750" s="7">
        <f>IF(COUNTA(A750,B750)=0,"",IF(OR(A750="",B750=""),"Preencher CPF e entrada",IF(COUNTIFS($A$12:$A$5011,A750,$B$12:$B$5011,B750)&gt;1,"CPF + dia duplicado",IF(OR(AND(E750&lt;&gt;"",E750&lt;B750),AND(F750&lt;&gt;"",F750&lt;B750)),"Evento anterior à entrada",IF(AND(F750&lt;&gt;"",E750=""),"Conversa sem agendamento",IF(OR(E750&gt;TODAY(),F750&gt;TODAY()),"Verificar evento futuro","OK"))))))</f>
        <v/>
      </c>
    </row>
    <row r="751" spans="9:12">
      <c r="I751" s="5">
        <f>IF(OR(A751="",B751=""),"",B751-WEEKDAY(B751,2)+1)</f>
        <v/>
      </c>
      <c r="J751" s="5">
        <f>IF(I751="","",I751+6)</f>
        <v/>
      </c>
      <c r="K751" s="6">
        <f>IF(OR(A751="",B751=""),"",DATE(YEAR(B751),MONTH(B751),1))</f>
        <v/>
      </c>
      <c r="L751" s="7">
        <f>IF(COUNTA(A751,B751)=0,"",IF(OR(A751="",B751=""),"Preencher CPF e entrada",IF(COUNTIFS($A$12:$A$5011,A751,$B$12:$B$5011,B751)&gt;1,"CPF + dia duplicado",IF(OR(AND(E751&lt;&gt;"",E751&lt;B751),AND(F751&lt;&gt;"",F751&lt;B751)),"Evento anterior à entrada",IF(AND(F751&lt;&gt;"",E751=""),"Conversa sem agendamento",IF(OR(E751&gt;TODAY(),F751&gt;TODAY()),"Verificar evento futuro","OK"))))))</f>
        <v/>
      </c>
    </row>
    <row r="752" spans="9:12">
      <c r="I752" s="5">
        <f>IF(OR(A752="",B752=""),"",B752-WEEKDAY(B752,2)+1)</f>
        <v/>
      </c>
      <c r="J752" s="5">
        <f>IF(I752="","",I752+6)</f>
        <v/>
      </c>
      <c r="K752" s="6">
        <f>IF(OR(A752="",B752=""),"",DATE(YEAR(B752),MONTH(B752),1))</f>
        <v/>
      </c>
      <c r="L752" s="7">
        <f>IF(COUNTA(A752,B752)=0,"",IF(OR(A752="",B752=""),"Preencher CPF e entrada",IF(COUNTIFS($A$12:$A$5011,A752,$B$12:$B$5011,B752)&gt;1,"CPF + dia duplicado",IF(OR(AND(E752&lt;&gt;"",E752&lt;B752),AND(F752&lt;&gt;"",F752&lt;B752)),"Evento anterior à entrada",IF(AND(F752&lt;&gt;"",E752=""),"Conversa sem agendamento",IF(OR(E752&gt;TODAY(),F752&gt;TODAY()),"Verificar evento futuro","OK"))))))</f>
        <v/>
      </c>
    </row>
    <row r="753" spans="9:12">
      <c r="I753" s="5">
        <f>IF(OR(A753="",B753=""),"",B753-WEEKDAY(B753,2)+1)</f>
        <v/>
      </c>
      <c r="J753" s="5">
        <f>IF(I753="","",I753+6)</f>
        <v/>
      </c>
      <c r="K753" s="6">
        <f>IF(OR(A753="",B753=""),"",DATE(YEAR(B753),MONTH(B753),1))</f>
        <v/>
      </c>
      <c r="L753" s="7">
        <f>IF(COUNTA(A753,B753)=0,"",IF(OR(A753="",B753=""),"Preencher CPF e entrada",IF(COUNTIFS($A$12:$A$5011,A753,$B$12:$B$5011,B753)&gt;1,"CPF + dia duplicado",IF(OR(AND(E753&lt;&gt;"",E753&lt;B753),AND(F753&lt;&gt;"",F753&lt;B753)),"Evento anterior à entrada",IF(AND(F753&lt;&gt;"",E753=""),"Conversa sem agendamento",IF(OR(E753&gt;TODAY(),F753&gt;TODAY()),"Verificar evento futuro","OK"))))))</f>
        <v/>
      </c>
    </row>
    <row r="754" spans="9:12">
      <c r="I754" s="5">
        <f>IF(OR(A754="",B754=""),"",B754-WEEKDAY(B754,2)+1)</f>
        <v/>
      </c>
      <c r="J754" s="5">
        <f>IF(I754="","",I754+6)</f>
        <v/>
      </c>
      <c r="K754" s="6">
        <f>IF(OR(A754="",B754=""),"",DATE(YEAR(B754),MONTH(B754),1))</f>
        <v/>
      </c>
      <c r="L754" s="7">
        <f>IF(COUNTA(A754,B754)=0,"",IF(OR(A754="",B754=""),"Preencher CPF e entrada",IF(COUNTIFS($A$12:$A$5011,A754,$B$12:$B$5011,B754)&gt;1,"CPF + dia duplicado",IF(OR(AND(E754&lt;&gt;"",E754&lt;B754),AND(F754&lt;&gt;"",F754&lt;B754)),"Evento anterior à entrada",IF(AND(F754&lt;&gt;"",E754=""),"Conversa sem agendamento",IF(OR(E754&gt;TODAY(),F754&gt;TODAY()),"Verificar evento futuro","OK"))))))</f>
        <v/>
      </c>
    </row>
    <row r="755" spans="9:12">
      <c r="I755" s="5">
        <f>IF(OR(A755="",B755=""),"",B755-WEEKDAY(B755,2)+1)</f>
        <v/>
      </c>
      <c r="J755" s="5">
        <f>IF(I755="","",I755+6)</f>
        <v/>
      </c>
      <c r="K755" s="6">
        <f>IF(OR(A755="",B755=""),"",DATE(YEAR(B755),MONTH(B755),1))</f>
        <v/>
      </c>
      <c r="L755" s="7">
        <f>IF(COUNTA(A755,B755)=0,"",IF(OR(A755="",B755=""),"Preencher CPF e entrada",IF(COUNTIFS($A$12:$A$5011,A755,$B$12:$B$5011,B755)&gt;1,"CPF + dia duplicado",IF(OR(AND(E755&lt;&gt;"",E755&lt;B755),AND(F755&lt;&gt;"",F755&lt;B755)),"Evento anterior à entrada",IF(AND(F755&lt;&gt;"",E755=""),"Conversa sem agendamento",IF(OR(E755&gt;TODAY(),F755&gt;TODAY()),"Verificar evento futuro","OK"))))))</f>
        <v/>
      </c>
    </row>
    <row r="756" spans="9:12">
      <c r="I756" s="5">
        <f>IF(OR(A756="",B756=""),"",B756-WEEKDAY(B756,2)+1)</f>
        <v/>
      </c>
      <c r="J756" s="5">
        <f>IF(I756="","",I756+6)</f>
        <v/>
      </c>
      <c r="K756" s="6">
        <f>IF(OR(A756="",B756=""),"",DATE(YEAR(B756),MONTH(B756),1))</f>
        <v/>
      </c>
      <c r="L756" s="7">
        <f>IF(COUNTA(A756,B756)=0,"",IF(OR(A756="",B756=""),"Preencher CPF e entrada",IF(COUNTIFS($A$12:$A$5011,A756,$B$12:$B$5011,B756)&gt;1,"CPF + dia duplicado",IF(OR(AND(E756&lt;&gt;"",E756&lt;B756),AND(F756&lt;&gt;"",F756&lt;B756)),"Evento anterior à entrada",IF(AND(F756&lt;&gt;"",E756=""),"Conversa sem agendamento",IF(OR(E756&gt;TODAY(),F756&gt;TODAY()),"Verificar evento futuro","OK"))))))</f>
        <v/>
      </c>
    </row>
    <row r="757" spans="9:12">
      <c r="I757" s="5">
        <f>IF(OR(A757="",B757=""),"",B757-WEEKDAY(B757,2)+1)</f>
        <v/>
      </c>
      <c r="J757" s="5">
        <f>IF(I757="","",I757+6)</f>
        <v/>
      </c>
      <c r="K757" s="6">
        <f>IF(OR(A757="",B757=""),"",DATE(YEAR(B757),MONTH(B757),1))</f>
        <v/>
      </c>
      <c r="L757" s="7">
        <f>IF(COUNTA(A757,B757)=0,"",IF(OR(A757="",B757=""),"Preencher CPF e entrada",IF(COUNTIFS($A$12:$A$5011,A757,$B$12:$B$5011,B757)&gt;1,"CPF + dia duplicado",IF(OR(AND(E757&lt;&gt;"",E757&lt;B757),AND(F757&lt;&gt;"",F757&lt;B757)),"Evento anterior à entrada",IF(AND(F757&lt;&gt;"",E757=""),"Conversa sem agendamento",IF(OR(E757&gt;TODAY(),F757&gt;TODAY()),"Verificar evento futuro","OK"))))))</f>
        <v/>
      </c>
    </row>
    <row r="758" spans="9:12">
      <c r="I758" s="5">
        <f>IF(OR(A758="",B758=""),"",B758-WEEKDAY(B758,2)+1)</f>
        <v/>
      </c>
      <c r="J758" s="5">
        <f>IF(I758="","",I758+6)</f>
        <v/>
      </c>
      <c r="K758" s="6">
        <f>IF(OR(A758="",B758=""),"",DATE(YEAR(B758),MONTH(B758),1))</f>
        <v/>
      </c>
      <c r="L758" s="7">
        <f>IF(COUNTA(A758,B758)=0,"",IF(OR(A758="",B758=""),"Preencher CPF e entrada",IF(COUNTIFS($A$12:$A$5011,A758,$B$12:$B$5011,B758)&gt;1,"CPF + dia duplicado",IF(OR(AND(E758&lt;&gt;"",E758&lt;B758),AND(F758&lt;&gt;"",F758&lt;B758)),"Evento anterior à entrada",IF(AND(F758&lt;&gt;"",E758=""),"Conversa sem agendamento",IF(OR(E758&gt;TODAY(),F758&gt;TODAY()),"Verificar evento futuro","OK"))))))</f>
        <v/>
      </c>
    </row>
    <row r="759" spans="9:12">
      <c r="I759" s="5">
        <f>IF(OR(A759="",B759=""),"",B759-WEEKDAY(B759,2)+1)</f>
        <v/>
      </c>
      <c r="J759" s="5">
        <f>IF(I759="","",I759+6)</f>
        <v/>
      </c>
      <c r="K759" s="6">
        <f>IF(OR(A759="",B759=""),"",DATE(YEAR(B759),MONTH(B759),1))</f>
        <v/>
      </c>
      <c r="L759" s="7">
        <f>IF(COUNTA(A759,B759)=0,"",IF(OR(A759="",B759=""),"Preencher CPF e entrada",IF(COUNTIFS($A$12:$A$5011,A759,$B$12:$B$5011,B759)&gt;1,"CPF + dia duplicado",IF(OR(AND(E759&lt;&gt;"",E759&lt;B759),AND(F759&lt;&gt;"",F759&lt;B759)),"Evento anterior à entrada",IF(AND(F759&lt;&gt;"",E759=""),"Conversa sem agendamento",IF(OR(E759&gt;TODAY(),F759&gt;TODAY()),"Verificar evento futuro","OK"))))))</f>
        <v/>
      </c>
    </row>
    <row r="760" spans="9:12">
      <c r="I760" s="5">
        <f>IF(OR(A760="",B760=""),"",B760-WEEKDAY(B760,2)+1)</f>
        <v/>
      </c>
      <c r="J760" s="5">
        <f>IF(I760="","",I760+6)</f>
        <v/>
      </c>
      <c r="K760" s="6">
        <f>IF(OR(A760="",B760=""),"",DATE(YEAR(B760),MONTH(B760),1))</f>
        <v/>
      </c>
      <c r="L760" s="7">
        <f>IF(COUNTA(A760,B760)=0,"",IF(OR(A760="",B760=""),"Preencher CPF e entrada",IF(COUNTIFS($A$12:$A$5011,A760,$B$12:$B$5011,B760)&gt;1,"CPF + dia duplicado",IF(OR(AND(E760&lt;&gt;"",E760&lt;B760),AND(F760&lt;&gt;"",F760&lt;B760)),"Evento anterior à entrada",IF(AND(F760&lt;&gt;"",E760=""),"Conversa sem agendamento",IF(OR(E760&gt;TODAY(),F760&gt;TODAY()),"Verificar evento futuro","OK"))))))</f>
        <v/>
      </c>
    </row>
    <row r="761" spans="9:12">
      <c r="I761" s="5">
        <f>IF(OR(A761="",B761=""),"",B761-WEEKDAY(B761,2)+1)</f>
        <v/>
      </c>
      <c r="J761" s="5">
        <f>IF(I761="","",I761+6)</f>
        <v/>
      </c>
      <c r="K761" s="6">
        <f>IF(OR(A761="",B761=""),"",DATE(YEAR(B761),MONTH(B761),1))</f>
        <v/>
      </c>
      <c r="L761" s="7">
        <f>IF(COUNTA(A761,B761)=0,"",IF(OR(A761="",B761=""),"Preencher CPF e entrada",IF(COUNTIFS($A$12:$A$5011,A761,$B$12:$B$5011,B761)&gt;1,"CPF + dia duplicado",IF(OR(AND(E761&lt;&gt;"",E761&lt;B761),AND(F761&lt;&gt;"",F761&lt;B761)),"Evento anterior à entrada",IF(AND(F761&lt;&gt;"",E761=""),"Conversa sem agendamento",IF(OR(E761&gt;TODAY(),F761&gt;TODAY()),"Verificar evento futuro","OK"))))))</f>
        <v/>
      </c>
    </row>
    <row r="762" spans="9:12">
      <c r="I762" s="5">
        <f>IF(OR(A762="",B762=""),"",B762-WEEKDAY(B762,2)+1)</f>
        <v/>
      </c>
      <c r="J762" s="5">
        <f>IF(I762="","",I762+6)</f>
        <v/>
      </c>
      <c r="K762" s="6">
        <f>IF(OR(A762="",B762=""),"",DATE(YEAR(B762),MONTH(B762),1))</f>
        <v/>
      </c>
      <c r="L762" s="7">
        <f>IF(COUNTA(A762,B762)=0,"",IF(OR(A762="",B762=""),"Preencher CPF e entrada",IF(COUNTIFS($A$12:$A$5011,A762,$B$12:$B$5011,B762)&gt;1,"CPF + dia duplicado",IF(OR(AND(E762&lt;&gt;"",E762&lt;B762),AND(F762&lt;&gt;"",F762&lt;B762)),"Evento anterior à entrada",IF(AND(F762&lt;&gt;"",E762=""),"Conversa sem agendamento",IF(OR(E762&gt;TODAY(),F762&gt;TODAY()),"Verificar evento futuro","OK"))))))</f>
        <v/>
      </c>
    </row>
    <row r="763" spans="9:12">
      <c r="I763" s="5">
        <f>IF(OR(A763="",B763=""),"",B763-WEEKDAY(B763,2)+1)</f>
        <v/>
      </c>
      <c r="J763" s="5">
        <f>IF(I763="","",I763+6)</f>
        <v/>
      </c>
      <c r="K763" s="6">
        <f>IF(OR(A763="",B763=""),"",DATE(YEAR(B763),MONTH(B763),1))</f>
        <v/>
      </c>
      <c r="L763" s="7">
        <f>IF(COUNTA(A763,B763)=0,"",IF(OR(A763="",B763=""),"Preencher CPF e entrada",IF(COUNTIFS($A$12:$A$5011,A763,$B$12:$B$5011,B763)&gt;1,"CPF + dia duplicado",IF(OR(AND(E763&lt;&gt;"",E763&lt;B763),AND(F763&lt;&gt;"",F763&lt;B763)),"Evento anterior à entrada",IF(AND(F763&lt;&gt;"",E763=""),"Conversa sem agendamento",IF(OR(E763&gt;TODAY(),F763&gt;TODAY()),"Verificar evento futuro","OK"))))))</f>
        <v/>
      </c>
    </row>
    <row r="764" spans="9:12">
      <c r="I764" s="5">
        <f>IF(OR(A764="",B764=""),"",B764-WEEKDAY(B764,2)+1)</f>
        <v/>
      </c>
      <c r="J764" s="5">
        <f>IF(I764="","",I764+6)</f>
        <v/>
      </c>
      <c r="K764" s="6">
        <f>IF(OR(A764="",B764=""),"",DATE(YEAR(B764),MONTH(B764),1))</f>
        <v/>
      </c>
      <c r="L764" s="7">
        <f>IF(COUNTA(A764,B764)=0,"",IF(OR(A764="",B764=""),"Preencher CPF e entrada",IF(COUNTIFS($A$12:$A$5011,A764,$B$12:$B$5011,B764)&gt;1,"CPF + dia duplicado",IF(OR(AND(E764&lt;&gt;"",E764&lt;B764),AND(F764&lt;&gt;"",F764&lt;B764)),"Evento anterior à entrada",IF(AND(F764&lt;&gt;"",E764=""),"Conversa sem agendamento",IF(OR(E764&gt;TODAY(),F764&gt;TODAY()),"Verificar evento futuro","OK"))))))</f>
        <v/>
      </c>
    </row>
    <row r="765" spans="9:12">
      <c r="I765" s="5">
        <f>IF(OR(A765="",B765=""),"",B765-WEEKDAY(B765,2)+1)</f>
        <v/>
      </c>
      <c r="J765" s="5">
        <f>IF(I765="","",I765+6)</f>
        <v/>
      </c>
      <c r="K765" s="6">
        <f>IF(OR(A765="",B765=""),"",DATE(YEAR(B765),MONTH(B765),1))</f>
        <v/>
      </c>
      <c r="L765" s="7">
        <f>IF(COUNTA(A765,B765)=0,"",IF(OR(A765="",B765=""),"Preencher CPF e entrada",IF(COUNTIFS($A$12:$A$5011,A765,$B$12:$B$5011,B765)&gt;1,"CPF + dia duplicado",IF(OR(AND(E765&lt;&gt;"",E765&lt;B765),AND(F765&lt;&gt;"",F765&lt;B765)),"Evento anterior à entrada",IF(AND(F765&lt;&gt;"",E765=""),"Conversa sem agendamento",IF(OR(E765&gt;TODAY(),F765&gt;TODAY()),"Verificar evento futuro","OK"))))))</f>
        <v/>
      </c>
    </row>
    <row r="766" spans="9:12">
      <c r="I766" s="5">
        <f>IF(OR(A766="",B766=""),"",B766-WEEKDAY(B766,2)+1)</f>
        <v/>
      </c>
      <c r="J766" s="5">
        <f>IF(I766="","",I766+6)</f>
        <v/>
      </c>
      <c r="K766" s="6">
        <f>IF(OR(A766="",B766=""),"",DATE(YEAR(B766),MONTH(B766),1))</f>
        <v/>
      </c>
      <c r="L766" s="7">
        <f>IF(COUNTA(A766,B766)=0,"",IF(OR(A766="",B766=""),"Preencher CPF e entrada",IF(COUNTIFS($A$12:$A$5011,A766,$B$12:$B$5011,B766)&gt;1,"CPF + dia duplicado",IF(OR(AND(E766&lt;&gt;"",E766&lt;B766),AND(F766&lt;&gt;"",F766&lt;B766)),"Evento anterior à entrada",IF(AND(F766&lt;&gt;"",E766=""),"Conversa sem agendamento",IF(OR(E766&gt;TODAY(),F766&gt;TODAY()),"Verificar evento futuro","OK"))))))</f>
        <v/>
      </c>
    </row>
    <row r="767" spans="9:12">
      <c r="I767" s="5">
        <f>IF(OR(A767="",B767=""),"",B767-WEEKDAY(B767,2)+1)</f>
        <v/>
      </c>
      <c r="J767" s="5">
        <f>IF(I767="","",I767+6)</f>
        <v/>
      </c>
      <c r="K767" s="6">
        <f>IF(OR(A767="",B767=""),"",DATE(YEAR(B767),MONTH(B767),1))</f>
        <v/>
      </c>
      <c r="L767" s="7">
        <f>IF(COUNTA(A767,B767)=0,"",IF(OR(A767="",B767=""),"Preencher CPF e entrada",IF(COUNTIFS($A$12:$A$5011,A767,$B$12:$B$5011,B767)&gt;1,"CPF + dia duplicado",IF(OR(AND(E767&lt;&gt;"",E767&lt;B767),AND(F767&lt;&gt;"",F767&lt;B767)),"Evento anterior à entrada",IF(AND(F767&lt;&gt;"",E767=""),"Conversa sem agendamento",IF(OR(E767&gt;TODAY(),F767&gt;TODAY()),"Verificar evento futuro","OK"))))))</f>
        <v/>
      </c>
    </row>
    <row r="768" spans="9:12">
      <c r="I768" s="5">
        <f>IF(OR(A768="",B768=""),"",B768-WEEKDAY(B768,2)+1)</f>
        <v/>
      </c>
      <c r="J768" s="5">
        <f>IF(I768="","",I768+6)</f>
        <v/>
      </c>
      <c r="K768" s="6">
        <f>IF(OR(A768="",B768=""),"",DATE(YEAR(B768),MONTH(B768),1))</f>
        <v/>
      </c>
      <c r="L768" s="7">
        <f>IF(COUNTA(A768,B768)=0,"",IF(OR(A768="",B768=""),"Preencher CPF e entrada",IF(COUNTIFS($A$12:$A$5011,A768,$B$12:$B$5011,B768)&gt;1,"CPF + dia duplicado",IF(OR(AND(E768&lt;&gt;"",E768&lt;B768),AND(F768&lt;&gt;"",F768&lt;B768)),"Evento anterior à entrada",IF(AND(F768&lt;&gt;"",E768=""),"Conversa sem agendamento",IF(OR(E768&gt;TODAY(),F768&gt;TODAY()),"Verificar evento futuro","OK"))))))</f>
        <v/>
      </c>
    </row>
    <row r="769" spans="9:12">
      <c r="I769" s="5">
        <f>IF(OR(A769="",B769=""),"",B769-WEEKDAY(B769,2)+1)</f>
        <v/>
      </c>
      <c r="J769" s="5">
        <f>IF(I769="","",I769+6)</f>
        <v/>
      </c>
      <c r="K769" s="6">
        <f>IF(OR(A769="",B769=""),"",DATE(YEAR(B769),MONTH(B769),1))</f>
        <v/>
      </c>
      <c r="L769" s="7">
        <f>IF(COUNTA(A769,B769)=0,"",IF(OR(A769="",B769=""),"Preencher CPF e entrada",IF(COUNTIFS($A$12:$A$5011,A769,$B$12:$B$5011,B769)&gt;1,"CPF + dia duplicado",IF(OR(AND(E769&lt;&gt;"",E769&lt;B769),AND(F769&lt;&gt;"",F769&lt;B769)),"Evento anterior à entrada",IF(AND(F769&lt;&gt;"",E769=""),"Conversa sem agendamento",IF(OR(E769&gt;TODAY(),F769&gt;TODAY()),"Verificar evento futuro","OK"))))))</f>
        <v/>
      </c>
    </row>
    <row r="770" spans="9:12">
      <c r="I770" s="5">
        <f>IF(OR(A770="",B770=""),"",B770-WEEKDAY(B770,2)+1)</f>
        <v/>
      </c>
      <c r="J770" s="5">
        <f>IF(I770="","",I770+6)</f>
        <v/>
      </c>
      <c r="K770" s="6">
        <f>IF(OR(A770="",B770=""),"",DATE(YEAR(B770),MONTH(B770),1))</f>
        <v/>
      </c>
      <c r="L770" s="7">
        <f>IF(COUNTA(A770,B770)=0,"",IF(OR(A770="",B770=""),"Preencher CPF e entrada",IF(COUNTIFS($A$12:$A$5011,A770,$B$12:$B$5011,B770)&gt;1,"CPF + dia duplicado",IF(OR(AND(E770&lt;&gt;"",E770&lt;B770),AND(F770&lt;&gt;"",F770&lt;B770)),"Evento anterior à entrada",IF(AND(F770&lt;&gt;"",E770=""),"Conversa sem agendamento",IF(OR(E770&gt;TODAY(),F770&gt;TODAY()),"Verificar evento futuro","OK"))))))</f>
        <v/>
      </c>
    </row>
    <row r="771" spans="9:12">
      <c r="I771" s="5">
        <f>IF(OR(A771="",B771=""),"",B771-WEEKDAY(B771,2)+1)</f>
        <v/>
      </c>
      <c r="J771" s="5">
        <f>IF(I771="","",I771+6)</f>
        <v/>
      </c>
      <c r="K771" s="6">
        <f>IF(OR(A771="",B771=""),"",DATE(YEAR(B771),MONTH(B771),1))</f>
        <v/>
      </c>
      <c r="L771" s="7">
        <f>IF(COUNTA(A771,B771)=0,"",IF(OR(A771="",B771=""),"Preencher CPF e entrada",IF(COUNTIFS($A$12:$A$5011,A771,$B$12:$B$5011,B771)&gt;1,"CPF + dia duplicado",IF(OR(AND(E771&lt;&gt;"",E771&lt;B771),AND(F771&lt;&gt;"",F771&lt;B771)),"Evento anterior à entrada",IF(AND(F771&lt;&gt;"",E771=""),"Conversa sem agendamento",IF(OR(E771&gt;TODAY(),F771&gt;TODAY()),"Verificar evento futuro","OK"))))))</f>
        <v/>
      </c>
    </row>
    <row r="772" spans="9:12">
      <c r="I772" s="5">
        <f>IF(OR(A772="",B772=""),"",B772-WEEKDAY(B772,2)+1)</f>
        <v/>
      </c>
      <c r="J772" s="5">
        <f>IF(I772="","",I772+6)</f>
        <v/>
      </c>
      <c r="K772" s="6">
        <f>IF(OR(A772="",B772=""),"",DATE(YEAR(B772),MONTH(B772),1))</f>
        <v/>
      </c>
      <c r="L772" s="7">
        <f>IF(COUNTA(A772,B772)=0,"",IF(OR(A772="",B772=""),"Preencher CPF e entrada",IF(COUNTIFS($A$12:$A$5011,A772,$B$12:$B$5011,B772)&gt;1,"CPF + dia duplicado",IF(OR(AND(E772&lt;&gt;"",E772&lt;B772),AND(F772&lt;&gt;"",F772&lt;B772)),"Evento anterior à entrada",IF(AND(F772&lt;&gt;"",E772=""),"Conversa sem agendamento",IF(OR(E772&gt;TODAY(),F772&gt;TODAY()),"Verificar evento futuro","OK"))))))</f>
        <v/>
      </c>
    </row>
    <row r="773" spans="9:12">
      <c r="I773" s="5">
        <f>IF(OR(A773="",B773=""),"",B773-WEEKDAY(B773,2)+1)</f>
        <v/>
      </c>
      <c r="J773" s="5">
        <f>IF(I773="","",I773+6)</f>
        <v/>
      </c>
      <c r="K773" s="6">
        <f>IF(OR(A773="",B773=""),"",DATE(YEAR(B773),MONTH(B773),1))</f>
        <v/>
      </c>
      <c r="L773" s="7">
        <f>IF(COUNTA(A773,B773)=0,"",IF(OR(A773="",B773=""),"Preencher CPF e entrada",IF(COUNTIFS($A$12:$A$5011,A773,$B$12:$B$5011,B773)&gt;1,"CPF + dia duplicado",IF(OR(AND(E773&lt;&gt;"",E773&lt;B773),AND(F773&lt;&gt;"",F773&lt;B773)),"Evento anterior à entrada",IF(AND(F773&lt;&gt;"",E773=""),"Conversa sem agendamento",IF(OR(E773&gt;TODAY(),F773&gt;TODAY()),"Verificar evento futuro","OK"))))))</f>
        <v/>
      </c>
    </row>
    <row r="774" spans="9:12">
      <c r="I774" s="5">
        <f>IF(OR(A774="",B774=""),"",B774-WEEKDAY(B774,2)+1)</f>
        <v/>
      </c>
      <c r="J774" s="5">
        <f>IF(I774="","",I774+6)</f>
        <v/>
      </c>
      <c r="K774" s="6">
        <f>IF(OR(A774="",B774=""),"",DATE(YEAR(B774),MONTH(B774),1))</f>
        <v/>
      </c>
      <c r="L774" s="7">
        <f>IF(COUNTA(A774,B774)=0,"",IF(OR(A774="",B774=""),"Preencher CPF e entrada",IF(COUNTIFS($A$12:$A$5011,A774,$B$12:$B$5011,B774)&gt;1,"CPF + dia duplicado",IF(OR(AND(E774&lt;&gt;"",E774&lt;B774),AND(F774&lt;&gt;"",F774&lt;B774)),"Evento anterior à entrada",IF(AND(F774&lt;&gt;"",E774=""),"Conversa sem agendamento",IF(OR(E774&gt;TODAY(),F774&gt;TODAY()),"Verificar evento futuro","OK"))))))</f>
        <v/>
      </c>
    </row>
    <row r="775" spans="9:12">
      <c r="I775" s="5">
        <f>IF(OR(A775="",B775=""),"",B775-WEEKDAY(B775,2)+1)</f>
        <v/>
      </c>
      <c r="J775" s="5">
        <f>IF(I775="","",I775+6)</f>
        <v/>
      </c>
      <c r="K775" s="6">
        <f>IF(OR(A775="",B775=""),"",DATE(YEAR(B775),MONTH(B775),1))</f>
        <v/>
      </c>
      <c r="L775" s="7">
        <f>IF(COUNTA(A775,B775)=0,"",IF(OR(A775="",B775=""),"Preencher CPF e entrada",IF(COUNTIFS($A$12:$A$5011,A775,$B$12:$B$5011,B775)&gt;1,"CPF + dia duplicado",IF(OR(AND(E775&lt;&gt;"",E775&lt;B775),AND(F775&lt;&gt;"",F775&lt;B775)),"Evento anterior à entrada",IF(AND(F775&lt;&gt;"",E775=""),"Conversa sem agendamento",IF(OR(E775&gt;TODAY(),F775&gt;TODAY()),"Verificar evento futuro","OK"))))))</f>
        <v/>
      </c>
    </row>
    <row r="776" spans="9:12">
      <c r="I776" s="5">
        <f>IF(OR(A776="",B776=""),"",B776-WEEKDAY(B776,2)+1)</f>
        <v/>
      </c>
      <c r="J776" s="5">
        <f>IF(I776="","",I776+6)</f>
        <v/>
      </c>
      <c r="K776" s="6">
        <f>IF(OR(A776="",B776=""),"",DATE(YEAR(B776),MONTH(B776),1))</f>
        <v/>
      </c>
      <c r="L776" s="7">
        <f>IF(COUNTA(A776,B776)=0,"",IF(OR(A776="",B776=""),"Preencher CPF e entrada",IF(COUNTIFS($A$12:$A$5011,A776,$B$12:$B$5011,B776)&gt;1,"CPF + dia duplicado",IF(OR(AND(E776&lt;&gt;"",E776&lt;B776),AND(F776&lt;&gt;"",F776&lt;B776)),"Evento anterior à entrada",IF(AND(F776&lt;&gt;"",E776=""),"Conversa sem agendamento",IF(OR(E776&gt;TODAY(),F776&gt;TODAY()),"Verificar evento futuro","OK"))))))</f>
        <v/>
      </c>
    </row>
    <row r="777" spans="9:12">
      <c r="I777" s="5">
        <f>IF(OR(A777="",B777=""),"",B777-WEEKDAY(B777,2)+1)</f>
        <v/>
      </c>
      <c r="J777" s="5">
        <f>IF(I777="","",I777+6)</f>
        <v/>
      </c>
      <c r="K777" s="6">
        <f>IF(OR(A777="",B777=""),"",DATE(YEAR(B777),MONTH(B777),1))</f>
        <v/>
      </c>
      <c r="L777" s="7">
        <f>IF(COUNTA(A777,B777)=0,"",IF(OR(A777="",B777=""),"Preencher CPF e entrada",IF(COUNTIFS($A$12:$A$5011,A777,$B$12:$B$5011,B777)&gt;1,"CPF + dia duplicado",IF(OR(AND(E777&lt;&gt;"",E777&lt;B777),AND(F777&lt;&gt;"",F777&lt;B777)),"Evento anterior à entrada",IF(AND(F777&lt;&gt;"",E777=""),"Conversa sem agendamento",IF(OR(E777&gt;TODAY(),F777&gt;TODAY()),"Verificar evento futuro","OK"))))))</f>
        <v/>
      </c>
    </row>
    <row r="778" spans="9:12">
      <c r="I778" s="5">
        <f>IF(OR(A778="",B778=""),"",B778-WEEKDAY(B778,2)+1)</f>
        <v/>
      </c>
      <c r="J778" s="5">
        <f>IF(I778="","",I778+6)</f>
        <v/>
      </c>
      <c r="K778" s="6">
        <f>IF(OR(A778="",B778=""),"",DATE(YEAR(B778),MONTH(B778),1))</f>
        <v/>
      </c>
      <c r="L778" s="7">
        <f>IF(COUNTA(A778,B778)=0,"",IF(OR(A778="",B778=""),"Preencher CPF e entrada",IF(COUNTIFS($A$12:$A$5011,A778,$B$12:$B$5011,B778)&gt;1,"CPF + dia duplicado",IF(OR(AND(E778&lt;&gt;"",E778&lt;B778),AND(F778&lt;&gt;"",F778&lt;B778)),"Evento anterior à entrada",IF(AND(F778&lt;&gt;"",E778=""),"Conversa sem agendamento",IF(OR(E778&gt;TODAY(),F778&gt;TODAY()),"Verificar evento futuro","OK"))))))</f>
        <v/>
      </c>
    </row>
    <row r="779" spans="9:12">
      <c r="I779" s="5">
        <f>IF(OR(A779="",B779=""),"",B779-WEEKDAY(B779,2)+1)</f>
        <v/>
      </c>
      <c r="J779" s="5">
        <f>IF(I779="","",I779+6)</f>
        <v/>
      </c>
      <c r="K779" s="6">
        <f>IF(OR(A779="",B779=""),"",DATE(YEAR(B779),MONTH(B779),1))</f>
        <v/>
      </c>
      <c r="L779" s="7">
        <f>IF(COUNTA(A779,B779)=0,"",IF(OR(A779="",B779=""),"Preencher CPF e entrada",IF(COUNTIFS($A$12:$A$5011,A779,$B$12:$B$5011,B779)&gt;1,"CPF + dia duplicado",IF(OR(AND(E779&lt;&gt;"",E779&lt;B779),AND(F779&lt;&gt;"",F779&lt;B779)),"Evento anterior à entrada",IF(AND(F779&lt;&gt;"",E779=""),"Conversa sem agendamento",IF(OR(E779&gt;TODAY(),F779&gt;TODAY()),"Verificar evento futuro","OK"))))))</f>
        <v/>
      </c>
    </row>
    <row r="780" spans="9:12">
      <c r="I780" s="5">
        <f>IF(OR(A780="",B780=""),"",B780-WEEKDAY(B780,2)+1)</f>
        <v/>
      </c>
      <c r="J780" s="5">
        <f>IF(I780="","",I780+6)</f>
        <v/>
      </c>
      <c r="K780" s="6">
        <f>IF(OR(A780="",B780=""),"",DATE(YEAR(B780),MONTH(B780),1))</f>
        <v/>
      </c>
      <c r="L780" s="7">
        <f>IF(COUNTA(A780,B780)=0,"",IF(OR(A780="",B780=""),"Preencher CPF e entrada",IF(COUNTIFS($A$12:$A$5011,A780,$B$12:$B$5011,B780)&gt;1,"CPF + dia duplicado",IF(OR(AND(E780&lt;&gt;"",E780&lt;B780),AND(F780&lt;&gt;"",F780&lt;B780)),"Evento anterior à entrada",IF(AND(F780&lt;&gt;"",E780=""),"Conversa sem agendamento",IF(OR(E780&gt;TODAY(),F780&gt;TODAY()),"Verificar evento futuro","OK"))))))</f>
        <v/>
      </c>
    </row>
    <row r="781" spans="9:12">
      <c r="I781" s="5">
        <f>IF(OR(A781="",B781=""),"",B781-WEEKDAY(B781,2)+1)</f>
        <v/>
      </c>
      <c r="J781" s="5">
        <f>IF(I781="","",I781+6)</f>
        <v/>
      </c>
      <c r="K781" s="6">
        <f>IF(OR(A781="",B781=""),"",DATE(YEAR(B781),MONTH(B781),1))</f>
        <v/>
      </c>
      <c r="L781" s="7">
        <f>IF(COUNTA(A781,B781)=0,"",IF(OR(A781="",B781=""),"Preencher CPF e entrada",IF(COUNTIFS($A$12:$A$5011,A781,$B$12:$B$5011,B781)&gt;1,"CPF + dia duplicado",IF(OR(AND(E781&lt;&gt;"",E781&lt;B781),AND(F781&lt;&gt;"",F781&lt;B781)),"Evento anterior à entrada",IF(AND(F781&lt;&gt;"",E781=""),"Conversa sem agendamento",IF(OR(E781&gt;TODAY(),F781&gt;TODAY()),"Verificar evento futuro","OK"))))))</f>
        <v/>
      </c>
    </row>
    <row r="782" spans="9:12">
      <c r="I782" s="5">
        <f>IF(OR(A782="",B782=""),"",B782-WEEKDAY(B782,2)+1)</f>
        <v/>
      </c>
      <c r="J782" s="5">
        <f>IF(I782="","",I782+6)</f>
        <v/>
      </c>
      <c r="K782" s="6">
        <f>IF(OR(A782="",B782=""),"",DATE(YEAR(B782),MONTH(B782),1))</f>
        <v/>
      </c>
      <c r="L782" s="7">
        <f>IF(COUNTA(A782,B782)=0,"",IF(OR(A782="",B782=""),"Preencher CPF e entrada",IF(COUNTIFS($A$12:$A$5011,A782,$B$12:$B$5011,B782)&gt;1,"CPF + dia duplicado",IF(OR(AND(E782&lt;&gt;"",E782&lt;B782),AND(F782&lt;&gt;"",F782&lt;B782)),"Evento anterior à entrada",IF(AND(F782&lt;&gt;"",E782=""),"Conversa sem agendamento",IF(OR(E782&gt;TODAY(),F782&gt;TODAY()),"Verificar evento futuro","OK"))))))</f>
        <v/>
      </c>
    </row>
    <row r="783" spans="9:12">
      <c r="I783" s="5">
        <f>IF(OR(A783="",B783=""),"",B783-WEEKDAY(B783,2)+1)</f>
        <v/>
      </c>
      <c r="J783" s="5">
        <f>IF(I783="","",I783+6)</f>
        <v/>
      </c>
      <c r="K783" s="6">
        <f>IF(OR(A783="",B783=""),"",DATE(YEAR(B783),MONTH(B783),1))</f>
        <v/>
      </c>
      <c r="L783" s="7">
        <f>IF(COUNTA(A783,B783)=0,"",IF(OR(A783="",B783=""),"Preencher CPF e entrada",IF(COUNTIFS($A$12:$A$5011,A783,$B$12:$B$5011,B783)&gt;1,"CPF + dia duplicado",IF(OR(AND(E783&lt;&gt;"",E783&lt;B783),AND(F783&lt;&gt;"",F783&lt;B783)),"Evento anterior à entrada",IF(AND(F783&lt;&gt;"",E783=""),"Conversa sem agendamento",IF(OR(E783&gt;TODAY(),F783&gt;TODAY()),"Verificar evento futuro","OK"))))))</f>
        <v/>
      </c>
    </row>
    <row r="784" spans="9:12">
      <c r="I784" s="5">
        <f>IF(OR(A784="",B784=""),"",B784-WEEKDAY(B784,2)+1)</f>
        <v/>
      </c>
      <c r="J784" s="5">
        <f>IF(I784="","",I784+6)</f>
        <v/>
      </c>
      <c r="K784" s="6">
        <f>IF(OR(A784="",B784=""),"",DATE(YEAR(B784),MONTH(B784),1))</f>
        <v/>
      </c>
      <c r="L784" s="7">
        <f>IF(COUNTA(A784,B784)=0,"",IF(OR(A784="",B784=""),"Preencher CPF e entrada",IF(COUNTIFS($A$12:$A$5011,A784,$B$12:$B$5011,B784)&gt;1,"CPF + dia duplicado",IF(OR(AND(E784&lt;&gt;"",E784&lt;B784),AND(F784&lt;&gt;"",F784&lt;B784)),"Evento anterior à entrada",IF(AND(F784&lt;&gt;"",E784=""),"Conversa sem agendamento",IF(OR(E784&gt;TODAY(),F784&gt;TODAY()),"Verificar evento futuro","OK"))))))</f>
        <v/>
      </c>
    </row>
    <row r="785" spans="9:12">
      <c r="I785" s="5">
        <f>IF(OR(A785="",B785=""),"",B785-WEEKDAY(B785,2)+1)</f>
        <v/>
      </c>
      <c r="J785" s="5">
        <f>IF(I785="","",I785+6)</f>
        <v/>
      </c>
      <c r="K785" s="6">
        <f>IF(OR(A785="",B785=""),"",DATE(YEAR(B785),MONTH(B785),1))</f>
        <v/>
      </c>
      <c r="L785" s="7">
        <f>IF(COUNTA(A785,B785)=0,"",IF(OR(A785="",B785=""),"Preencher CPF e entrada",IF(COUNTIFS($A$12:$A$5011,A785,$B$12:$B$5011,B785)&gt;1,"CPF + dia duplicado",IF(OR(AND(E785&lt;&gt;"",E785&lt;B785),AND(F785&lt;&gt;"",F785&lt;B785)),"Evento anterior à entrada",IF(AND(F785&lt;&gt;"",E785=""),"Conversa sem agendamento",IF(OR(E785&gt;TODAY(),F785&gt;TODAY()),"Verificar evento futuro","OK"))))))</f>
        <v/>
      </c>
    </row>
    <row r="786" spans="9:12">
      <c r="I786" s="5">
        <f>IF(OR(A786="",B786=""),"",B786-WEEKDAY(B786,2)+1)</f>
        <v/>
      </c>
      <c r="J786" s="5">
        <f>IF(I786="","",I786+6)</f>
        <v/>
      </c>
      <c r="K786" s="6">
        <f>IF(OR(A786="",B786=""),"",DATE(YEAR(B786),MONTH(B786),1))</f>
        <v/>
      </c>
      <c r="L786" s="7">
        <f>IF(COUNTA(A786,B786)=0,"",IF(OR(A786="",B786=""),"Preencher CPF e entrada",IF(COUNTIFS($A$12:$A$5011,A786,$B$12:$B$5011,B786)&gt;1,"CPF + dia duplicado",IF(OR(AND(E786&lt;&gt;"",E786&lt;B786),AND(F786&lt;&gt;"",F786&lt;B786)),"Evento anterior à entrada",IF(AND(F786&lt;&gt;"",E786=""),"Conversa sem agendamento",IF(OR(E786&gt;TODAY(),F786&gt;TODAY()),"Verificar evento futuro","OK"))))))</f>
        <v/>
      </c>
    </row>
    <row r="787" spans="9:12">
      <c r="I787" s="5">
        <f>IF(OR(A787="",B787=""),"",B787-WEEKDAY(B787,2)+1)</f>
        <v/>
      </c>
      <c r="J787" s="5">
        <f>IF(I787="","",I787+6)</f>
        <v/>
      </c>
      <c r="K787" s="6">
        <f>IF(OR(A787="",B787=""),"",DATE(YEAR(B787),MONTH(B787),1))</f>
        <v/>
      </c>
      <c r="L787" s="7">
        <f>IF(COUNTA(A787,B787)=0,"",IF(OR(A787="",B787=""),"Preencher CPF e entrada",IF(COUNTIFS($A$12:$A$5011,A787,$B$12:$B$5011,B787)&gt;1,"CPF + dia duplicado",IF(OR(AND(E787&lt;&gt;"",E787&lt;B787),AND(F787&lt;&gt;"",F787&lt;B787)),"Evento anterior à entrada",IF(AND(F787&lt;&gt;"",E787=""),"Conversa sem agendamento",IF(OR(E787&gt;TODAY(),F787&gt;TODAY()),"Verificar evento futuro","OK"))))))</f>
        <v/>
      </c>
    </row>
    <row r="788" spans="9:12">
      <c r="I788" s="5">
        <f>IF(OR(A788="",B788=""),"",B788-WEEKDAY(B788,2)+1)</f>
        <v/>
      </c>
      <c r="J788" s="5">
        <f>IF(I788="","",I788+6)</f>
        <v/>
      </c>
      <c r="K788" s="6">
        <f>IF(OR(A788="",B788=""),"",DATE(YEAR(B788),MONTH(B788),1))</f>
        <v/>
      </c>
      <c r="L788" s="7">
        <f>IF(COUNTA(A788,B788)=0,"",IF(OR(A788="",B788=""),"Preencher CPF e entrada",IF(COUNTIFS($A$12:$A$5011,A788,$B$12:$B$5011,B788)&gt;1,"CPF + dia duplicado",IF(OR(AND(E788&lt;&gt;"",E788&lt;B788),AND(F788&lt;&gt;"",F788&lt;B788)),"Evento anterior à entrada",IF(AND(F788&lt;&gt;"",E788=""),"Conversa sem agendamento",IF(OR(E788&gt;TODAY(),F788&gt;TODAY()),"Verificar evento futuro","OK"))))))</f>
        <v/>
      </c>
    </row>
    <row r="789" spans="9:12">
      <c r="I789" s="5">
        <f>IF(OR(A789="",B789=""),"",B789-WEEKDAY(B789,2)+1)</f>
        <v/>
      </c>
      <c r="J789" s="5">
        <f>IF(I789="","",I789+6)</f>
        <v/>
      </c>
      <c r="K789" s="6">
        <f>IF(OR(A789="",B789=""),"",DATE(YEAR(B789),MONTH(B789),1))</f>
        <v/>
      </c>
      <c r="L789" s="7">
        <f>IF(COUNTA(A789,B789)=0,"",IF(OR(A789="",B789=""),"Preencher CPF e entrada",IF(COUNTIFS($A$12:$A$5011,A789,$B$12:$B$5011,B789)&gt;1,"CPF + dia duplicado",IF(OR(AND(E789&lt;&gt;"",E789&lt;B789),AND(F789&lt;&gt;"",F789&lt;B789)),"Evento anterior à entrada",IF(AND(F789&lt;&gt;"",E789=""),"Conversa sem agendamento",IF(OR(E789&gt;TODAY(),F789&gt;TODAY()),"Verificar evento futuro","OK"))))))</f>
        <v/>
      </c>
    </row>
    <row r="790" spans="9:12">
      <c r="I790" s="5">
        <f>IF(OR(A790="",B790=""),"",B790-WEEKDAY(B790,2)+1)</f>
        <v/>
      </c>
      <c r="J790" s="5">
        <f>IF(I790="","",I790+6)</f>
        <v/>
      </c>
      <c r="K790" s="6">
        <f>IF(OR(A790="",B790=""),"",DATE(YEAR(B790),MONTH(B790),1))</f>
        <v/>
      </c>
      <c r="L790" s="7">
        <f>IF(COUNTA(A790,B790)=0,"",IF(OR(A790="",B790=""),"Preencher CPF e entrada",IF(COUNTIFS($A$12:$A$5011,A790,$B$12:$B$5011,B790)&gt;1,"CPF + dia duplicado",IF(OR(AND(E790&lt;&gt;"",E790&lt;B790),AND(F790&lt;&gt;"",F790&lt;B790)),"Evento anterior à entrada",IF(AND(F790&lt;&gt;"",E790=""),"Conversa sem agendamento",IF(OR(E790&gt;TODAY(),F790&gt;TODAY()),"Verificar evento futuro","OK"))))))</f>
        <v/>
      </c>
    </row>
    <row r="791" spans="9:12">
      <c r="I791" s="5">
        <f>IF(OR(A791="",B791=""),"",B791-WEEKDAY(B791,2)+1)</f>
        <v/>
      </c>
      <c r="J791" s="5">
        <f>IF(I791="","",I791+6)</f>
        <v/>
      </c>
      <c r="K791" s="6">
        <f>IF(OR(A791="",B791=""),"",DATE(YEAR(B791),MONTH(B791),1))</f>
        <v/>
      </c>
      <c r="L791" s="7">
        <f>IF(COUNTA(A791,B791)=0,"",IF(OR(A791="",B791=""),"Preencher CPF e entrada",IF(COUNTIFS($A$12:$A$5011,A791,$B$12:$B$5011,B791)&gt;1,"CPF + dia duplicado",IF(OR(AND(E791&lt;&gt;"",E791&lt;B791),AND(F791&lt;&gt;"",F791&lt;B791)),"Evento anterior à entrada",IF(AND(F791&lt;&gt;"",E791=""),"Conversa sem agendamento",IF(OR(E791&gt;TODAY(),F791&gt;TODAY()),"Verificar evento futuro","OK"))))))</f>
        <v/>
      </c>
    </row>
    <row r="792" spans="9:12">
      <c r="I792" s="5">
        <f>IF(OR(A792="",B792=""),"",B792-WEEKDAY(B792,2)+1)</f>
        <v/>
      </c>
      <c r="J792" s="5">
        <f>IF(I792="","",I792+6)</f>
        <v/>
      </c>
      <c r="K792" s="6">
        <f>IF(OR(A792="",B792=""),"",DATE(YEAR(B792),MONTH(B792),1))</f>
        <v/>
      </c>
      <c r="L792" s="7">
        <f>IF(COUNTA(A792,B792)=0,"",IF(OR(A792="",B792=""),"Preencher CPF e entrada",IF(COUNTIFS($A$12:$A$5011,A792,$B$12:$B$5011,B792)&gt;1,"CPF + dia duplicado",IF(OR(AND(E792&lt;&gt;"",E792&lt;B792),AND(F792&lt;&gt;"",F792&lt;B792)),"Evento anterior à entrada",IF(AND(F792&lt;&gt;"",E792=""),"Conversa sem agendamento",IF(OR(E792&gt;TODAY(),F792&gt;TODAY()),"Verificar evento futuro","OK"))))))</f>
        <v/>
      </c>
    </row>
    <row r="793" spans="9:12">
      <c r="I793" s="5">
        <f>IF(OR(A793="",B793=""),"",B793-WEEKDAY(B793,2)+1)</f>
        <v/>
      </c>
      <c r="J793" s="5">
        <f>IF(I793="","",I793+6)</f>
        <v/>
      </c>
      <c r="K793" s="6">
        <f>IF(OR(A793="",B793=""),"",DATE(YEAR(B793),MONTH(B793),1))</f>
        <v/>
      </c>
      <c r="L793" s="7">
        <f>IF(COUNTA(A793,B793)=0,"",IF(OR(A793="",B793=""),"Preencher CPF e entrada",IF(COUNTIFS($A$12:$A$5011,A793,$B$12:$B$5011,B793)&gt;1,"CPF + dia duplicado",IF(OR(AND(E793&lt;&gt;"",E793&lt;B793),AND(F793&lt;&gt;"",F793&lt;B793)),"Evento anterior à entrada",IF(AND(F793&lt;&gt;"",E793=""),"Conversa sem agendamento",IF(OR(E793&gt;TODAY(),F793&gt;TODAY()),"Verificar evento futuro","OK"))))))</f>
        <v/>
      </c>
    </row>
    <row r="794" spans="9:12">
      <c r="I794" s="5">
        <f>IF(OR(A794="",B794=""),"",B794-WEEKDAY(B794,2)+1)</f>
        <v/>
      </c>
      <c r="J794" s="5">
        <f>IF(I794="","",I794+6)</f>
        <v/>
      </c>
      <c r="K794" s="6">
        <f>IF(OR(A794="",B794=""),"",DATE(YEAR(B794),MONTH(B794),1))</f>
        <v/>
      </c>
      <c r="L794" s="7">
        <f>IF(COUNTA(A794,B794)=0,"",IF(OR(A794="",B794=""),"Preencher CPF e entrada",IF(COUNTIFS($A$12:$A$5011,A794,$B$12:$B$5011,B794)&gt;1,"CPF + dia duplicado",IF(OR(AND(E794&lt;&gt;"",E794&lt;B794),AND(F794&lt;&gt;"",F794&lt;B794)),"Evento anterior à entrada",IF(AND(F794&lt;&gt;"",E794=""),"Conversa sem agendamento",IF(OR(E794&gt;TODAY(),F794&gt;TODAY()),"Verificar evento futuro","OK"))))))</f>
        <v/>
      </c>
    </row>
    <row r="795" spans="9:12">
      <c r="I795" s="5">
        <f>IF(OR(A795="",B795=""),"",B795-WEEKDAY(B795,2)+1)</f>
        <v/>
      </c>
      <c r="J795" s="5">
        <f>IF(I795="","",I795+6)</f>
        <v/>
      </c>
      <c r="K795" s="6">
        <f>IF(OR(A795="",B795=""),"",DATE(YEAR(B795),MONTH(B795),1))</f>
        <v/>
      </c>
      <c r="L795" s="7">
        <f>IF(COUNTA(A795,B795)=0,"",IF(OR(A795="",B795=""),"Preencher CPF e entrada",IF(COUNTIFS($A$12:$A$5011,A795,$B$12:$B$5011,B795)&gt;1,"CPF + dia duplicado",IF(OR(AND(E795&lt;&gt;"",E795&lt;B795),AND(F795&lt;&gt;"",F795&lt;B795)),"Evento anterior à entrada",IF(AND(F795&lt;&gt;"",E795=""),"Conversa sem agendamento",IF(OR(E795&gt;TODAY(),F795&gt;TODAY()),"Verificar evento futuro","OK"))))))</f>
        <v/>
      </c>
    </row>
    <row r="796" spans="9:12">
      <c r="I796" s="5">
        <f>IF(OR(A796="",B796=""),"",B796-WEEKDAY(B796,2)+1)</f>
        <v/>
      </c>
      <c r="J796" s="5">
        <f>IF(I796="","",I796+6)</f>
        <v/>
      </c>
      <c r="K796" s="6">
        <f>IF(OR(A796="",B796=""),"",DATE(YEAR(B796),MONTH(B796),1))</f>
        <v/>
      </c>
      <c r="L796" s="7">
        <f>IF(COUNTA(A796,B796)=0,"",IF(OR(A796="",B796=""),"Preencher CPF e entrada",IF(COUNTIFS($A$12:$A$5011,A796,$B$12:$B$5011,B796)&gt;1,"CPF + dia duplicado",IF(OR(AND(E796&lt;&gt;"",E796&lt;B796),AND(F796&lt;&gt;"",F796&lt;B796)),"Evento anterior à entrada",IF(AND(F796&lt;&gt;"",E796=""),"Conversa sem agendamento",IF(OR(E796&gt;TODAY(),F796&gt;TODAY()),"Verificar evento futuro","OK"))))))</f>
        <v/>
      </c>
    </row>
    <row r="797" spans="9:12">
      <c r="I797" s="5">
        <f>IF(OR(A797="",B797=""),"",B797-WEEKDAY(B797,2)+1)</f>
        <v/>
      </c>
      <c r="J797" s="5">
        <f>IF(I797="","",I797+6)</f>
        <v/>
      </c>
      <c r="K797" s="6">
        <f>IF(OR(A797="",B797=""),"",DATE(YEAR(B797),MONTH(B797),1))</f>
        <v/>
      </c>
      <c r="L797" s="7">
        <f>IF(COUNTA(A797,B797)=0,"",IF(OR(A797="",B797=""),"Preencher CPF e entrada",IF(COUNTIFS($A$12:$A$5011,A797,$B$12:$B$5011,B797)&gt;1,"CPF + dia duplicado",IF(OR(AND(E797&lt;&gt;"",E797&lt;B797),AND(F797&lt;&gt;"",F797&lt;B797)),"Evento anterior à entrada",IF(AND(F797&lt;&gt;"",E797=""),"Conversa sem agendamento",IF(OR(E797&gt;TODAY(),F797&gt;TODAY()),"Verificar evento futuro","OK"))))))</f>
        <v/>
      </c>
    </row>
    <row r="798" spans="9:12">
      <c r="I798" s="5">
        <f>IF(OR(A798="",B798=""),"",B798-WEEKDAY(B798,2)+1)</f>
        <v/>
      </c>
      <c r="J798" s="5">
        <f>IF(I798="","",I798+6)</f>
        <v/>
      </c>
      <c r="K798" s="6">
        <f>IF(OR(A798="",B798=""),"",DATE(YEAR(B798),MONTH(B798),1))</f>
        <v/>
      </c>
      <c r="L798" s="7">
        <f>IF(COUNTA(A798,B798)=0,"",IF(OR(A798="",B798=""),"Preencher CPF e entrada",IF(COUNTIFS($A$12:$A$5011,A798,$B$12:$B$5011,B798)&gt;1,"CPF + dia duplicado",IF(OR(AND(E798&lt;&gt;"",E798&lt;B798),AND(F798&lt;&gt;"",F798&lt;B798)),"Evento anterior à entrada",IF(AND(F798&lt;&gt;"",E798=""),"Conversa sem agendamento",IF(OR(E798&gt;TODAY(),F798&gt;TODAY()),"Verificar evento futuro","OK"))))))</f>
        <v/>
      </c>
    </row>
    <row r="799" spans="9:12">
      <c r="I799" s="5">
        <f>IF(OR(A799="",B799=""),"",B799-WEEKDAY(B799,2)+1)</f>
        <v/>
      </c>
      <c r="J799" s="5">
        <f>IF(I799="","",I799+6)</f>
        <v/>
      </c>
      <c r="K799" s="6">
        <f>IF(OR(A799="",B799=""),"",DATE(YEAR(B799),MONTH(B799),1))</f>
        <v/>
      </c>
      <c r="L799" s="7">
        <f>IF(COUNTA(A799,B799)=0,"",IF(OR(A799="",B799=""),"Preencher CPF e entrada",IF(COUNTIFS($A$12:$A$5011,A799,$B$12:$B$5011,B799)&gt;1,"CPF + dia duplicado",IF(OR(AND(E799&lt;&gt;"",E799&lt;B799),AND(F799&lt;&gt;"",F799&lt;B799)),"Evento anterior à entrada",IF(AND(F799&lt;&gt;"",E799=""),"Conversa sem agendamento",IF(OR(E799&gt;TODAY(),F799&gt;TODAY()),"Verificar evento futuro","OK"))))))</f>
        <v/>
      </c>
    </row>
    <row r="800" spans="9:12">
      <c r="I800" s="5">
        <f>IF(OR(A800="",B800=""),"",B800-WEEKDAY(B800,2)+1)</f>
        <v/>
      </c>
      <c r="J800" s="5">
        <f>IF(I800="","",I800+6)</f>
        <v/>
      </c>
      <c r="K800" s="6">
        <f>IF(OR(A800="",B800=""),"",DATE(YEAR(B800),MONTH(B800),1))</f>
        <v/>
      </c>
      <c r="L800" s="7">
        <f>IF(COUNTA(A800,B800)=0,"",IF(OR(A800="",B800=""),"Preencher CPF e entrada",IF(COUNTIFS($A$12:$A$5011,A800,$B$12:$B$5011,B800)&gt;1,"CPF + dia duplicado",IF(OR(AND(E800&lt;&gt;"",E800&lt;B800),AND(F800&lt;&gt;"",F800&lt;B800)),"Evento anterior à entrada",IF(AND(F800&lt;&gt;"",E800=""),"Conversa sem agendamento",IF(OR(E800&gt;TODAY(),F800&gt;TODAY()),"Verificar evento futuro","OK"))))))</f>
        <v/>
      </c>
    </row>
    <row r="801" spans="9:12">
      <c r="I801" s="5">
        <f>IF(OR(A801="",B801=""),"",B801-WEEKDAY(B801,2)+1)</f>
        <v/>
      </c>
      <c r="J801" s="5">
        <f>IF(I801="","",I801+6)</f>
        <v/>
      </c>
      <c r="K801" s="6">
        <f>IF(OR(A801="",B801=""),"",DATE(YEAR(B801),MONTH(B801),1))</f>
        <v/>
      </c>
      <c r="L801" s="7">
        <f>IF(COUNTA(A801,B801)=0,"",IF(OR(A801="",B801=""),"Preencher CPF e entrada",IF(COUNTIFS($A$12:$A$5011,A801,$B$12:$B$5011,B801)&gt;1,"CPF + dia duplicado",IF(OR(AND(E801&lt;&gt;"",E801&lt;B801),AND(F801&lt;&gt;"",F801&lt;B801)),"Evento anterior à entrada",IF(AND(F801&lt;&gt;"",E801=""),"Conversa sem agendamento",IF(OR(E801&gt;TODAY(),F801&gt;TODAY()),"Verificar evento futuro","OK"))))))</f>
        <v/>
      </c>
    </row>
    <row r="802" spans="9:12">
      <c r="I802" s="5">
        <f>IF(OR(A802="",B802=""),"",B802-WEEKDAY(B802,2)+1)</f>
        <v/>
      </c>
      <c r="J802" s="5">
        <f>IF(I802="","",I802+6)</f>
        <v/>
      </c>
      <c r="K802" s="6">
        <f>IF(OR(A802="",B802=""),"",DATE(YEAR(B802),MONTH(B802),1))</f>
        <v/>
      </c>
      <c r="L802" s="7">
        <f>IF(COUNTA(A802,B802)=0,"",IF(OR(A802="",B802=""),"Preencher CPF e entrada",IF(COUNTIFS($A$12:$A$5011,A802,$B$12:$B$5011,B802)&gt;1,"CPF + dia duplicado",IF(OR(AND(E802&lt;&gt;"",E802&lt;B802),AND(F802&lt;&gt;"",F802&lt;B802)),"Evento anterior à entrada",IF(AND(F802&lt;&gt;"",E802=""),"Conversa sem agendamento",IF(OR(E802&gt;TODAY(),F802&gt;TODAY()),"Verificar evento futuro","OK"))))))</f>
        <v/>
      </c>
    </row>
    <row r="803" spans="9:12">
      <c r="I803" s="5">
        <f>IF(OR(A803="",B803=""),"",B803-WEEKDAY(B803,2)+1)</f>
        <v/>
      </c>
      <c r="J803" s="5">
        <f>IF(I803="","",I803+6)</f>
        <v/>
      </c>
      <c r="K803" s="6">
        <f>IF(OR(A803="",B803=""),"",DATE(YEAR(B803),MONTH(B803),1))</f>
        <v/>
      </c>
      <c r="L803" s="7">
        <f>IF(COUNTA(A803,B803)=0,"",IF(OR(A803="",B803=""),"Preencher CPF e entrada",IF(COUNTIFS($A$12:$A$5011,A803,$B$12:$B$5011,B803)&gt;1,"CPF + dia duplicado",IF(OR(AND(E803&lt;&gt;"",E803&lt;B803),AND(F803&lt;&gt;"",F803&lt;B803)),"Evento anterior à entrada",IF(AND(F803&lt;&gt;"",E803=""),"Conversa sem agendamento",IF(OR(E803&gt;TODAY(),F803&gt;TODAY()),"Verificar evento futuro","OK"))))))</f>
        <v/>
      </c>
    </row>
    <row r="804" spans="9:12">
      <c r="I804" s="5">
        <f>IF(OR(A804="",B804=""),"",B804-WEEKDAY(B804,2)+1)</f>
        <v/>
      </c>
      <c r="J804" s="5">
        <f>IF(I804="","",I804+6)</f>
        <v/>
      </c>
      <c r="K804" s="6">
        <f>IF(OR(A804="",B804=""),"",DATE(YEAR(B804),MONTH(B804),1))</f>
        <v/>
      </c>
      <c r="L804" s="7">
        <f>IF(COUNTA(A804,B804)=0,"",IF(OR(A804="",B804=""),"Preencher CPF e entrada",IF(COUNTIFS($A$12:$A$5011,A804,$B$12:$B$5011,B804)&gt;1,"CPF + dia duplicado",IF(OR(AND(E804&lt;&gt;"",E804&lt;B804),AND(F804&lt;&gt;"",F804&lt;B804)),"Evento anterior à entrada",IF(AND(F804&lt;&gt;"",E804=""),"Conversa sem agendamento",IF(OR(E804&gt;TODAY(),F804&gt;TODAY()),"Verificar evento futuro","OK"))))))</f>
        <v/>
      </c>
    </row>
    <row r="805" spans="9:12">
      <c r="I805" s="5">
        <f>IF(OR(A805="",B805=""),"",B805-WEEKDAY(B805,2)+1)</f>
        <v/>
      </c>
      <c r="J805" s="5">
        <f>IF(I805="","",I805+6)</f>
        <v/>
      </c>
      <c r="K805" s="6">
        <f>IF(OR(A805="",B805=""),"",DATE(YEAR(B805),MONTH(B805),1))</f>
        <v/>
      </c>
      <c r="L805" s="7">
        <f>IF(COUNTA(A805,B805)=0,"",IF(OR(A805="",B805=""),"Preencher CPF e entrada",IF(COUNTIFS($A$12:$A$5011,A805,$B$12:$B$5011,B805)&gt;1,"CPF + dia duplicado",IF(OR(AND(E805&lt;&gt;"",E805&lt;B805),AND(F805&lt;&gt;"",F805&lt;B805)),"Evento anterior à entrada",IF(AND(F805&lt;&gt;"",E805=""),"Conversa sem agendamento",IF(OR(E805&gt;TODAY(),F805&gt;TODAY()),"Verificar evento futuro","OK"))))))</f>
        <v/>
      </c>
    </row>
    <row r="806" spans="9:12">
      <c r="I806" s="5">
        <f>IF(OR(A806="",B806=""),"",B806-WEEKDAY(B806,2)+1)</f>
        <v/>
      </c>
      <c r="J806" s="5">
        <f>IF(I806="","",I806+6)</f>
        <v/>
      </c>
      <c r="K806" s="6">
        <f>IF(OR(A806="",B806=""),"",DATE(YEAR(B806),MONTH(B806),1))</f>
        <v/>
      </c>
      <c r="L806" s="7">
        <f>IF(COUNTA(A806,B806)=0,"",IF(OR(A806="",B806=""),"Preencher CPF e entrada",IF(COUNTIFS($A$12:$A$5011,A806,$B$12:$B$5011,B806)&gt;1,"CPF + dia duplicado",IF(OR(AND(E806&lt;&gt;"",E806&lt;B806),AND(F806&lt;&gt;"",F806&lt;B806)),"Evento anterior à entrada",IF(AND(F806&lt;&gt;"",E806=""),"Conversa sem agendamento",IF(OR(E806&gt;TODAY(),F806&gt;TODAY()),"Verificar evento futuro","OK"))))))</f>
        <v/>
      </c>
    </row>
    <row r="807" spans="9:12">
      <c r="I807" s="5">
        <f>IF(OR(A807="",B807=""),"",B807-WEEKDAY(B807,2)+1)</f>
        <v/>
      </c>
      <c r="J807" s="5">
        <f>IF(I807="","",I807+6)</f>
        <v/>
      </c>
      <c r="K807" s="6">
        <f>IF(OR(A807="",B807=""),"",DATE(YEAR(B807),MONTH(B807),1))</f>
        <v/>
      </c>
      <c r="L807" s="7">
        <f>IF(COUNTA(A807,B807)=0,"",IF(OR(A807="",B807=""),"Preencher CPF e entrada",IF(COUNTIFS($A$12:$A$5011,A807,$B$12:$B$5011,B807)&gt;1,"CPF + dia duplicado",IF(OR(AND(E807&lt;&gt;"",E807&lt;B807),AND(F807&lt;&gt;"",F807&lt;B807)),"Evento anterior à entrada",IF(AND(F807&lt;&gt;"",E807=""),"Conversa sem agendamento",IF(OR(E807&gt;TODAY(),F807&gt;TODAY()),"Verificar evento futuro","OK"))))))</f>
        <v/>
      </c>
    </row>
    <row r="808" spans="9:12">
      <c r="I808" s="5">
        <f>IF(OR(A808="",B808=""),"",B808-WEEKDAY(B808,2)+1)</f>
        <v/>
      </c>
      <c r="J808" s="5">
        <f>IF(I808="","",I808+6)</f>
        <v/>
      </c>
      <c r="K808" s="6">
        <f>IF(OR(A808="",B808=""),"",DATE(YEAR(B808),MONTH(B808),1))</f>
        <v/>
      </c>
      <c r="L808" s="7">
        <f>IF(COUNTA(A808,B808)=0,"",IF(OR(A808="",B808=""),"Preencher CPF e entrada",IF(COUNTIFS($A$12:$A$5011,A808,$B$12:$B$5011,B808)&gt;1,"CPF + dia duplicado",IF(OR(AND(E808&lt;&gt;"",E808&lt;B808),AND(F808&lt;&gt;"",F808&lt;B808)),"Evento anterior à entrada",IF(AND(F808&lt;&gt;"",E808=""),"Conversa sem agendamento",IF(OR(E808&gt;TODAY(),F808&gt;TODAY()),"Verificar evento futuro","OK"))))))</f>
        <v/>
      </c>
    </row>
    <row r="809" spans="9:12">
      <c r="I809" s="5">
        <f>IF(OR(A809="",B809=""),"",B809-WEEKDAY(B809,2)+1)</f>
        <v/>
      </c>
      <c r="J809" s="5">
        <f>IF(I809="","",I809+6)</f>
        <v/>
      </c>
      <c r="K809" s="6">
        <f>IF(OR(A809="",B809=""),"",DATE(YEAR(B809),MONTH(B809),1))</f>
        <v/>
      </c>
      <c r="L809" s="7">
        <f>IF(COUNTA(A809,B809)=0,"",IF(OR(A809="",B809=""),"Preencher CPF e entrada",IF(COUNTIFS($A$12:$A$5011,A809,$B$12:$B$5011,B809)&gt;1,"CPF + dia duplicado",IF(OR(AND(E809&lt;&gt;"",E809&lt;B809),AND(F809&lt;&gt;"",F809&lt;B809)),"Evento anterior à entrada",IF(AND(F809&lt;&gt;"",E809=""),"Conversa sem agendamento",IF(OR(E809&gt;TODAY(),F809&gt;TODAY()),"Verificar evento futuro","OK"))))))</f>
        <v/>
      </c>
    </row>
    <row r="810" spans="9:12">
      <c r="I810" s="5">
        <f>IF(OR(A810="",B810=""),"",B810-WEEKDAY(B810,2)+1)</f>
        <v/>
      </c>
      <c r="J810" s="5">
        <f>IF(I810="","",I810+6)</f>
        <v/>
      </c>
      <c r="K810" s="6">
        <f>IF(OR(A810="",B810=""),"",DATE(YEAR(B810),MONTH(B810),1))</f>
        <v/>
      </c>
      <c r="L810" s="7">
        <f>IF(COUNTA(A810,B810)=0,"",IF(OR(A810="",B810=""),"Preencher CPF e entrada",IF(COUNTIFS($A$12:$A$5011,A810,$B$12:$B$5011,B810)&gt;1,"CPF + dia duplicado",IF(OR(AND(E810&lt;&gt;"",E810&lt;B810),AND(F810&lt;&gt;"",F810&lt;B810)),"Evento anterior à entrada",IF(AND(F810&lt;&gt;"",E810=""),"Conversa sem agendamento",IF(OR(E810&gt;TODAY(),F810&gt;TODAY()),"Verificar evento futuro","OK"))))))</f>
        <v/>
      </c>
    </row>
    <row r="811" spans="9:12">
      <c r="I811" s="5">
        <f>IF(OR(A811="",B811=""),"",B811-WEEKDAY(B811,2)+1)</f>
        <v/>
      </c>
      <c r="J811" s="5">
        <f>IF(I811="","",I811+6)</f>
        <v/>
      </c>
      <c r="K811" s="6">
        <f>IF(OR(A811="",B811=""),"",DATE(YEAR(B811),MONTH(B811),1))</f>
        <v/>
      </c>
      <c r="L811" s="7">
        <f>IF(COUNTA(A811,B811)=0,"",IF(OR(A811="",B811=""),"Preencher CPF e entrada",IF(COUNTIFS($A$12:$A$5011,A811,$B$12:$B$5011,B811)&gt;1,"CPF + dia duplicado",IF(OR(AND(E811&lt;&gt;"",E811&lt;B811),AND(F811&lt;&gt;"",F811&lt;B811)),"Evento anterior à entrada",IF(AND(F811&lt;&gt;"",E811=""),"Conversa sem agendamento",IF(OR(E811&gt;TODAY(),F811&gt;TODAY()),"Verificar evento futuro","OK"))))))</f>
        <v/>
      </c>
    </row>
    <row r="812" spans="9:12">
      <c r="I812" s="5">
        <f>IF(OR(A812="",B812=""),"",B812-WEEKDAY(B812,2)+1)</f>
        <v/>
      </c>
      <c r="J812" s="5">
        <f>IF(I812="","",I812+6)</f>
        <v/>
      </c>
      <c r="K812" s="6">
        <f>IF(OR(A812="",B812=""),"",DATE(YEAR(B812),MONTH(B812),1))</f>
        <v/>
      </c>
      <c r="L812" s="7">
        <f>IF(COUNTA(A812,B812)=0,"",IF(OR(A812="",B812=""),"Preencher CPF e entrada",IF(COUNTIFS($A$12:$A$5011,A812,$B$12:$B$5011,B812)&gt;1,"CPF + dia duplicado",IF(OR(AND(E812&lt;&gt;"",E812&lt;B812),AND(F812&lt;&gt;"",F812&lt;B812)),"Evento anterior à entrada",IF(AND(F812&lt;&gt;"",E812=""),"Conversa sem agendamento",IF(OR(E812&gt;TODAY(),F812&gt;TODAY()),"Verificar evento futuro","OK"))))))</f>
        <v/>
      </c>
    </row>
    <row r="813" spans="9:12">
      <c r="I813" s="5">
        <f>IF(OR(A813="",B813=""),"",B813-WEEKDAY(B813,2)+1)</f>
        <v/>
      </c>
      <c r="J813" s="5">
        <f>IF(I813="","",I813+6)</f>
        <v/>
      </c>
      <c r="K813" s="6">
        <f>IF(OR(A813="",B813=""),"",DATE(YEAR(B813),MONTH(B813),1))</f>
        <v/>
      </c>
      <c r="L813" s="7">
        <f>IF(COUNTA(A813,B813)=0,"",IF(OR(A813="",B813=""),"Preencher CPF e entrada",IF(COUNTIFS($A$12:$A$5011,A813,$B$12:$B$5011,B813)&gt;1,"CPF + dia duplicado",IF(OR(AND(E813&lt;&gt;"",E813&lt;B813),AND(F813&lt;&gt;"",F813&lt;B813)),"Evento anterior à entrada",IF(AND(F813&lt;&gt;"",E813=""),"Conversa sem agendamento",IF(OR(E813&gt;TODAY(),F813&gt;TODAY()),"Verificar evento futuro","OK"))))))</f>
        <v/>
      </c>
    </row>
    <row r="814" spans="9:12">
      <c r="I814" s="5">
        <f>IF(OR(A814="",B814=""),"",B814-WEEKDAY(B814,2)+1)</f>
        <v/>
      </c>
      <c r="J814" s="5">
        <f>IF(I814="","",I814+6)</f>
        <v/>
      </c>
      <c r="K814" s="6">
        <f>IF(OR(A814="",B814=""),"",DATE(YEAR(B814),MONTH(B814),1))</f>
        <v/>
      </c>
      <c r="L814" s="7">
        <f>IF(COUNTA(A814,B814)=0,"",IF(OR(A814="",B814=""),"Preencher CPF e entrada",IF(COUNTIFS($A$12:$A$5011,A814,$B$12:$B$5011,B814)&gt;1,"CPF + dia duplicado",IF(OR(AND(E814&lt;&gt;"",E814&lt;B814),AND(F814&lt;&gt;"",F814&lt;B814)),"Evento anterior à entrada",IF(AND(F814&lt;&gt;"",E814=""),"Conversa sem agendamento",IF(OR(E814&gt;TODAY(),F814&gt;TODAY()),"Verificar evento futuro","OK"))))))</f>
        <v/>
      </c>
    </row>
    <row r="815" spans="9:12">
      <c r="I815" s="5">
        <f>IF(OR(A815="",B815=""),"",B815-WEEKDAY(B815,2)+1)</f>
        <v/>
      </c>
      <c r="J815" s="5">
        <f>IF(I815="","",I815+6)</f>
        <v/>
      </c>
      <c r="K815" s="6">
        <f>IF(OR(A815="",B815=""),"",DATE(YEAR(B815),MONTH(B815),1))</f>
        <v/>
      </c>
      <c r="L815" s="7">
        <f>IF(COUNTA(A815,B815)=0,"",IF(OR(A815="",B815=""),"Preencher CPF e entrada",IF(COUNTIFS($A$12:$A$5011,A815,$B$12:$B$5011,B815)&gt;1,"CPF + dia duplicado",IF(OR(AND(E815&lt;&gt;"",E815&lt;B815),AND(F815&lt;&gt;"",F815&lt;B815)),"Evento anterior à entrada",IF(AND(F815&lt;&gt;"",E815=""),"Conversa sem agendamento",IF(OR(E815&gt;TODAY(),F815&gt;TODAY()),"Verificar evento futuro","OK"))))))</f>
        <v/>
      </c>
    </row>
    <row r="816" spans="9:12">
      <c r="I816" s="5">
        <f>IF(OR(A816="",B816=""),"",B816-WEEKDAY(B816,2)+1)</f>
        <v/>
      </c>
      <c r="J816" s="5">
        <f>IF(I816="","",I816+6)</f>
        <v/>
      </c>
      <c r="K816" s="6">
        <f>IF(OR(A816="",B816=""),"",DATE(YEAR(B816),MONTH(B816),1))</f>
        <v/>
      </c>
      <c r="L816" s="7">
        <f>IF(COUNTA(A816,B816)=0,"",IF(OR(A816="",B816=""),"Preencher CPF e entrada",IF(COUNTIFS($A$12:$A$5011,A816,$B$12:$B$5011,B816)&gt;1,"CPF + dia duplicado",IF(OR(AND(E816&lt;&gt;"",E816&lt;B816),AND(F816&lt;&gt;"",F816&lt;B816)),"Evento anterior à entrada",IF(AND(F816&lt;&gt;"",E816=""),"Conversa sem agendamento",IF(OR(E816&gt;TODAY(),F816&gt;TODAY()),"Verificar evento futuro","OK"))))))</f>
        <v/>
      </c>
    </row>
    <row r="817" spans="9:12">
      <c r="I817" s="5">
        <f>IF(OR(A817="",B817=""),"",B817-WEEKDAY(B817,2)+1)</f>
        <v/>
      </c>
      <c r="J817" s="5">
        <f>IF(I817="","",I817+6)</f>
        <v/>
      </c>
      <c r="K817" s="6">
        <f>IF(OR(A817="",B817=""),"",DATE(YEAR(B817),MONTH(B817),1))</f>
        <v/>
      </c>
      <c r="L817" s="7">
        <f>IF(COUNTA(A817,B817)=0,"",IF(OR(A817="",B817=""),"Preencher CPF e entrada",IF(COUNTIFS($A$12:$A$5011,A817,$B$12:$B$5011,B817)&gt;1,"CPF + dia duplicado",IF(OR(AND(E817&lt;&gt;"",E817&lt;B817),AND(F817&lt;&gt;"",F817&lt;B817)),"Evento anterior à entrada",IF(AND(F817&lt;&gt;"",E817=""),"Conversa sem agendamento",IF(OR(E817&gt;TODAY(),F817&gt;TODAY()),"Verificar evento futuro","OK"))))))</f>
        <v/>
      </c>
    </row>
    <row r="818" spans="9:12">
      <c r="I818" s="5">
        <f>IF(OR(A818="",B818=""),"",B818-WEEKDAY(B818,2)+1)</f>
        <v/>
      </c>
      <c r="J818" s="5">
        <f>IF(I818="","",I818+6)</f>
        <v/>
      </c>
      <c r="K818" s="6">
        <f>IF(OR(A818="",B818=""),"",DATE(YEAR(B818),MONTH(B818),1))</f>
        <v/>
      </c>
      <c r="L818" s="7">
        <f>IF(COUNTA(A818,B818)=0,"",IF(OR(A818="",B818=""),"Preencher CPF e entrada",IF(COUNTIFS($A$12:$A$5011,A818,$B$12:$B$5011,B818)&gt;1,"CPF + dia duplicado",IF(OR(AND(E818&lt;&gt;"",E818&lt;B818),AND(F818&lt;&gt;"",F818&lt;B818)),"Evento anterior à entrada",IF(AND(F818&lt;&gt;"",E818=""),"Conversa sem agendamento",IF(OR(E818&gt;TODAY(),F818&gt;TODAY()),"Verificar evento futuro","OK"))))))</f>
        <v/>
      </c>
    </row>
    <row r="819" spans="9:12">
      <c r="I819" s="5">
        <f>IF(OR(A819="",B819=""),"",B819-WEEKDAY(B819,2)+1)</f>
        <v/>
      </c>
      <c r="J819" s="5">
        <f>IF(I819="","",I819+6)</f>
        <v/>
      </c>
      <c r="K819" s="6">
        <f>IF(OR(A819="",B819=""),"",DATE(YEAR(B819),MONTH(B819),1))</f>
        <v/>
      </c>
      <c r="L819" s="7">
        <f>IF(COUNTA(A819,B819)=0,"",IF(OR(A819="",B819=""),"Preencher CPF e entrada",IF(COUNTIFS($A$12:$A$5011,A819,$B$12:$B$5011,B819)&gt;1,"CPF + dia duplicado",IF(OR(AND(E819&lt;&gt;"",E819&lt;B819),AND(F819&lt;&gt;"",F819&lt;B819)),"Evento anterior à entrada",IF(AND(F819&lt;&gt;"",E819=""),"Conversa sem agendamento",IF(OR(E819&gt;TODAY(),F819&gt;TODAY()),"Verificar evento futuro","OK"))))))</f>
        <v/>
      </c>
    </row>
    <row r="820" spans="9:12">
      <c r="I820" s="5">
        <f>IF(OR(A820="",B820=""),"",B820-WEEKDAY(B820,2)+1)</f>
        <v/>
      </c>
      <c r="J820" s="5">
        <f>IF(I820="","",I820+6)</f>
        <v/>
      </c>
      <c r="K820" s="6">
        <f>IF(OR(A820="",B820=""),"",DATE(YEAR(B820),MONTH(B820),1))</f>
        <v/>
      </c>
      <c r="L820" s="7">
        <f>IF(COUNTA(A820,B820)=0,"",IF(OR(A820="",B820=""),"Preencher CPF e entrada",IF(COUNTIFS($A$12:$A$5011,A820,$B$12:$B$5011,B820)&gt;1,"CPF + dia duplicado",IF(OR(AND(E820&lt;&gt;"",E820&lt;B820),AND(F820&lt;&gt;"",F820&lt;B820)),"Evento anterior à entrada",IF(AND(F820&lt;&gt;"",E820=""),"Conversa sem agendamento",IF(OR(E820&gt;TODAY(),F820&gt;TODAY()),"Verificar evento futuro","OK"))))))</f>
        <v/>
      </c>
    </row>
    <row r="821" spans="9:12">
      <c r="I821" s="5">
        <f>IF(OR(A821="",B821=""),"",B821-WEEKDAY(B821,2)+1)</f>
        <v/>
      </c>
      <c r="J821" s="5">
        <f>IF(I821="","",I821+6)</f>
        <v/>
      </c>
      <c r="K821" s="6">
        <f>IF(OR(A821="",B821=""),"",DATE(YEAR(B821),MONTH(B821),1))</f>
        <v/>
      </c>
      <c r="L821" s="7">
        <f>IF(COUNTA(A821,B821)=0,"",IF(OR(A821="",B821=""),"Preencher CPF e entrada",IF(COUNTIFS($A$12:$A$5011,A821,$B$12:$B$5011,B821)&gt;1,"CPF + dia duplicado",IF(OR(AND(E821&lt;&gt;"",E821&lt;B821),AND(F821&lt;&gt;"",F821&lt;B821)),"Evento anterior à entrada",IF(AND(F821&lt;&gt;"",E821=""),"Conversa sem agendamento",IF(OR(E821&gt;TODAY(),F821&gt;TODAY()),"Verificar evento futuro","OK"))))))</f>
        <v/>
      </c>
    </row>
    <row r="822" spans="9:12">
      <c r="I822" s="5">
        <f>IF(OR(A822="",B822=""),"",B822-WEEKDAY(B822,2)+1)</f>
        <v/>
      </c>
      <c r="J822" s="5">
        <f>IF(I822="","",I822+6)</f>
        <v/>
      </c>
      <c r="K822" s="6">
        <f>IF(OR(A822="",B822=""),"",DATE(YEAR(B822),MONTH(B822),1))</f>
        <v/>
      </c>
      <c r="L822" s="7">
        <f>IF(COUNTA(A822,B822)=0,"",IF(OR(A822="",B822=""),"Preencher CPF e entrada",IF(COUNTIFS($A$12:$A$5011,A822,$B$12:$B$5011,B822)&gt;1,"CPF + dia duplicado",IF(OR(AND(E822&lt;&gt;"",E822&lt;B822),AND(F822&lt;&gt;"",F822&lt;B822)),"Evento anterior à entrada",IF(AND(F822&lt;&gt;"",E822=""),"Conversa sem agendamento",IF(OR(E822&gt;TODAY(),F822&gt;TODAY()),"Verificar evento futuro","OK"))))))</f>
        <v/>
      </c>
    </row>
    <row r="823" spans="9:12">
      <c r="I823" s="5">
        <f>IF(OR(A823="",B823=""),"",B823-WEEKDAY(B823,2)+1)</f>
        <v/>
      </c>
      <c r="J823" s="5">
        <f>IF(I823="","",I823+6)</f>
        <v/>
      </c>
      <c r="K823" s="6">
        <f>IF(OR(A823="",B823=""),"",DATE(YEAR(B823),MONTH(B823),1))</f>
        <v/>
      </c>
      <c r="L823" s="7">
        <f>IF(COUNTA(A823,B823)=0,"",IF(OR(A823="",B823=""),"Preencher CPF e entrada",IF(COUNTIFS($A$12:$A$5011,A823,$B$12:$B$5011,B823)&gt;1,"CPF + dia duplicado",IF(OR(AND(E823&lt;&gt;"",E823&lt;B823),AND(F823&lt;&gt;"",F823&lt;B823)),"Evento anterior à entrada",IF(AND(F823&lt;&gt;"",E823=""),"Conversa sem agendamento",IF(OR(E823&gt;TODAY(),F823&gt;TODAY()),"Verificar evento futuro","OK"))))))</f>
        <v/>
      </c>
    </row>
    <row r="824" spans="9:12">
      <c r="I824" s="5">
        <f>IF(OR(A824="",B824=""),"",B824-WEEKDAY(B824,2)+1)</f>
        <v/>
      </c>
      <c r="J824" s="5">
        <f>IF(I824="","",I824+6)</f>
        <v/>
      </c>
      <c r="K824" s="6">
        <f>IF(OR(A824="",B824=""),"",DATE(YEAR(B824),MONTH(B824),1))</f>
        <v/>
      </c>
      <c r="L824" s="7">
        <f>IF(COUNTA(A824,B824)=0,"",IF(OR(A824="",B824=""),"Preencher CPF e entrada",IF(COUNTIFS($A$12:$A$5011,A824,$B$12:$B$5011,B824)&gt;1,"CPF + dia duplicado",IF(OR(AND(E824&lt;&gt;"",E824&lt;B824),AND(F824&lt;&gt;"",F824&lt;B824)),"Evento anterior à entrada",IF(AND(F824&lt;&gt;"",E824=""),"Conversa sem agendamento",IF(OR(E824&gt;TODAY(),F824&gt;TODAY()),"Verificar evento futuro","OK"))))))</f>
        <v/>
      </c>
    </row>
    <row r="825" spans="9:12">
      <c r="I825" s="5">
        <f>IF(OR(A825="",B825=""),"",B825-WEEKDAY(B825,2)+1)</f>
        <v/>
      </c>
      <c r="J825" s="5">
        <f>IF(I825="","",I825+6)</f>
        <v/>
      </c>
      <c r="K825" s="6">
        <f>IF(OR(A825="",B825=""),"",DATE(YEAR(B825),MONTH(B825),1))</f>
        <v/>
      </c>
      <c r="L825" s="7">
        <f>IF(COUNTA(A825,B825)=0,"",IF(OR(A825="",B825=""),"Preencher CPF e entrada",IF(COUNTIFS($A$12:$A$5011,A825,$B$12:$B$5011,B825)&gt;1,"CPF + dia duplicado",IF(OR(AND(E825&lt;&gt;"",E825&lt;B825),AND(F825&lt;&gt;"",F825&lt;B825)),"Evento anterior à entrada",IF(AND(F825&lt;&gt;"",E825=""),"Conversa sem agendamento",IF(OR(E825&gt;TODAY(),F825&gt;TODAY()),"Verificar evento futuro","OK"))))))</f>
        <v/>
      </c>
    </row>
    <row r="826" spans="9:12">
      <c r="I826" s="5">
        <f>IF(OR(A826="",B826=""),"",B826-WEEKDAY(B826,2)+1)</f>
        <v/>
      </c>
      <c r="J826" s="5">
        <f>IF(I826="","",I826+6)</f>
        <v/>
      </c>
      <c r="K826" s="6">
        <f>IF(OR(A826="",B826=""),"",DATE(YEAR(B826),MONTH(B826),1))</f>
        <v/>
      </c>
      <c r="L826" s="7">
        <f>IF(COUNTA(A826,B826)=0,"",IF(OR(A826="",B826=""),"Preencher CPF e entrada",IF(COUNTIFS($A$12:$A$5011,A826,$B$12:$B$5011,B826)&gt;1,"CPF + dia duplicado",IF(OR(AND(E826&lt;&gt;"",E826&lt;B826),AND(F826&lt;&gt;"",F826&lt;B826)),"Evento anterior à entrada",IF(AND(F826&lt;&gt;"",E826=""),"Conversa sem agendamento",IF(OR(E826&gt;TODAY(),F826&gt;TODAY()),"Verificar evento futuro","OK"))))))</f>
        <v/>
      </c>
    </row>
    <row r="827" spans="9:12">
      <c r="I827" s="5">
        <f>IF(OR(A827="",B827=""),"",B827-WEEKDAY(B827,2)+1)</f>
        <v/>
      </c>
      <c r="J827" s="5">
        <f>IF(I827="","",I827+6)</f>
        <v/>
      </c>
      <c r="K827" s="6">
        <f>IF(OR(A827="",B827=""),"",DATE(YEAR(B827),MONTH(B827),1))</f>
        <v/>
      </c>
      <c r="L827" s="7">
        <f>IF(COUNTA(A827,B827)=0,"",IF(OR(A827="",B827=""),"Preencher CPF e entrada",IF(COUNTIFS($A$12:$A$5011,A827,$B$12:$B$5011,B827)&gt;1,"CPF + dia duplicado",IF(OR(AND(E827&lt;&gt;"",E827&lt;B827),AND(F827&lt;&gt;"",F827&lt;B827)),"Evento anterior à entrada",IF(AND(F827&lt;&gt;"",E827=""),"Conversa sem agendamento",IF(OR(E827&gt;TODAY(),F827&gt;TODAY()),"Verificar evento futuro","OK"))))))</f>
        <v/>
      </c>
    </row>
    <row r="828" spans="9:12">
      <c r="I828" s="5">
        <f>IF(OR(A828="",B828=""),"",B828-WEEKDAY(B828,2)+1)</f>
        <v/>
      </c>
      <c r="J828" s="5">
        <f>IF(I828="","",I828+6)</f>
        <v/>
      </c>
      <c r="K828" s="6">
        <f>IF(OR(A828="",B828=""),"",DATE(YEAR(B828),MONTH(B828),1))</f>
        <v/>
      </c>
      <c r="L828" s="7">
        <f>IF(COUNTA(A828,B828)=0,"",IF(OR(A828="",B828=""),"Preencher CPF e entrada",IF(COUNTIFS($A$12:$A$5011,A828,$B$12:$B$5011,B828)&gt;1,"CPF + dia duplicado",IF(OR(AND(E828&lt;&gt;"",E828&lt;B828),AND(F828&lt;&gt;"",F828&lt;B828)),"Evento anterior à entrada",IF(AND(F828&lt;&gt;"",E828=""),"Conversa sem agendamento",IF(OR(E828&gt;TODAY(),F828&gt;TODAY()),"Verificar evento futuro","OK"))))))</f>
        <v/>
      </c>
    </row>
    <row r="829" spans="9:12">
      <c r="I829" s="5">
        <f>IF(OR(A829="",B829=""),"",B829-WEEKDAY(B829,2)+1)</f>
        <v/>
      </c>
      <c r="J829" s="5">
        <f>IF(I829="","",I829+6)</f>
        <v/>
      </c>
      <c r="K829" s="6">
        <f>IF(OR(A829="",B829=""),"",DATE(YEAR(B829),MONTH(B829),1))</f>
        <v/>
      </c>
      <c r="L829" s="7">
        <f>IF(COUNTA(A829,B829)=0,"",IF(OR(A829="",B829=""),"Preencher CPF e entrada",IF(COUNTIFS($A$12:$A$5011,A829,$B$12:$B$5011,B829)&gt;1,"CPF + dia duplicado",IF(OR(AND(E829&lt;&gt;"",E829&lt;B829),AND(F829&lt;&gt;"",F829&lt;B829)),"Evento anterior à entrada",IF(AND(F829&lt;&gt;"",E829=""),"Conversa sem agendamento",IF(OR(E829&gt;TODAY(),F829&gt;TODAY()),"Verificar evento futuro","OK"))))))</f>
        <v/>
      </c>
    </row>
    <row r="830" spans="9:12">
      <c r="I830" s="5">
        <f>IF(OR(A830="",B830=""),"",B830-WEEKDAY(B830,2)+1)</f>
        <v/>
      </c>
      <c r="J830" s="5">
        <f>IF(I830="","",I830+6)</f>
        <v/>
      </c>
      <c r="K830" s="6">
        <f>IF(OR(A830="",B830=""),"",DATE(YEAR(B830),MONTH(B830),1))</f>
        <v/>
      </c>
      <c r="L830" s="7">
        <f>IF(COUNTA(A830,B830)=0,"",IF(OR(A830="",B830=""),"Preencher CPF e entrada",IF(COUNTIFS($A$12:$A$5011,A830,$B$12:$B$5011,B830)&gt;1,"CPF + dia duplicado",IF(OR(AND(E830&lt;&gt;"",E830&lt;B830),AND(F830&lt;&gt;"",F830&lt;B830)),"Evento anterior à entrada",IF(AND(F830&lt;&gt;"",E830=""),"Conversa sem agendamento",IF(OR(E830&gt;TODAY(),F830&gt;TODAY()),"Verificar evento futuro","OK"))))))</f>
        <v/>
      </c>
    </row>
    <row r="831" spans="9:12">
      <c r="I831" s="5">
        <f>IF(OR(A831="",B831=""),"",B831-WEEKDAY(B831,2)+1)</f>
        <v/>
      </c>
      <c r="J831" s="5">
        <f>IF(I831="","",I831+6)</f>
        <v/>
      </c>
      <c r="K831" s="6">
        <f>IF(OR(A831="",B831=""),"",DATE(YEAR(B831),MONTH(B831),1))</f>
        <v/>
      </c>
      <c r="L831" s="7">
        <f>IF(COUNTA(A831,B831)=0,"",IF(OR(A831="",B831=""),"Preencher CPF e entrada",IF(COUNTIFS($A$12:$A$5011,A831,$B$12:$B$5011,B831)&gt;1,"CPF + dia duplicado",IF(OR(AND(E831&lt;&gt;"",E831&lt;B831),AND(F831&lt;&gt;"",F831&lt;B831)),"Evento anterior à entrada",IF(AND(F831&lt;&gt;"",E831=""),"Conversa sem agendamento",IF(OR(E831&gt;TODAY(),F831&gt;TODAY()),"Verificar evento futuro","OK"))))))</f>
        <v/>
      </c>
    </row>
    <row r="832" spans="9:12">
      <c r="I832" s="5">
        <f>IF(OR(A832="",B832=""),"",B832-WEEKDAY(B832,2)+1)</f>
        <v/>
      </c>
      <c r="J832" s="5">
        <f>IF(I832="","",I832+6)</f>
        <v/>
      </c>
      <c r="K832" s="6">
        <f>IF(OR(A832="",B832=""),"",DATE(YEAR(B832),MONTH(B832),1))</f>
        <v/>
      </c>
      <c r="L832" s="7">
        <f>IF(COUNTA(A832,B832)=0,"",IF(OR(A832="",B832=""),"Preencher CPF e entrada",IF(COUNTIFS($A$12:$A$5011,A832,$B$12:$B$5011,B832)&gt;1,"CPF + dia duplicado",IF(OR(AND(E832&lt;&gt;"",E832&lt;B832),AND(F832&lt;&gt;"",F832&lt;B832)),"Evento anterior à entrada",IF(AND(F832&lt;&gt;"",E832=""),"Conversa sem agendamento",IF(OR(E832&gt;TODAY(),F832&gt;TODAY()),"Verificar evento futuro","OK"))))))</f>
        <v/>
      </c>
    </row>
    <row r="833" spans="9:12">
      <c r="I833" s="5">
        <f>IF(OR(A833="",B833=""),"",B833-WEEKDAY(B833,2)+1)</f>
        <v/>
      </c>
      <c r="J833" s="5">
        <f>IF(I833="","",I833+6)</f>
        <v/>
      </c>
      <c r="K833" s="6">
        <f>IF(OR(A833="",B833=""),"",DATE(YEAR(B833),MONTH(B833),1))</f>
        <v/>
      </c>
      <c r="L833" s="7">
        <f>IF(COUNTA(A833,B833)=0,"",IF(OR(A833="",B833=""),"Preencher CPF e entrada",IF(COUNTIFS($A$12:$A$5011,A833,$B$12:$B$5011,B833)&gt;1,"CPF + dia duplicado",IF(OR(AND(E833&lt;&gt;"",E833&lt;B833),AND(F833&lt;&gt;"",F833&lt;B833)),"Evento anterior à entrada",IF(AND(F833&lt;&gt;"",E833=""),"Conversa sem agendamento",IF(OR(E833&gt;TODAY(),F833&gt;TODAY()),"Verificar evento futuro","OK"))))))</f>
        <v/>
      </c>
    </row>
    <row r="834" spans="9:12">
      <c r="I834" s="5">
        <f>IF(OR(A834="",B834=""),"",B834-WEEKDAY(B834,2)+1)</f>
        <v/>
      </c>
      <c r="J834" s="5">
        <f>IF(I834="","",I834+6)</f>
        <v/>
      </c>
      <c r="K834" s="6">
        <f>IF(OR(A834="",B834=""),"",DATE(YEAR(B834),MONTH(B834),1))</f>
        <v/>
      </c>
      <c r="L834" s="7">
        <f>IF(COUNTA(A834,B834)=0,"",IF(OR(A834="",B834=""),"Preencher CPF e entrada",IF(COUNTIFS($A$12:$A$5011,A834,$B$12:$B$5011,B834)&gt;1,"CPF + dia duplicado",IF(OR(AND(E834&lt;&gt;"",E834&lt;B834),AND(F834&lt;&gt;"",F834&lt;B834)),"Evento anterior à entrada",IF(AND(F834&lt;&gt;"",E834=""),"Conversa sem agendamento",IF(OR(E834&gt;TODAY(),F834&gt;TODAY()),"Verificar evento futuro","OK"))))))</f>
        <v/>
      </c>
    </row>
    <row r="835" spans="9:12">
      <c r="I835" s="5">
        <f>IF(OR(A835="",B835=""),"",B835-WEEKDAY(B835,2)+1)</f>
        <v/>
      </c>
      <c r="J835" s="5">
        <f>IF(I835="","",I835+6)</f>
        <v/>
      </c>
      <c r="K835" s="6">
        <f>IF(OR(A835="",B835=""),"",DATE(YEAR(B835),MONTH(B835),1))</f>
        <v/>
      </c>
      <c r="L835" s="7">
        <f>IF(COUNTA(A835,B835)=0,"",IF(OR(A835="",B835=""),"Preencher CPF e entrada",IF(COUNTIFS($A$12:$A$5011,A835,$B$12:$B$5011,B835)&gt;1,"CPF + dia duplicado",IF(OR(AND(E835&lt;&gt;"",E835&lt;B835),AND(F835&lt;&gt;"",F835&lt;B835)),"Evento anterior à entrada",IF(AND(F835&lt;&gt;"",E835=""),"Conversa sem agendamento",IF(OR(E835&gt;TODAY(),F835&gt;TODAY()),"Verificar evento futuro","OK"))))))</f>
        <v/>
      </c>
    </row>
    <row r="836" spans="9:12">
      <c r="I836" s="5">
        <f>IF(OR(A836="",B836=""),"",B836-WEEKDAY(B836,2)+1)</f>
        <v/>
      </c>
      <c r="J836" s="5">
        <f>IF(I836="","",I836+6)</f>
        <v/>
      </c>
      <c r="K836" s="6">
        <f>IF(OR(A836="",B836=""),"",DATE(YEAR(B836),MONTH(B836),1))</f>
        <v/>
      </c>
      <c r="L836" s="7">
        <f>IF(COUNTA(A836,B836)=0,"",IF(OR(A836="",B836=""),"Preencher CPF e entrada",IF(COUNTIFS($A$12:$A$5011,A836,$B$12:$B$5011,B836)&gt;1,"CPF + dia duplicado",IF(OR(AND(E836&lt;&gt;"",E836&lt;B836),AND(F836&lt;&gt;"",F836&lt;B836)),"Evento anterior à entrada",IF(AND(F836&lt;&gt;"",E836=""),"Conversa sem agendamento",IF(OR(E836&gt;TODAY(),F836&gt;TODAY()),"Verificar evento futuro","OK"))))))</f>
        <v/>
      </c>
    </row>
    <row r="837" spans="9:12">
      <c r="I837" s="5">
        <f>IF(OR(A837="",B837=""),"",B837-WEEKDAY(B837,2)+1)</f>
        <v/>
      </c>
      <c r="J837" s="5">
        <f>IF(I837="","",I837+6)</f>
        <v/>
      </c>
      <c r="K837" s="6">
        <f>IF(OR(A837="",B837=""),"",DATE(YEAR(B837),MONTH(B837),1))</f>
        <v/>
      </c>
      <c r="L837" s="7">
        <f>IF(COUNTA(A837,B837)=0,"",IF(OR(A837="",B837=""),"Preencher CPF e entrada",IF(COUNTIFS($A$12:$A$5011,A837,$B$12:$B$5011,B837)&gt;1,"CPF + dia duplicado",IF(OR(AND(E837&lt;&gt;"",E837&lt;B837),AND(F837&lt;&gt;"",F837&lt;B837)),"Evento anterior à entrada",IF(AND(F837&lt;&gt;"",E837=""),"Conversa sem agendamento",IF(OR(E837&gt;TODAY(),F837&gt;TODAY()),"Verificar evento futuro","OK"))))))</f>
        <v/>
      </c>
    </row>
    <row r="838" spans="9:12">
      <c r="I838" s="5">
        <f>IF(OR(A838="",B838=""),"",B838-WEEKDAY(B838,2)+1)</f>
        <v/>
      </c>
      <c r="J838" s="5">
        <f>IF(I838="","",I838+6)</f>
        <v/>
      </c>
      <c r="K838" s="6">
        <f>IF(OR(A838="",B838=""),"",DATE(YEAR(B838),MONTH(B838),1))</f>
        <v/>
      </c>
      <c r="L838" s="7">
        <f>IF(COUNTA(A838,B838)=0,"",IF(OR(A838="",B838=""),"Preencher CPF e entrada",IF(COUNTIFS($A$12:$A$5011,A838,$B$12:$B$5011,B838)&gt;1,"CPF + dia duplicado",IF(OR(AND(E838&lt;&gt;"",E838&lt;B838),AND(F838&lt;&gt;"",F838&lt;B838)),"Evento anterior à entrada",IF(AND(F838&lt;&gt;"",E838=""),"Conversa sem agendamento",IF(OR(E838&gt;TODAY(),F838&gt;TODAY()),"Verificar evento futuro","OK"))))))</f>
        <v/>
      </c>
    </row>
    <row r="839" spans="9:12">
      <c r="I839" s="5">
        <f>IF(OR(A839="",B839=""),"",B839-WEEKDAY(B839,2)+1)</f>
        <v/>
      </c>
      <c r="J839" s="5">
        <f>IF(I839="","",I839+6)</f>
        <v/>
      </c>
      <c r="K839" s="6">
        <f>IF(OR(A839="",B839=""),"",DATE(YEAR(B839),MONTH(B839),1))</f>
        <v/>
      </c>
      <c r="L839" s="7">
        <f>IF(COUNTA(A839,B839)=0,"",IF(OR(A839="",B839=""),"Preencher CPF e entrada",IF(COUNTIFS($A$12:$A$5011,A839,$B$12:$B$5011,B839)&gt;1,"CPF + dia duplicado",IF(OR(AND(E839&lt;&gt;"",E839&lt;B839),AND(F839&lt;&gt;"",F839&lt;B839)),"Evento anterior à entrada",IF(AND(F839&lt;&gt;"",E839=""),"Conversa sem agendamento",IF(OR(E839&gt;TODAY(),F839&gt;TODAY()),"Verificar evento futuro","OK"))))))</f>
        <v/>
      </c>
    </row>
    <row r="840" spans="9:12">
      <c r="I840" s="5">
        <f>IF(OR(A840="",B840=""),"",B840-WEEKDAY(B840,2)+1)</f>
        <v/>
      </c>
      <c r="J840" s="5">
        <f>IF(I840="","",I840+6)</f>
        <v/>
      </c>
      <c r="K840" s="6">
        <f>IF(OR(A840="",B840=""),"",DATE(YEAR(B840),MONTH(B840),1))</f>
        <v/>
      </c>
      <c r="L840" s="7">
        <f>IF(COUNTA(A840,B840)=0,"",IF(OR(A840="",B840=""),"Preencher CPF e entrada",IF(COUNTIFS($A$12:$A$5011,A840,$B$12:$B$5011,B840)&gt;1,"CPF + dia duplicado",IF(OR(AND(E840&lt;&gt;"",E840&lt;B840),AND(F840&lt;&gt;"",F840&lt;B840)),"Evento anterior à entrada",IF(AND(F840&lt;&gt;"",E840=""),"Conversa sem agendamento",IF(OR(E840&gt;TODAY(),F840&gt;TODAY()),"Verificar evento futuro","OK"))))))</f>
        <v/>
      </c>
    </row>
    <row r="841" spans="9:12">
      <c r="I841" s="5">
        <f>IF(OR(A841="",B841=""),"",B841-WEEKDAY(B841,2)+1)</f>
        <v/>
      </c>
      <c r="J841" s="5">
        <f>IF(I841="","",I841+6)</f>
        <v/>
      </c>
      <c r="K841" s="6">
        <f>IF(OR(A841="",B841=""),"",DATE(YEAR(B841),MONTH(B841),1))</f>
        <v/>
      </c>
      <c r="L841" s="7">
        <f>IF(COUNTA(A841,B841)=0,"",IF(OR(A841="",B841=""),"Preencher CPF e entrada",IF(COUNTIFS($A$12:$A$5011,A841,$B$12:$B$5011,B841)&gt;1,"CPF + dia duplicado",IF(OR(AND(E841&lt;&gt;"",E841&lt;B841),AND(F841&lt;&gt;"",F841&lt;B841)),"Evento anterior à entrada",IF(AND(F841&lt;&gt;"",E841=""),"Conversa sem agendamento",IF(OR(E841&gt;TODAY(),F841&gt;TODAY()),"Verificar evento futuro","OK"))))))</f>
        <v/>
      </c>
    </row>
    <row r="842" spans="9:12">
      <c r="I842" s="5">
        <f>IF(OR(A842="",B842=""),"",B842-WEEKDAY(B842,2)+1)</f>
        <v/>
      </c>
      <c r="J842" s="5">
        <f>IF(I842="","",I842+6)</f>
        <v/>
      </c>
      <c r="K842" s="6">
        <f>IF(OR(A842="",B842=""),"",DATE(YEAR(B842),MONTH(B842),1))</f>
        <v/>
      </c>
      <c r="L842" s="7">
        <f>IF(COUNTA(A842,B842)=0,"",IF(OR(A842="",B842=""),"Preencher CPF e entrada",IF(COUNTIFS($A$12:$A$5011,A842,$B$12:$B$5011,B842)&gt;1,"CPF + dia duplicado",IF(OR(AND(E842&lt;&gt;"",E842&lt;B842),AND(F842&lt;&gt;"",F842&lt;B842)),"Evento anterior à entrada",IF(AND(F842&lt;&gt;"",E842=""),"Conversa sem agendamento",IF(OR(E842&gt;TODAY(),F842&gt;TODAY()),"Verificar evento futuro","OK"))))))</f>
        <v/>
      </c>
    </row>
    <row r="843" spans="9:12">
      <c r="I843" s="5">
        <f>IF(OR(A843="",B843=""),"",B843-WEEKDAY(B843,2)+1)</f>
        <v/>
      </c>
      <c r="J843" s="5">
        <f>IF(I843="","",I843+6)</f>
        <v/>
      </c>
      <c r="K843" s="6">
        <f>IF(OR(A843="",B843=""),"",DATE(YEAR(B843),MONTH(B843),1))</f>
        <v/>
      </c>
      <c r="L843" s="7">
        <f>IF(COUNTA(A843,B843)=0,"",IF(OR(A843="",B843=""),"Preencher CPF e entrada",IF(COUNTIFS($A$12:$A$5011,A843,$B$12:$B$5011,B843)&gt;1,"CPF + dia duplicado",IF(OR(AND(E843&lt;&gt;"",E843&lt;B843),AND(F843&lt;&gt;"",F843&lt;B843)),"Evento anterior à entrada",IF(AND(F843&lt;&gt;"",E843=""),"Conversa sem agendamento",IF(OR(E843&gt;TODAY(),F843&gt;TODAY()),"Verificar evento futuro","OK"))))))</f>
        <v/>
      </c>
    </row>
    <row r="844" spans="9:12">
      <c r="I844" s="5">
        <f>IF(OR(A844="",B844=""),"",B844-WEEKDAY(B844,2)+1)</f>
        <v/>
      </c>
      <c r="J844" s="5">
        <f>IF(I844="","",I844+6)</f>
        <v/>
      </c>
      <c r="K844" s="6">
        <f>IF(OR(A844="",B844=""),"",DATE(YEAR(B844),MONTH(B844),1))</f>
        <v/>
      </c>
      <c r="L844" s="7">
        <f>IF(COUNTA(A844,B844)=0,"",IF(OR(A844="",B844=""),"Preencher CPF e entrada",IF(COUNTIFS($A$12:$A$5011,A844,$B$12:$B$5011,B844)&gt;1,"CPF + dia duplicado",IF(OR(AND(E844&lt;&gt;"",E844&lt;B844),AND(F844&lt;&gt;"",F844&lt;B844)),"Evento anterior à entrada",IF(AND(F844&lt;&gt;"",E844=""),"Conversa sem agendamento",IF(OR(E844&gt;TODAY(),F844&gt;TODAY()),"Verificar evento futuro","OK"))))))</f>
        <v/>
      </c>
    </row>
    <row r="845" spans="9:12">
      <c r="I845" s="5">
        <f>IF(OR(A845="",B845=""),"",B845-WEEKDAY(B845,2)+1)</f>
        <v/>
      </c>
      <c r="J845" s="5">
        <f>IF(I845="","",I845+6)</f>
        <v/>
      </c>
      <c r="K845" s="6">
        <f>IF(OR(A845="",B845=""),"",DATE(YEAR(B845),MONTH(B845),1))</f>
        <v/>
      </c>
      <c r="L845" s="7">
        <f>IF(COUNTA(A845,B845)=0,"",IF(OR(A845="",B845=""),"Preencher CPF e entrada",IF(COUNTIFS($A$12:$A$5011,A845,$B$12:$B$5011,B845)&gt;1,"CPF + dia duplicado",IF(OR(AND(E845&lt;&gt;"",E845&lt;B845),AND(F845&lt;&gt;"",F845&lt;B845)),"Evento anterior à entrada",IF(AND(F845&lt;&gt;"",E845=""),"Conversa sem agendamento",IF(OR(E845&gt;TODAY(),F845&gt;TODAY()),"Verificar evento futuro","OK"))))))</f>
        <v/>
      </c>
    </row>
    <row r="846" spans="9:12">
      <c r="I846" s="5">
        <f>IF(OR(A846="",B846=""),"",B846-WEEKDAY(B846,2)+1)</f>
        <v/>
      </c>
      <c r="J846" s="5">
        <f>IF(I846="","",I846+6)</f>
        <v/>
      </c>
      <c r="K846" s="6">
        <f>IF(OR(A846="",B846=""),"",DATE(YEAR(B846),MONTH(B846),1))</f>
        <v/>
      </c>
      <c r="L846" s="7">
        <f>IF(COUNTA(A846,B846)=0,"",IF(OR(A846="",B846=""),"Preencher CPF e entrada",IF(COUNTIFS($A$12:$A$5011,A846,$B$12:$B$5011,B846)&gt;1,"CPF + dia duplicado",IF(OR(AND(E846&lt;&gt;"",E846&lt;B846),AND(F846&lt;&gt;"",F846&lt;B846)),"Evento anterior à entrada",IF(AND(F846&lt;&gt;"",E846=""),"Conversa sem agendamento",IF(OR(E846&gt;TODAY(),F846&gt;TODAY()),"Verificar evento futuro","OK"))))))</f>
        <v/>
      </c>
    </row>
    <row r="847" spans="9:12">
      <c r="I847" s="5">
        <f>IF(OR(A847="",B847=""),"",B847-WEEKDAY(B847,2)+1)</f>
        <v/>
      </c>
      <c r="J847" s="5">
        <f>IF(I847="","",I847+6)</f>
        <v/>
      </c>
      <c r="K847" s="6">
        <f>IF(OR(A847="",B847=""),"",DATE(YEAR(B847),MONTH(B847),1))</f>
        <v/>
      </c>
      <c r="L847" s="7">
        <f>IF(COUNTA(A847,B847)=0,"",IF(OR(A847="",B847=""),"Preencher CPF e entrada",IF(COUNTIFS($A$12:$A$5011,A847,$B$12:$B$5011,B847)&gt;1,"CPF + dia duplicado",IF(OR(AND(E847&lt;&gt;"",E847&lt;B847),AND(F847&lt;&gt;"",F847&lt;B847)),"Evento anterior à entrada",IF(AND(F847&lt;&gt;"",E847=""),"Conversa sem agendamento",IF(OR(E847&gt;TODAY(),F847&gt;TODAY()),"Verificar evento futuro","OK"))))))</f>
        <v/>
      </c>
    </row>
    <row r="848" spans="9:12">
      <c r="I848" s="5">
        <f>IF(OR(A848="",B848=""),"",B848-WEEKDAY(B848,2)+1)</f>
        <v/>
      </c>
      <c r="J848" s="5">
        <f>IF(I848="","",I848+6)</f>
        <v/>
      </c>
      <c r="K848" s="6">
        <f>IF(OR(A848="",B848=""),"",DATE(YEAR(B848),MONTH(B848),1))</f>
        <v/>
      </c>
      <c r="L848" s="7">
        <f>IF(COUNTA(A848,B848)=0,"",IF(OR(A848="",B848=""),"Preencher CPF e entrada",IF(COUNTIFS($A$12:$A$5011,A848,$B$12:$B$5011,B848)&gt;1,"CPF + dia duplicado",IF(OR(AND(E848&lt;&gt;"",E848&lt;B848),AND(F848&lt;&gt;"",F848&lt;B848)),"Evento anterior à entrada",IF(AND(F848&lt;&gt;"",E848=""),"Conversa sem agendamento",IF(OR(E848&gt;TODAY(),F848&gt;TODAY()),"Verificar evento futuro","OK"))))))</f>
        <v/>
      </c>
    </row>
    <row r="849" spans="9:12">
      <c r="I849" s="5">
        <f>IF(OR(A849="",B849=""),"",B849-WEEKDAY(B849,2)+1)</f>
        <v/>
      </c>
      <c r="J849" s="5">
        <f>IF(I849="","",I849+6)</f>
        <v/>
      </c>
      <c r="K849" s="6">
        <f>IF(OR(A849="",B849=""),"",DATE(YEAR(B849),MONTH(B849),1))</f>
        <v/>
      </c>
      <c r="L849" s="7">
        <f>IF(COUNTA(A849,B849)=0,"",IF(OR(A849="",B849=""),"Preencher CPF e entrada",IF(COUNTIFS($A$12:$A$5011,A849,$B$12:$B$5011,B849)&gt;1,"CPF + dia duplicado",IF(OR(AND(E849&lt;&gt;"",E849&lt;B849),AND(F849&lt;&gt;"",F849&lt;B849)),"Evento anterior à entrada",IF(AND(F849&lt;&gt;"",E849=""),"Conversa sem agendamento",IF(OR(E849&gt;TODAY(),F849&gt;TODAY()),"Verificar evento futuro","OK"))))))</f>
        <v/>
      </c>
    </row>
    <row r="850" spans="9:12">
      <c r="I850" s="5">
        <f>IF(OR(A850="",B850=""),"",B850-WEEKDAY(B850,2)+1)</f>
        <v/>
      </c>
      <c r="J850" s="5">
        <f>IF(I850="","",I850+6)</f>
        <v/>
      </c>
      <c r="K850" s="6">
        <f>IF(OR(A850="",B850=""),"",DATE(YEAR(B850),MONTH(B850),1))</f>
        <v/>
      </c>
      <c r="L850" s="7">
        <f>IF(COUNTA(A850,B850)=0,"",IF(OR(A850="",B850=""),"Preencher CPF e entrada",IF(COUNTIFS($A$12:$A$5011,A850,$B$12:$B$5011,B850)&gt;1,"CPF + dia duplicado",IF(OR(AND(E850&lt;&gt;"",E850&lt;B850),AND(F850&lt;&gt;"",F850&lt;B850)),"Evento anterior à entrada",IF(AND(F850&lt;&gt;"",E850=""),"Conversa sem agendamento",IF(OR(E850&gt;TODAY(),F850&gt;TODAY()),"Verificar evento futuro","OK"))))))</f>
        <v/>
      </c>
    </row>
    <row r="851" spans="9:12">
      <c r="I851" s="5">
        <f>IF(OR(A851="",B851=""),"",B851-WEEKDAY(B851,2)+1)</f>
        <v/>
      </c>
      <c r="J851" s="5">
        <f>IF(I851="","",I851+6)</f>
        <v/>
      </c>
      <c r="K851" s="6">
        <f>IF(OR(A851="",B851=""),"",DATE(YEAR(B851),MONTH(B851),1))</f>
        <v/>
      </c>
      <c r="L851" s="7">
        <f>IF(COUNTA(A851,B851)=0,"",IF(OR(A851="",B851=""),"Preencher CPF e entrada",IF(COUNTIFS($A$12:$A$5011,A851,$B$12:$B$5011,B851)&gt;1,"CPF + dia duplicado",IF(OR(AND(E851&lt;&gt;"",E851&lt;B851),AND(F851&lt;&gt;"",F851&lt;B851)),"Evento anterior à entrada",IF(AND(F851&lt;&gt;"",E851=""),"Conversa sem agendamento",IF(OR(E851&gt;TODAY(),F851&gt;TODAY()),"Verificar evento futuro","OK"))))))</f>
        <v/>
      </c>
    </row>
    <row r="852" spans="9:12">
      <c r="I852" s="5">
        <f>IF(OR(A852="",B852=""),"",B852-WEEKDAY(B852,2)+1)</f>
        <v/>
      </c>
      <c r="J852" s="5">
        <f>IF(I852="","",I852+6)</f>
        <v/>
      </c>
      <c r="K852" s="6">
        <f>IF(OR(A852="",B852=""),"",DATE(YEAR(B852),MONTH(B852),1))</f>
        <v/>
      </c>
      <c r="L852" s="7">
        <f>IF(COUNTA(A852,B852)=0,"",IF(OR(A852="",B852=""),"Preencher CPF e entrada",IF(COUNTIFS($A$12:$A$5011,A852,$B$12:$B$5011,B852)&gt;1,"CPF + dia duplicado",IF(OR(AND(E852&lt;&gt;"",E852&lt;B852),AND(F852&lt;&gt;"",F852&lt;B852)),"Evento anterior à entrada",IF(AND(F852&lt;&gt;"",E852=""),"Conversa sem agendamento",IF(OR(E852&gt;TODAY(),F852&gt;TODAY()),"Verificar evento futuro","OK"))))))</f>
        <v/>
      </c>
    </row>
    <row r="853" spans="9:12">
      <c r="I853" s="5">
        <f>IF(OR(A853="",B853=""),"",B853-WEEKDAY(B853,2)+1)</f>
        <v/>
      </c>
      <c r="J853" s="5">
        <f>IF(I853="","",I853+6)</f>
        <v/>
      </c>
      <c r="K853" s="6">
        <f>IF(OR(A853="",B853=""),"",DATE(YEAR(B853),MONTH(B853),1))</f>
        <v/>
      </c>
      <c r="L853" s="7">
        <f>IF(COUNTA(A853,B853)=0,"",IF(OR(A853="",B853=""),"Preencher CPF e entrada",IF(COUNTIFS($A$12:$A$5011,A853,$B$12:$B$5011,B853)&gt;1,"CPF + dia duplicado",IF(OR(AND(E853&lt;&gt;"",E853&lt;B853),AND(F853&lt;&gt;"",F853&lt;B853)),"Evento anterior à entrada",IF(AND(F853&lt;&gt;"",E853=""),"Conversa sem agendamento",IF(OR(E853&gt;TODAY(),F853&gt;TODAY()),"Verificar evento futuro","OK"))))))</f>
        <v/>
      </c>
    </row>
    <row r="854" spans="9:12">
      <c r="I854" s="5">
        <f>IF(OR(A854="",B854=""),"",B854-WEEKDAY(B854,2)+1)</f>
        <v/>
      </c>
      <c r="J854" s="5">
        <f>IF(I854="","",I854+6)</f>
        <v/>
      </c>
      <c r="K854" s="6">
        <f>IF(OR(A854="",B854=""),"",DATE(YEAR(B854),MONTH(B854),1))</f>
        <v/>
      </c>
      <c r="L854" s="7">
        <f>IF(COUNTA(A854,B854)=0,"",IF(OR(A854="",B854=""),"Preencher CPF e entrada",IF(COUNTIFS($A$12:$A$5011,A854,$B$12:$B$5011,B854)&gt;1,"CPF + dia duplicado",IF(OR(AND(E854&lt;&gt;"",E854&lt;B854),AND(F854&lt;&gt;"",F854&lt;B854)),"Evento anterior à entrada",IF(AND(F854&lt;&gt;"",E854=""),"Conversa sem agendamento",IF(OR(E854&gt;TODAY(),F854&gt;TODAY()),"Verificar evento futuro","OK"))))))</f>
        <v/>
      </c>
    </row>
    <row r="855" spans="9:12">
      <c r="I855" s="5">
        <f>IF(OR(A855="",B855=""),"",B855-WEEKDAY(B855,2)+1)</f>
        <v/>
      </c>
      <c r="J855" s="5">
        <f>IF(I855="","",I855+6)</f>
        <v/>
      </c>
      <c r="K855" s="6">
        <f>IF(OR(A855="",B855=""),"",DATE(YEAR(B855),MONTH(B855),1))</f>
        <v/>
      </c>
      <c r="L855" s="7">
        <f>IF(COUNTA(A855,B855)=0,"",IF(OR(A855="",B855=""),"Preencher CPF e entrada",IF(COUNTIFS($A$12:$A$5011,A855,$B$12:$B$5011,B855)&gt;1,"CPF + dia duplicado",IF(OR(AND(E855&lt;&gt;"",E855&lt;B855),AND(F855&lt;&gt;"",F855&lt;B855)),"Evento anterior à entrada",IF(AND(F855&lt;&gt;"",E855=""),"Conversa sem agendamento",IF(OR(E855&gt;TODAY(),F855&gt;TODAY()),"Verificar evento futuro","OK"))))))</f>
        <v/>
      </c>
    </row>
    <row r="856" spans="9:12">
      <c r="I856" s="5">
        <f>IF(OR(A856="",B856=""),"",B856-WEEKDAY(B856,2)+1)</f>
        <v/>
      </c>
      <c r="J856" s="5">
        <f>IF(I856="","",I856+6)</f>
        <v/>
      </c>
      <c r="K856" s="6">
        <f>IF(OR(A856="",B856=""),"",DATE(YEAR(B856),MONTH(B856),1))</f>
        <v/>
      </c>
      <c r="L856" s="7">
        <f>IF(COUNTA(A856,B856)=0,"",IF(OR(A856="",B856=""),"Preencher CPF e entrada",IF(COUNTIFS($A$12:$A$5011,A856,$B$12:$B$5011,B856)&gt;1,"CPF + dia duplicado",IF(OR(AND(E856&lt;&gt;"",E856&lt;B856),AND(F856&lt;&gt;"",F856&lt;B856)),"Evento anterior à entrada",IF(AND(F856&lt;&gt;"",E856=""),"Conversa sem agendamento",IF(OR(E856&gt;TODAY(),F856&gt;TODAY()),"Verificar evento futuro","OK"))))))</f>
        <v/>
      </c>
    </row>
    <row r="857" spans="9:12">
      <c r="I857" s="5">
        <f>IF(OR(A857="",B857=""),"",B857-WEEKDAY(B857,2)+1)</f>
        <v/>
      </c>
      <c r="J857" s="5">
        <f>IF(I857="","",I857+6)</f>
        <v/>
      </c>
      <c r="K857" s="6">
        <f>IF(OR(A857="",B857=""),"",DATE(YEAR(B857),MONTH(B857),1))</f>
        <v/>
      </c>
      <c r="L857" s="7">
        <f>IF(COUNTA(A857,B857)=0,"",IF(OR(A857="",B857=""),"Preencher CPF e entrada",IF(COUNTIFS($A$12:$A$5011,A857,$B$12:$B$5011,B857)&gt;1,"CPF + dia duplicado",IF(OR(AND(E857&lt;&gt;"",E857&lt;B857),AND(F857&lt;&gt;"",F857&lt;B857)),"Evento anterior à entrada",IF(AND(F857&lt;&gt;"",E857=""),"Conversa sem agendamento",IF(OR(E857&gt;TODAY(),F857&gt;TODAY()),"Verificar evento futuro","OK"))))))</f>
        <v/>
      </c>
    </row>
    <row r="858" spans="9:12">
      <c r="I858" s="5">
        <f>IF(OR(A858="",B858=""),"",B858-WEEKDAY(B858,2)+1)</f>
        <v/>
      </c>
      <c r="J858" s="5">
        <f>IF(I858="","",I858+6)</f>
        <v/>
      </c>
      <c r="K858" s="6">
        <f>IF(OR(A858="",B858=""),"",DATE(YEAR(B858),MONTH(B858),1))</f>
        <v/>
      </c>
      <c r="L858" s="7">
        <f>IF(COUNTA(A858,B858)=0,"",IF(OR(A858="",B858=""),"Preencher CPF e entrada",IF(COUNTIFS($A$12:$A$5011,A858,$B$12:$B$5011,B858)&gt;1,"CPF + dia duplicado",IF(OR(AND(E858&lt;&gt;"",E858&lt;B858),AND(F858&lt;&gt;"",F858&lt;B858)),"Evento anterior à entrada",IF(AND(F858&lt;&gt;"",E858=""),"Conversa sem agendamento",IF(OR(E858&gt;TODAY(),F858&gt;TODAY()),"Verificar evento futuro","OK"))))))</f>
        <v/>
      </c>
    </row>
    <row r="859" spans="9:12">
      <c r="I859" s="5">
        <f>IF(OR(A859="",B859=""),"",B859-WEEKDAY(B859,2)+1)</f>
        <v/>
      </c>
      <c r="J859" s="5">
        <f>IF(I859="","",I859+6)</f>
        <v/>
      </c>
      <c r="K859" s="6">
        <f>IF(OR(A859="",B859=""),"",DATE(YEAR(B859),MONTH(B859),1))</f>
        <v/>
      </c>
      <c r="L859" s="7">
        <f>IF(COUNTA(A859,B859)=0,"",IF(OR(A859="",B859=""),"Preencher CPF e entrada",IF(COUNTIFS($A$12:$A$5011,A859,$B$12:$B$5011,B859)&gt;1,"CPF + dia duplicado",IF(OR(AND(E859&lt;&gt;"",E859&lt;B859),AND(F859&lt;&gt;"",F859&lt;B859)),"Evento anterior à entrada",IF(AND(F859&lt;&gt;"",E859=""),"Conversa sem agendamento",IF(OR(E859&gt;TODAY(),F859&gt;TODAY()),"Verificar evento futuro","OK"))))))</f>
        <v/>
      </c>
    </row>
    <row r="860" spans="9:12">
      <c r="I860" s="5">
        <f>IF(OR(A860="",B860=""),"",B860-WEEKDAY(B860,2)+1)</f>
        <v/>
      </c>
      <c r="J860" s="5">
        <f>IF(I860="","",I860+6)</f>
        <v/>
      </c>
      <c r="K860" s="6">
        <f>IF(OR(A860="",B860=""),"",DATE(YEAR(B860),MONTH(B860),1))</f>
        <v/>
      </c>
      <c r="L860" s="7">
        <f>IF(COUNTA(A860,B860)=0,"",IF(OR(A860="",B860=""),"Preencher CPF e entrada",IF(COUNTIFS($A$12:$A$5011,A860,$B$12:$B$5011,B860)&gt;1,"CPF + dia duplicado",IF(OR(AND(E860&lt;&gt;"",E860&lt;B860),AND(F860&lt;&gt;"",F860&lt;B860)),"Evento anterior à entrada",IF(AND(F860&lt;&gt;"",E860=""),"Conversa sem agendamento",IF(OR(E860&gt;TODAY(),F860&gt;TODAY()),"Verificar evento futuro","OK"))))))</f>
        <v/>
      </c>
    </row>
    <row r="861" spans="9:12">
      <c r="I861" s="5">
        <f>IF(OR(A861="",B861=""),"",B861-WEEKDAY(B861,2)+1)</f>
        <v/>
      </c>
      <c r="J861" s="5">
        <f>IF(I861="","",I861+6)</f>
        <v/>
      </c>
      <c r="K861" s="6">
        <f>IF(OR(A861="",B861=""),"",DATE(YEAR(B861),MONTH(B861),1))</f>
        <v/>
      </c>
      <c r="L861" s="7">
        <f>IF(COUNTA(A861,B861)=0,"",IF(OR(A861="",B861=""),"Preencher CPF e entrada",IF(COUNTIFS($A$12:$A$5011,A861,$B$12:$B$5011,B861)&gt;1,"CPF + dia duplicado",IF(OR(AND(E861&lt;&gt;"",E861&lt;B861),AND(F861&lt;&gt;"",F861&lt;B861)),"Evento anterior à entrada",IF(AND(F861&lt;&gt;"",E861=""),"Conversa sem agendamento",IF(OR(E861&gt;TODAY(),F861&gt;TODAY()),"Verificar evento futuro","OK"))))))</f>
        <v/>
      </c>
    </row>
    <row r="862" spans="9:12">
      <c r="I862" s="5">
        <f>IF(OR(A862="",B862=""),"",B862-WEEKDAY(B862,2)+1)</f>
        <v/>
      </c>
      <c r="J862" s="5">
        <f>IF(I862="","",I862+6)</f>
        <v/>
      </c>
      <c r="K862" s="6">
        <f>IF(OR(A862="",B862=""),"",DATE(YEAR(B862),MONTH(B862),1))</f>
        <v/>
      </c>
      <c r="L862" s="7">
        <f>IF(COUNTA(A862,B862)=0,"",IF(OR(A862="",B862=""),"Preencher CPF e entrada",IF(COUNTIFS($A$12:$A$5011,A862,$B$12:$B$5011,B862)&gt;1,"CPF + dia duplicado",IF(OR(AND(E862&lt;&gt;"",E862&lt;B862),AND(F862&lt;&gt;"",F862&lt;B862)),"Evento anterior à entrada",IF(AND(F862&lt;&gt;"",E862=""),"Conversa sem agendamento",IF(OR(E862&gt;TODAY(),F862&gt;TODAY()),"Verificar evento futuro","OK"))))))</f>
        <v/>
      </c>
    </row>
    <row r="863" spans="9:12">
      <c r="I863" s="5">
        <f>IF(OR(A863="",B863=""),"",B863-WEEKDAY(B863,2)+1)</f>
        <v/>
      </c>
      <c r="J863" s="5">
        <f>IF(I863="","",I863+6)</f>
        <v/>
      </c>
      <c r="K863" s="6">
        <f>IF(OR(A863="",B863=""),"",DATE(YEAR(B863),MONTH(B863),1))</f>
        <v/>
      </c>
      <c r="L863" s="7">
        <f>IF(COUNTA(A863,B863)=0,"",IF(OR(A863="",B863=""),"Preencher CPF e entrada",IF(COUNTIFS($A$12:$A$5011,A863,$B$12:$B$5011,B863)&gt;1,"CPF + dia duplicado",IF(OR(AND(E863&lt;&gt;"",E863&lt;B863),AND(F863&lt;&gt;"",F863&lt;B863)),"Evento anterior à entrada",IF(AND(F863&lt;&gt;"",E863=""),"Conversa sem agendamento",IF(OR(E863&gt;TODAY(),F863&gt;TODAY()),"Verificar evento futuro","OK"))))))</f>
        <v/>
      </c>
    </row>
    <row r="864" spans="9:12">
      <c r="I864" s="5">
        <f>IF(OR(A864="",B864=""),"",B864-WEEKDAY(B864,2)+1)</f>
        <v/>
      </c>
      <c r="J864" s="5">
        <f>IF(I864="","",I864+6)</f>
        <v/>
      </c>
      <c r="K864" s="6">
        <f>IF(OR(A864="",B864=""),"",DATE(YEAR(B864),MONTH(B864),1))</f>
        <v/>
      </c>
      <c r="L864" s="7">
        <f>IF(COUNTA(A864,B864)=0,"",IF(OR(A864="",B864=""),"Preencher CPF e entrada",IF(COUNTIFS($A$12:$A$5011,A864,$B$12:$B$5011,B864)&gt;1,"CPF + dia duplicado",IF(OR(AND(E864&lt;&gt;"",E864&lt;B864),AND(F864&lt;&gt;"",F864&lt;B864)),"Evento anterior à entrada",IF(AND(F864&lt;&gt;"",E864=""),"Conversa sem agendamento",IF(OR(E864&gt;TODAY(),F864&gt;TODAY()),"Verificar evento futuro","OK"))))))</f>
        <v/>
      </c>
    </row>
    <row r="865" spans="9:12">
      <c r="I865" s="5">
        <f>IF(OR(A865="",B865=""),"",B865-WEEKDAY(B865,2)+1)</f>
        <v/>
      </c>
      <c r="J865" s="5">
        <f>IF(I865="","",I865+6)</f>
        <v/>
      </c>
      <c r="K865" s="6">
        <f>IF(OR(A865="",B865=""),"",DATE(YEAR(B865),MONTH(B865),1))</f>
        <v/>
      </c>
      <c r="L865" s="7">
        <f>IF(COUNTA(A865,B865)=0,"",IF(OR(A865="",B865=""),"Preencher CPF e entrada",IF(COUNTIFS($A$12:$A$5011,A865,$B$12:$B$5011,B865)&gt;1,"CPF + dia duplicado",IF(OR(AND(E865&lt;&gt;"",E865&lt;B865),AND(F865&lt;&gt;"",F865&lt;B865)),"Evento anterior à entrada",IF(AND(F865&lt;&gt;"",E865=""),"Conversa sem agendamento",IF(OR(E865&gt;TODAY(),F865&gt;TODAY()),"Verificar evento futuro","OK"))))))</f>
        <v/>
      </c>
    </row>
    <row r="866" spans="9:12">
      <c r="I866" s="5">
        <f>IF(OR(A866="",B866=""),"",B866-WEEKDAY(B866,2)+1)</f>
        <v/>
      </c>
      <c r="J866" s="5">
        <f>IF(I866="","",I866+6)</f>
        <v/>
      </c>
      <c r="K866" s="6">
        <f>IF(OR(A866="",B866=""),"",DATE(YEAR(B866),MONTH(B866),1))</f>
        <v/>
      </c>
      <c r="L866" s="7">
        <f>IF(COUNTA(A866,B866)=0,"",IF(OR(A866="",B866=""),"Preencher CPF e entrada",IF(COUNTIFS($A$12:$A$5011,A866,$B$12:$B$5011,B866)&gt;1,"CPF + dia duplicado",IF(OR(AND(E866&lt;&gt;"",E866&lt;B866),AND(F866&lt;&gt;"",F866&lt;B866)),"Evento anterior à entrada",IF(AND(F866&lt;&gt;"",E866=""),"Conversa sem agendamento",IF(OR(E866&gt;TODAY(),F866&gt;TODAY()),"Verificar evento futuro","OK"))))))</f>
        <v/>
      </c>
    </row>
    <row r="867" spans="9:12">
      <c r="I867" s="5">
        <f>IF(OR(A867="",B867=""),"",B867-WEEKDAY(B867,2)+1)</f>
        <v/>
      </c>
      <c r="J867" s="5">
        <f>IF(I867="","",I867+6)</f>
        <v/>
      </c>
      <c r="K867" s="6">
        <f>IF(OR(A867="",B867=""),"",DATE(YEAR(B867),MONTH(B867),1))</f>
        <v/>
      </c>
      <c r="L867" s="7">
        <f>IF(COUNTA(A867,B867)=0,"",IF(OR(A867="",B867=""),"Preencher CPF e entrada",IF(COUNTIFS($A$12:$A$5011,A867,$B$12:$B$5011,B867)&gt;1,"CPF + dia duplicado",IF(OR(AND(E867&lt;&gt;"",E867&lt;B867),AND(F867&lt;&gt;"",F867&lt;B867)),"Evento anterior à entrada",IF(AND(F867&lt;&gt;"",E867=""),"Conversa sem agendamento",IF(OR(E867&gt;TODAY(),F867&gt;TODAY()),"Verificar evento futuro","OK"))))))</f>
        <v/>
      </c>
    </row>
    <row r="868" spans="9:12">
      <c r="I868" s="5">
        <f>IF(OR(A868="",B868=""),"",B868-WEEKDAY(B868,2)+1)</f>
        <v/>
      </c>
      <c r="J868" s="5">
        <f>IF(I868="","",I868+6)</f>
        <v/>
      </c>
      <c r="K868" s="6">
        <f>IF(OR(A868="",B868=""),"",DATE(YEAR(B868),MONTH(B868),1))</f>
        <v/>
      </c>
      <c r="L868" s="7">
        <f>IF(COUNTA(A868,B868)=0,"",IF(OR(A868="",B868=""),"Preencher CPF e entrada",IF(COUNTIFS($A$12:$A$5011,A868,$B$12:$B$5011,B868)&gt;1,"CPF + dia duplicado",IF(OR(AND(E868&lt;&gt;"",E868&lt;B868),AND(F868&lt;&gt;"",F868&lt;B868)),"Evento anterior à entrada",IF(AND(F868&lt;&gt;"",E868=""),"Conversa sem agendamento",IF(OR(E868&gt;TODAY(),F868&gt;TODAY()),"Verificar evento futuro","OK"))))))</f>
        <v/>
      </c>
    </row>
    <row r="869" spans="9:12">
      <c r="I869" s="5">
        <f>IF(OR(A869="",B869=""),"",B869-WEEKDAY(B869,2)+1)</f>
        <v/>
      </c>
      <c r="J869" s="5">
        <f>IF(I869="","",I869+6)</f>
        <v/>
      </c>
      <c r="K869" s="6">
        <f>IF(OR(A869="",B869=""),"",DATE(YEAR(B869),MONTH(B869),1))</f>
        <v/>
      </c>
      <c r="L869" s="7">
        <f>IF(COUNTA(A869,B869)=0,"",IF(OR(A869="",B869=""),"Preencher CPF e entrada",IF(COUNTIFS($A$12:$A$5011,A869,$B$12:$B$5011,B869)&gt;1,"CPF + dia duplicado",IF(OR(AND(E869&lt;&gt;"",E869&lt;B869),AND(F869&lt;&gt;"",F869&lt;B869)),"Evento anterior à entrada",IF(AND(F869&lt;&gt;"",E869=""),"Conversa sem agendamento",IF(OR(E869&gt;TODAY(),F869&gt;TODAY()),"Verificar evento futuro","OK"))))))</f>
        <v/>
      </c>
    </row>
    <row r="870" spans="9:12">
      <c r="I870" s="5">
        <f>IF(OR(A870="",B870=""),"",B870-WEEKDAY(B870,2)+1)</f>
        <v/>
      </c>
      <c r="J870" s="5">
        <f>IF(I870="","",I870+6)</f>
        <v/>
      </c>
      <c r="K870" s="6">
        <f>IF(OR(A870="",B870=""),"",DATE(YEAR(B870),MONTH(B870),1))</f>
        <v/>
      </c>
      <c r="L870" s="7">
        <f>IF(COUNTA(A870,B870)=0,"",IF(OR(A870="",B870=""),"Preencher CPF e entrada",IF(COUNTIFS($A$12:$A$5011,A870,$B$12:$B$5011,B870)&gt;1,"CPF + dia duplicado",IF(OR(AND(E870&lt;&gt;"",E870&lt;B870),AND(F870&lt;&gt;"",F870&lt;B870)),"Evento anterior à entrada",IF(AND(F870&lt;&gt;"",E870=""),"Conversa sem agendamento",IF(OR(E870&gt;TODAY(),F870&gt;TODAY()),"Verificar evento futuro","OK"))))))</f>
        <v/>
      </c>
    </row>
    <row r="871" spans="9:12">
      <c r="I871" s="5">
        <f>IF(OR(A871="",B871=""),"",B871-WEEKDAY(B871,2)+1)</f>
        <v/>
      </c>
      <c r="J871" s="5">
        <f>IF(I871="","",I871+6)</f>
        <v/>
      </c>
      <c r="K871" s="6">
        <f>IF(OR(A871="",B871=""),"",DATE(YEAR(B871),MONTH(B871),1))</f>
        <v/>
      </c>
      <c r="L871" s="7">
        <f>IF(COUNTA(A871,B871)=0,"",IF(OR(A871="",B871=""),"Preencher CPF e entrada",IF(COUNTIFS($A$12:$A$5011,A871,$B$12:$B$5011,B871)&gt;1,"CPF + dia duplicado",IF(OR(AND(E871&lt;&gt;"",E871&lt;B871),AND(F871&lt;&gt;"",F871&lt;B871)),"Evento anterior à entrada",IF(AND(F871&lt;&gt;"",E871=""),"Conversa sem agendamento",IF(OR(E871&gt;TODAY(),F871&gt;TODAY()),"Verificar evento futuro","OK"))))))</f>
        <v/>
      </c>
    </row>
    <row r="872" spans="9:12">
      <c r="I872" s="5">
        <f>IF(OR(A872="",B872=""),"",B872-WEEKDAY(B872,2)+1)</f>
        <v/>
      </c>
      <c r="J872" s="5">
        <f>IF(I872="","",I872+6)</f>
        <v/>
      </c>
      <c r="K872" s="6">
        <f>IF(OR(A872="",B872=""),"",DATE(YEAR(B872),MONTH(B872),1))</f>
        <v/>
      </c>
      <c r="L872" s="7">
        <f>IF(COUNTA(A872,B872)=0,"",IF(OR(A872="",B872=""),"Preencher CPF e entrada",IF(COUNTIFS($A$12:$A$5011,A872,$B$12:$B$5011,B872)&gt;1,"CPF + dia duplicado",IF(OR(AND(E872&lt;&gt;"",E872&lt;B872),AND(F872&lt;&gt;"",F872&lt;B872)),"Evento anterior à entrada",IF(AND(F872&lt;&gt;"",E872=""),"Conversa sem agendamento",IF(OR(E872&gt;TODAY(),F872&gt;TODAY()),"Verificar evento futuro","OK"))))))</f>
        <v/>
      </c>
    </row>
    <row r="873" spans="9:12">
      <c r="I873" s="5">
        <f>IF(OR(A873="",B873=""),"",B873-WEEKDAY(B873,2)+1)</f>
        <v/>
      </c>
      <c r="J873" s="5">
        <f>IF(I873="","",I873+6)</f>
        <v/>
      </c>
      <c r="K873" s="6">
        <f>IF(OR(A873="",B873=""),"",DATE(YEAR(B873),MONTH(B873),1))</f>
        <v/>
      </c>
      <c r="L873" s="7">
        <f>IF(COUNTA(A873,B873)=0,"",IF(OR(A873="",B873=""),"Preencher CPF e entrada",IF(COUNTIFS($A$12:$A$5011,A873,$B$12:$B$5011,B873)&gt;1,"CPF + dia duplicado",IF(OR(AND(E873&lt;&gt;"",E873&lt;B873),AND(F873&lt;&gt;"",F873&lt;B873)),"Evento anterior à entrada",IF(AND(F873&lt;&gt;"",E873=""),"Conversa sem agendamento",IF(OR(E873&gt;TODAY(),F873&gt;TODAY()),"Verificar evento futuro","OK"))))))</f>
        <v/>
      </c>
    </row>
    <row r="874" spans="9:12">
      <c r="I874" s="5">
        <f>IF(OR(A874="",B874=""),"",B874-WEEKDAY(B874,2)+1)</f>
        <v/>
      </c>
      <c r="J874" s="5">
        <f>IF(I874="","",I874+6)</f>
        <v/>
      </c>
      <c r="K874" s="6">
        <f>IF(OR(A874="",B874=""),"",DATE(YEAR(B874),MONTH(B874),1))</f>
        <v/>
      </c>
      <c r="L874" s="7">
        <f>IF(COUNTA(A874,B874)=0,"",IF(OR(A874="",B874=""),"Preencher CPF e entrada",IF(COUNTIFS($A$12:$A$5011,A874,$B$12:$B$5011,B874)&gt;1,"CPF + dia duplicado",IF(OR(AND(E874&lt;&gt;"",E874&lt;B874),AND(F874&lt;&gt;"",F874&lt;B874)),"Evento anterior à entrada",IF(AND(F874&lt;&gt;"",E874=""),"Conversa sem agendamento",IF(OR(E874&gt;TODAY(),F874&gt;TODAY()),"Verificar evento futuro","OK"))))))</f>
        <v/>
      </c>
    </row>
    <row r="875" spans="9:12">
      <c r="I875" s="5">
        <f>IF(OR(A875="",B875=""),"",B875-WEEKDAY(B875,2)+1)</f>
        <v/>
      </c>
      <c r="J875" s="5">
        <f>IF(I875="","",I875+6)</f>
        <v/>
      </c>
      <c r="K875" s="6">
        <f>IF(OR(A875="",B875=""),"",DATE(YEAR(B875),MONTH(B875),1))</f>
        <v/>
      </c>
      <c r="L875" s="7">
        <f>IF(COUNTA(A875,B875)=0,"",IF(OR(A875="",B875=""),"Preencher CPF e entrada",IF(COUNTIFS($A$12:$A$5011,A875,$B$12:$B$5011,B875)&gt;1,"CPF + dia duplicado",IF(OR(AND(E875&lt;&gt;"",E875&lt;B875),AND(F875&lt;&gt;"",F875&lt;B875)),"Evento anterior à entrada",IF(AND(F875&lt;&gt;"",E875=""),"Conversa sem agendamento",IF(OR(E875&gt;TODAY(),F875&gt;TODAY()),"Verificar evento futuro","OK"))))))</f>
        <v/>
      </c>
    </row>
    <row r="876" spans="9:12">
      <c r="I876" s="5">
        <f>IF(OR(A876="",B876=""),"",B876-WEEKDAY(B876,2)+1)</f>
        <v/>
      </c>
      <c r="J876" s="5">
        <f>IF(I876="","",I876+6)</f>
        <v/>
      </c>
      <c r="K876" s="6">
        <f>IF(OR(A876="",B876=""),"",DATE(YEAR(B876),MONTH(B876),1))</f>
        <v/>
      </c>
      <c r="L876" s="7">
        <f>IF(COUNTA(A876,B876)=0,"",IF(OR(A876="",B876=""),"Preencher CPF e entrada",IF(COUNTIFS($A$12:$A$5011,A876,$B$12:$B$5011,B876)&gt;1,"CPF + dia duplicado",IF(OR(AND(E876&lt;&gt;"",E876&lt;B876),AND(F876&lt;&gt;"",F876&lt;B876)),"Evento anterior à entrada",IF(AND(F876&lt;&gt;"",E876=""),"Conversa sem agendamento",IF(OR(E876&gt;TODAY(),F876&gt;TODAY()),"Verificar evento futuro","OK"))))))</f>
        <v/>
      </c>
    </row>
    <row r="877" spans="9:12">
      <c r="I877" s="5">
        <f>IF(OR(A877="",B877=""),"",B877-WEEKDAY(B877,2)+1)</f>
        <v/>
      </c>
      <c r="J877" s="5">
        <f>IF(I877="","",I877+6)</f>
        <v/>
      </c>
      <c r="K877" s="6">
        <f>IF(OR(A877="",B877=""),"",DATE(YEAR(B877),MONTH(B877),1))</f>
        <v/>
      </c>
      <c r="L877" s="7">
        <f>IF(COUNTA(A877,B877)=0,"",IF(OR(A877="",B877=""),"Preencher CPF e entrada",IF(COUNTIFS($A$12:$A$5011,A877,$B$12:$B$5011,B877)&gt;1,"CPF + dia duplicado",IF(OR(AND(E877&lt;&gt;"",E877&lt;B877),AND(F877&lt;&gt;"",F877&lt;B877)),"Evento anterior à entrada",IF(AND(F877&lt;&gt;"",E877=""),"Conversa sem agendamento",IF(OR(E877&gt;TODAY(),F877&gt;TODAY()),"Verificar evento futuro","OK"))))))</f>
        <v/>
      </c>
    </row>
    <row r="878" spans="9:12">
      <c r="I878" s="5">
        <f>IF(OR(A878="",B878=""),"",B878-WEEKDAY(B878,2)+1)</f>
        <v/>
      </c>
      <c r="J878" s="5">
        <f>IF(I878="","",I878+6)</f>
        <v/>
      </c>
      <c r="K878" s="6">
        <f>IF(OR(A878="",B878=""),"",DATE(YEAR(B878),MONTH(B878),1))</f>
        <v/>
      </c>
      <c r="L878" s="7">
        <f>IF(COUNTA(A878,B878)=0,"",IF(OR(A878="",B878=""),"Preencher CPF e entrada",IF(COUNTIFS($A$12:$A$5011,A878,$B$12:$B$5011,B878)&gt;1,"CPF + dia duplicado",IF(OR(AND(E878&lt;&gt;"",E878&lt;B878),AND(F878&lt;&gt;"",F878&lt;B878)),"Evento anterior à entrada",IF(AND(F878&lt;&gt;"",E878=""),"Conversa sem agendamento",IF(OR(E878&gt;TODAY(),F878&gt;TODAY()),"Verificar evento futuro","OK"))))))</f>
        <v/>
      </c>
    </row>
    <row r="879" spans="9:12">
      <c r="I879" s="5">
        <f>IF(OR(A879="",B879=""),"",B879-WEEKDAY(B879,2)+1)</f>
        <v/>
      </c>
      <c r="J879" s="5">
        <f>IF(I879="","",I879+6)</f>
        <v/>
      </c>
      <c r="K879" s="6">
        <f>IF(OR(A879="",B879=""),"",DATE(YEAR(B879),MONTH(B879),1))</f>
        <v/>
      </c>
      <c r="L879" s="7">
        <f>IF(COUNTA(A879,B879)=0,"",IF(OR(A879="",B879=""),"Preencher CPF e entrada",IF(COUNTIFS($A$12:$A$5011,A879,$B$12:$B$5011,B879)&gt;1,"CPF + dia duplicado",IF(OR(AND(E879&lt;&gt;"",E879&lt;B879),AND(F879&lt;&gt;"",F879&lt;B879)),"Evento anterior à entrada",IF(AND(F879&lt;&gt;"",E879=""),"Conversa sem agendamento",IF(OR(E879&gt;TODAY(),F879&gt;TODAY()),"Verificar evento futuro","OK"))))))</f>
        <v/>
      </c>
    </row>
    <row r="880" spans="9:12">
      <c r="I880" s="5">
        <f>IF(OR(A880="",B880=""),"",B880-WEEKDAY(B880,2)+1)</f>
        <v/>
      </c>
      <c r="J880" s="5">
        <f>IF(I880="","",I880+6)</f>
        <v/>
      </c>
      <c r="K880" s="6">
        <f>IF(OR(A880="",B880=""),"",DATE(YEAR(B880),MONTH(B880),1))</f>
        <v/>
      </c>
      <c r="L880" s="7">
        <f>IF(COUNTA(A880,B880)=0,"",IF(OR(A880="",B880=""),"Preencher CPF e entrada",IF(COUNTIFS($A$12:$A$5011,A880,$B$12:$B$5011,B880)&gt;1,"CPF + dia duplicado",IF(OR(AND(E880&lt;&gt;"",E880&lt;B880),AND(F880&lt;&gt;"",F880&lt;B880)),"Evento anterior à entrada",IF(AND(F880&lt;&gt;"",E880=""),"Conversa sem agendamento",IF(OR(E880&gt;TODAY(),F880&gt;TODAY()),"Verificar evento futuro","OK"))))))</f>
        <v/>
      </c>
    </row>
    <row r="881" spans="9:12">
      <c r="I881" s="5">
        <f>IF(OR(A881="",B881=""),"",B881-WEEKDAY(B881,2)+1)</f>
        <v/>
      </c>
      <c r="J881" s="5">
        <f>IF(I881="","",I881+6)</f>
        <v/>
      </c>
      <c r="K881" s="6">
        <f>IF(OR(A881="",B881=""),"",DATE(YEAR(B881),MONTH(B881),1))</f>
        <v/>
      </c>
      <c r="L881" s="7">
        <f>IF(COUNTA(A881,B881)=0,"",IF(OR(A881="",B881=""),"Preencher CPF e entrada",IF(COUNTIFS($A$12:$A$5011,A881,$B$12:$B$5011,B881)&gt;1,"CPF + dia duplicado",IF(OR(AND(E881&lt;&gt;"",E881&lt;B881),AND(F881&lt;&gt;"",F881&lt;B881)),"Evento anterior à entrada",IF(AND(F881&lt;&gt;"",E881=""),"Conversa sem agendamento",IF(OR(E881&gt;TODAY(),F881&gt;TODAY()),"Verificar evento futuro","OK"))))))</f>
        <v/>
      </c>
    </row>
    <row r="882" spans="9:12">
      <c r="I882" s="5">
        <f>IF(OR(A882="",B882=""),"",B882-WEEKDAY(B882,2)+1)</f>
        <v/>
      </c>
      <c r="J882" s="5">
        <f>IF(I882="","",I882+6)</f>
        <v/>
      </c>
      <c r="K882" s="6">
        <f>IF(OR(A882="",B882=""),"",DATE(YEAR(B882),MONTH(B882),1))</f>
        <v/>
      </c>
      <c r="L882" s="7">
        <f>IF(COUNTA(A882,B882)=0,"",IF(OR(A882="",B882=""),"Preencher CPF e entrada",IF(COUNTIFS($A$12:$A$5011,A882,$B$12:$B$5011,B882)&gt;1,"CPF + dia duplicado",IF(OR(AND(E882&lt;&gt;"",E882&lt;B882),AND(F882&lt;&gt;"",F882&lt;B882)),"Evento anterior à entrada",IF(AND(F882&lt;&gt;"",E882=""),"Conversa sem agendamento",IF(OR(E882&gt;TODAY(),F882&gt;TODAY()),"Verificar evento futuro","OK"))))))</f>
        <v/>
      </c>
    </row>
    <row r="883" spans="9:12">
      <c r="I883" s="5">
        <f>IF(OR(A883="",B883=""),"",B883-WEEKDAY(B883,2)+1)</f>
        <v/>
      </c>
      <c r="J883" s="5">
        <f>IF(I883="","",I883+6)</f>
        <v/>
      </c>
      <c r="K883" s="6">
        <f>IF(OR(A883="",B883=""),"",DATE(YEAR(B883),MONTH(B883),1))</f>
        <v/>
      </c>
      <c r="L883" s="7">
        <f>IF(COUNTA(A883,B883)=0,"",IF(OR(A883="",B883=""),"Preencher CPF e entrada",IF(COUNTIFS($A$12:$A$5011,A883,$B$12:$B$5011,B883)&gt;1,"CPF + dia duplicado",IF(OR(AND(E883&lt;&gt;"",E883&lt;B883),AND(F883&lt;&gt;"",F883&lt;B883)),"Evento anterior à entrada",IF(AND(F883&lt;&gt;"",E883=""),"Conversa sem agendamento",IF(OR(E883&gt;TODAY(),F883&gt;TODAY()),"Verificar evento futuro","OK"))))))</f>
        <v/>
      </c>
    </row>
    <row r="884" spans="9:12">
      <c r="I884" s="5">
        <f>IF(OR(A884="",B884=""),"",B884-WEEKDAY(B884,2)+1)</f>
        <v/>
      </c>
      <c r="J884" s="5">
        <f>IF(I884="","",I884+6)</f>
        <v/>
      </c>
      <c r="K884" s="6">
        <f>IF(OR(A884="",B884=""),"",DATE(YEAR(B884),MONTH(B884),1))</f>
        <v/>
      </c>
      <c r="L884" s="7">
        <f>IF(COUNTA(A884,B884)=0,"",IF(OR(A884="",B884=""),"Preencher CPF e entrada",IF(COUNTIFS($A$12:$A$5011,A884,$B$12:$B$5011,B884)&gt;1,"CPF + dia duplicado",IF(OR(AND(E884&lt;&gt;"",E884&lt;B884),AND(F884&lt;&gt;"",F884&lt;B884)),"Evento anterior à entrada",IF(AND(F884&lt;&gt;"",E884=""),"Conversa sem agendamento",IF(OR(E884&gt;TODAY(),F884&gt;TODAY()),"Verificar evento futuro","OK"))))))</f>
        <v/>
      </c>
    </row>
    <row r="885" spans="9:12">
      <c r="I885" s="5">
        <f>IF(OR(A885="",B885=""),"",B885-WEEKDAY(B885,2)+1)</f>
        <v/>
      </c>
      <c r="J885" s="5">
        <f>IF(I885="","",I885+6)</f>
        <v/>
      </c>
      <c r="K885" s="6">
        <f>IF(OR(A885="",B885=""),"",DATE(YEAR(B885),MONTH(B885),1))</f>
        <v/>
      </c>
      <c r="L885" s="7">
        <f>IF(COUNTA(A885,B885)=0,"",IF(OR(A885="",B885=""),"Preencher CPF e entrada",IF(COUNTIFS($A$12:$A$5011,A885,$B$12:$B$5011,B885)&gt;1,"CPF + dia duplicado",IF(OR(AND(E885&lt;&gt;"",E885&lt;B885),AND(F885&lt;&gt;"",F885&lt;B885)),"Evento anterior à entrada",IF(AND(F885&lt;&gt;"",E885=""),"Conversa sem agendamento",IF(OR(E885&gt;TODAY(),F885&gt;TODAY()),"Verificar evento futuro","OK"))))))</f>
        <v/>
      </c>
    </row>
    <row r="886" spans="9:12">
      <c r="I886" s="5">
        <f>IF(OR(A886="",B886=""),"",B886-WEEKDAY(B886,2)+1)</f>
        <v/>
      </c>
      <c r="J886" s="5">
        <f>IF(I886="","",I886+6)</f>
        <v/>
      </c>
      <c r="K886" s="6">
        <f>IF(OR(A886="",B886=""),"",DATE(YEAR(B886),MONTH(B886),1))</f>
        <v/>
      </c>
      <c r="L886" s="7">
        <f>IF(COUNTA(A886,B886)=0,"",IF(OR(A886="",B886=""),"Preencher CPF e entrada",IF(COUNTIFS($A$12:$A$5011,A886,$B$12:$B$5011,B886)&gt;1,"CPF + dia duplicado",IF(OR(AND(E886&lt;&gt;"",E886&lt;B886),AND(F886&lt;&gt;"",F886&lt;B886)),"Evento anterior à entrada",IF(AND(F886&lt;&gt;"",E886=""),"Conversa sem agendamento",IF(OR(E886&gt;TODAY(),F886&gt;TODAY()),"Verificar evento futuro","OK"))))))</f>
        <v/>
      </c>
    </row>
    <row r="887" spans="9:12">
      <c r="I887" s="5">
        <f>IF(OR(A887="",B887=""),"",B887-WEEKDAY(B887,2)+1)</f>
        <v/>
      </c>
      <c r="J887" s="5">
        <f>IF(I887="","",I887+6)</f>
        <v/>
      </c>
      <c r="K887" s="6">
        <f>IF(OR(A887="",B887=""),"",DATE(YEAR(B887),MONTH(B887),1))</f>
        <v/>
      </c>
      <c r="L887" s="7">
        <f>IF(COUNTA(A887,B887)=0,"",IF(OR(A887="",B887=""),"Preencher CPF e entrada",IF(COUNTIFS($A$12:$A$5011,A887,$B$12:$B$5011,B887)&gt;1,"CPF + dia duplicado",IF(OR(AND(E887&lt;&gt;"",E887&lt;B887),AND(F887&lt;&gt;"",F887&lt;B887)),"Evento anterior à entrada",IF(AND(F887&lt;&gt;"",E887=""),"Conversa sem agendamento",IF(OR(E887&gt;TODAY(),F887&gt;TODAY()),"Verificar evento futuro","OK"))))))</f>
        <v/>
      </c>
    </row>
    <row r="888" spans="9:12">
      <c r="I888" s="5">
        <f>IF(OR(A888="",B888=""),"",B888-WEEKDAY(B888,2)+1)</f>
        <v/>
      </c>
      <c r="J888" s="5">
        <f>IF(I888="","",I888+6)</f>
        <v/>
      </c>
      <c r="K888" s="6">
        <f>IF(OR(A888="",B888=""),"",DATE(YEAR(B888),MONTH(B888),1))</f>
        <v/>
      </c>
      <c r="L888" s="7">
        <f>IF(COUNTA(A888,B888)=0,"",IF(OR(A888="",B888=""),"Preencher CPF e entrada",IF(COUNTIFS($A$12:$A$5011,A888,$B$12:$B$5011,B888)&gt;1,"CPF + dia duplicado",IF(OR(AND(E888&lt;&gt;"",E888&lt;B888),AND(F888&lt;&gt;"",F888&lt;B888)),"Evento anterior à entrada",IF(AND(F888&lt;&gt;"",E888=""),"Conversa sem agendamento",IF(OR(E888&gt;TODAY(),F888&gt;TODAY()),"Verificar evento futuro","OK"))))))</f>
        <v/>
      </c>
    </row>
    <row r="889" spans="9:12">
      <c r="I889" s="5">
        <f>IF(OR(A889="",B889=""),"",B889-WEEKDAY(B889,2)+1)</f>
        <v/>
      </c>
      <c r="J889" s="5">
        <f>IF(I889="","",I889+6)</f>
        <v/>
      </c>
      <c r="K889" s="6">
        <f>IF(OR(A889="",B889=""),"",DATE(YEAR(B889),MONTH(B889),1))</f>
        <v/>
      </c>
      <c r="L889" s="7">
        <f>IF(COUNTA(A889,B889)=0,"",IF(OR(A889="",B889=""),"Preencher CPF e entrada",IF(COUNTIFS($A$12:$A$5011,A889,$B$12:$B$5011,B889)&gt;1,"CPF + dia duplicado",IF(OR(AND(E889&lt;&gt;"",E889&lt;B889),AND(F889&lt;&gt;"",F889&lt;B889)),"Evento anterior à entrada",IF(AND(F889&lt;&gt;"",E889=""),"Conversa sem agendamento",IF(OR(E889&gt;TODAY(),F889&gt;TODAY()),"Verificar evento futuro","OK"))))))</f>
        <v/>
      </c>
    </row>
    <row r="890" spans="9:12">
      <c r="I890" s="5">
        <f>IF(OR(A890="",B890=""),"",B890-WEEKDAY(B890,2)+1)</f>
        <v/>
      </c>
      <c r="J890" s="5">
        <f>IF(I890="","",I890+6)</f>
        <v/>
      </c>
      <c r="K890" s="6">
        <f>IF(OR(A890="",B890=""),"",DATE(YEAR(B890),MONTH(B890),1))</f>
        <v/>
      </c>
      <c r="L890" s="7">
        <f>IF(COUNTA(A890,B890)=0,"",IF(OR(A890="",B890=""),"Preencher CPF e entrada",IF(COUNTIFS($A$12:$A$5011,A890,$B$12:$B$5011,B890)&gt;1,"CPF + dia duplicado",IF(OR(AND(E890&lt;&gt;"",E890&lt;B890),AND(F890&lt;&gt;"",F890&lt;B890)),"Evento anterior à entrada",IF(AND(F890&lt;&gt;"",E890=""),"Conversa sem agendamento",IF(OR(E890&gt;TODAY(),F890&gt;TODAY()),"Verificar evento futuro","OK"))))))</f>
        <v/>
      </c>
    </row>
    <row r="891" spans="9:12">
      <c r="I891" s="5">
        <f>IF(OR(A891="",B891=""),"",B891-WEEKDAY(B891,2)+1)</f>
        <v/>
      </c>
      <c r="J891" s="5">
        <f>IF(I891="","",I891+6)</f>
        <v/>
      </c>
      <c r="K891" s="6">
        <f>IF(OR(A891="",B891=""),"",DATE(YEAR(B891),MONTH(B891),1))</f>
        <v/>
      </c>
      <c r="L891" s="7">
        <f>IF(COUNTA(A891,B891)=0,"",IF(OR(A891="",B891=""),"Preencher CPF e entrada",IF(COUNTIFS($A$12:$A$5011,A891,$B$12:$B$5011,B891)&gt;1,"CPF + dia duplicado",IF(OR(AND(E891&lt;&gt;"",E891&lt;B891),AND(F891&lt;&gt;"",F891&lt;B891)),"Evento anterior à entrada",IF(AND(F891&lt;&gt;"",E891=""),"Conversa sem agendamento",IF(OR(E891&gt;TODAY(),F891&gt;TODAY()),"Verificar evento futuro","OK"))))))</f>
        <v/>
      </c>
    </row>
    <row r="892" spans="9:12">
      <c r="I892" s="5">
        <f>IF(OR(A892="",B892=""),"",B892-WEEKDAY(B892,2)+1)</f>
        <v/>
      </c>
      <c r="J892" s="5">
        <f>IF(I892="","",I892+6)</f>
        <v/>
      </c>
      <c r="K892" s="6">
        <f>IF(OR(A892="",B892=""),"",DATE(YEAR(B892),MONTH(B892),1))</f>
        <v/>
      </c>
      <c r="L892" s="7">
        <f>IF(COUNTA(A892,B892)=0,"",IF(OR(A892="",B892=""),"Preencher CPF e entrada",IF(COUNTIFS($A$12:$A$5011,A892,$B$12:$B$5011,B892)&gt;1,"CPF + dia duplicado",IF(OR(AND(E892&lt;&gt;"",E892&lt;B892),AND(F892&lt;&gt;"",F892&lt;B892)),"Evento anterior à entrada",IF(AND(F892&lt;&gt;"",E892=""),"Conversa sem agendamento",IF(OR(E892&gt;TODAY(),F892&gt;TODAY()),"Verificar evento futuro","OK"))))))</f>
        <v/>
      </c>
    </row>
    <row r="893" spans="9:12">
      <c r="I893" s="5">
        <f>IF(OR(A893="",B893=""),"",B893-WEEKDAY(B893,2)+1)</f>
        <v/>
      </c>
      <c r="J893" s="5">
        <f>IF(I893="","",I893+6)</f>
        <v/>
      </c>
      <c r="K893" s="6">
        <f>IF(OR(A893="",B893=""),"",DATE(YEAR(B893),MONTH(B893),1))</f>
        <v/>
      </c>
      <c r="L893" s="7">
        <f>IF(COUNTA(A893,B893)=0,"",IF(OR(A893="",B893=""),"Preencher CPF e entrada",IF(COUNTIFS($A$12:$A$5011,A893,$B$12:$B$5011,B893)&gt;1,"CPF + dia duplicado",IF(OR(AND(E893&lt;&gt;"",E893&lt;B893),AND(F893&lt;&gt;"",F893&lt;B893)),"Evento anterior à entrada",IF(AND(F893&lt;&gt;"",E893=""),"Conversa sem agendamento",IF(OR(E893&gt;TODAY(),F893&gt;TODAY()),"Verificar evento futuro","OK"))))))</f>
        <v/>
      </c>
    </row>
    <row r="894" spans="9:12">
      <c r="I894" s="5">
        <f>IF(OR(A894="",B894=""),"",B894-WEEKDAY(B894,2)+1)</f>
        <v/>
      </c>
      <c r="J894" s="5">
        <f>IF(I894="","",I894+6)</f>
        <v/>
      </c>
      <c r="K894" s="6">
        <f>IF(OR(A894="",B894=""),"",DATE(YEAR(B894),MONTH(B894),1))</f>
        <v/>
      </c>
      <c r="L894" s="7">
        <f>IF(COUNTA(A894,B894)=0,"",IF(OR(A894="",B894=""),"Preencher CPF e entrada",IF(COUNTIFS($A$12:$A$5011,A894,$B$12:$B$5011,B894)&gt;1,"CPF + dia duplicado",IF(OR(AND(E894&lt;&gt;"",E894&lt;B894),AND(F894&lt;&gt;"",F894&lt;B894)),"Evento anterior à entrada",IF(AND(F894&lt;&gt;"",E894=""),"Conversa sem agendamento",IF(OR(E894&gt;TODAY(),F894&gt;TODAY()),"Verificar evento futuro","OK"))))))</f>
        <v/>
      </c>
    </row>
    <row r="895" spans="9:12">
      <c r="I895" s="5">
        <f>IF(OR(A895="",B895=""),"",B895-WEEKDAY(B895,2)+1)</f>
        <v/>
      </c>
      <c r="J895" s="5">
        <f>IF(I895="","",I895+6)</f>
        <v/>
      </c>
      <c r="K895" s="6">
        <f>IF(OR(A895="",B895=""),"",DATE(YEAR(B895),MONTH(B895),1))</f>
        <v/>
      </c>
      <c r="L895" s="7">
        <f>IF(COUNTA(A895,B895)=0,"",IF(OR(A895="",B895=""),"Preencher CPF e entrada",IF(COUNTIFS($A$12:$A$5011,A895,$B$12:$B$5011,B895)&gt;1,"CPF + dia duplicado",IF(OR(AND(E895&lt;&gt;"",E895&lt;B895),AND(F895&lt;&gt;"",F895&lt;B895)),"Evento anterior à entrada",IF(AND(F895&lt;&gt;"",E895=""),"Conversa sem agendamento",IF(OR(E895&gt;TODAY(),F895&gt;TODAY()),"Verificar evento futuro","OK"))))))</f>
        <v/>
      </c>
    </row>
    <row r="896" spans="9:12">
      <c r="I896" s="5">
        <f>IF(OR(A896="",B896=""),"",B896-WEEKDAY(B896,2)+1)</f>
        <v/>
      </c>
      <c r="J896" s="5">
        <f>IF(I896="","",I896+6)</f>
        <v/>
      </c>
      <c r="K896" s="6">
        <f>IF(OR(A896="",B896=""),"",DATE(YEAR(B896),MONTH(B896),1))</f>
        <v/>
      </c>
      <c r="L896" s="7">
        <f>IF(COUNTA(A896,B896)=0,"",IF(OR(A896="",B896=""),"Preencher CPF e entrada",IF(COUNTIFS($A$12:$A$5011,A896,$B$12:$B$5011,B896)&gt;1,"CPF + dia duplicado",IF(OR(AND(E896&lt;&gt;"",E896&lt;B896),AND(F896&lt;&gt;"",F896&lt;B896)),"Evento anterior à entrada",IF(AND(F896&lt;&gt;"",E896=""),"Conversa sem agendamento",IF(OR(E896&gt;TODAY(),F896&gt;TODAY()),"Verificar evento futuro","OK"))))))</f>
        <v/>
      </c>
    </row>
    <row r="897" spans="9:12">
      <c r="I897" s="5">
        <f>IF(OR(A897="",B897=""),"",B897-WEEKDAY(B897,2)+1)</f>
        <v/>
      </c>
      <c r="J897" s="5">
        <f>IF(I897="","",I897+6)</f>
        <v/>
      </c>
      <c r="K897" s="6">
        <f>IF(OR(A897="",B897=""),"",DATE(YEAR(B897),MONTH(B897),1))</f>
        <v/>
      </c>
      <c r="L897" s="7">
        <f>IF(COUNTA(A897,B897)=0,"",IF(OR(A897="",B897=""),"Preencher CPF e entrada",IF(COUNTIFS($A$12:$A$5011,A897,$B$12:$B$5011,B897)&gt;1,"CPF + dia duplicado",IF(OR(AND(E897&lt;&gt;"",E897&lt;B897),AND(F897&lt;&gt;"",F897&lt;B897)),"Evento anterior à entrada",IF(AND(F897&lt;&gt;"",E897=""),"Conversa sem agendamento",IF(OR(E897&gt;TODAY(),F897&gt;TODAY()),"Verificar evento futuro","OK"))))))</f>
        <v/>
      </c>
    </row>
    <row r="898" spans="9:12">
      <c r="I898" s="5">
        <f>IF(OR(A898="",B898=""),"",B898-WEEKDAY(B898,2)+1)</f>
        <v/>
      </c>
      <c r="J898" s="5">
        <f>IF(I898="","",I898+6)</f>
        <v/>
      </c>
      <c r="K898" s="6">
        <f>IF(OR(A898="",B898=""),"",DATE(YEAR(B898),MONTH(B898),1))</f>
        <v/>
      </c>
      <c r="L898" s="7">
        <f>IF(COUNTA(A898,B898)=0,"",IF(OR(A898="",B898=""),"Preencher CPF e entrada",IF(COUNTIFS($A$12:$A$5011,A898,$B$12:$B$5011,B898)&gt;1,"CPF + dia duplicado",IF(OR(AND(E898&lt;&gt;"",E898&lt;B898),AND(F898&lt;&gt;"",F898&lt;B898)),"Evento anterior à entrada",IF(AND(F898&lt;&gt;"",E898=""),"Conversa sem agendamento",IF(OR(E898&gt;TODAY(),F898&gt;TODAY()),"Verificar evento futuro","OK"))))))</f>
        <v/>
      </c>
    </row>
    <row r="899" spans="9:12">
      <c r="I899" s="5">
        <f>IF(OR(A899="",B899=""),"",B899-WEEKDAY(B899,2)+1)</f>
        <v/>
      </c>
      <c r="J899" s="5">
        <f>IF(I899="","",I899+6)</f>
        <v/>
      </c>
      <c r="K899" s="6">
        <f>IF(OR(A899="",B899=""),"",DATE(YEAR(B899),MONTH(B899),1))</f>
        <v/>
      </c>
      <c r="L899" s="7">
        <f>IF(COUNTA(A899,B899)=0,"",IF(OR(A899="",B899=""),"Preencher CPF e entrada",IF(COUNTIFS($A$12:$A$5011,A899,$B$12:$B$5011,B899)&gt;1,"CPF + dia duplicado",IF(OR(AND(E899&lt;&gt;"",E899&lt;B899),AND(F899&lt;&gt;"",F899&lt;B899)),"Evento anterior à entrada",IF(AND(F899&lt;&gt;"",E899=""),"Conversa sem agendamento",IF(OR(E899&gt;TODAY(),F899&gt;TODAY()),"Verificar evento futuro","OK"))))))</f>
        <v/>
      </c>
    </row>
    <row r="900" spans="9:12">
      <c r="I900" s="5">
        <f>IF(OR(A900="",B900=""),"",B900-WEEKDAY(B900,2)+1)</f>
        <v/>
      </c>
      <c r="J900" s="5">
        <f>IF(I900="","",I900+6)</f>
        <v/>
      </c>
      <c r="K900" s="6">
        <f>IF(OR(A900="",B900=""),"",DATE(YEAR(B900),MONTH(B900),1))</f>
        <v/>
      </c>
      <c r="L900" s="7">
        <f>IF(COUNTA(A900,B900)=0,"",IF(OR(A900="",B900=""),"Preencher CPF e entrada",IF(COUNTIFS($A$12:$A$5011,A900,$B$12:$B$5011,B900)&gt;1,"CPF + dia duplicado",IF(OR(AND(E900&lt;&gt;"",E900&lt;B900),AND(F900&lt;&gt;"",F900&lt;B900)),"Evento anterior à entrada",IF(AND(F900&lt;&gt;"",E900=""),"Conversa sem agendamento",IF(OR(E900&gt;TODAY(),F900&gt;TODAY()),"Verificar evento futuro","OK"))))))</f>
        <v/>
      </c>
    </row>
    <row r="901" spans="9:12">
      <c r="I901" s="5">
        <f>IF(OR(A901="",B901=""),"",B901-WEEKDAY(B901,2)+1)</f>
        <v/>
      </c>
      <c r="J901" s="5">
        <f>IF(I901="","",I901+6)</f>
        <v/>
      </c>
      <c r="K901" s="6">
        <f>IF(OR(A901="",B901=""),"",DATE(YEAR(B901),MONTH(B901),1))</f>
        <v/>
      </c>
      <c r="L901" s="7">
        <f>IF(COUNTA(A901,B901)=0,"",IF(OR(A901="",B901=""),"Preencher CPF e entrada",IF(COUNTIFS($A$12:$A$5011,A901,$B$12:$B$5011,B901)&gt;1,"CPF + dia duplicado",IF(OR(AND(E901&lt;&gt;"",E901&lt;B901),AND(F901&lt;&gt;"",F901&lt;B901)),"Evento anterior à entrada",IF(AND(F901&lt;&gt;"",E901=""),"Conversa sem agendamento",IF(OR(E901&gt;TODAY(),F901&gt;TODAY()),"Verificar evento futuro","OK"))))))</f>
        <v/>
      </c>
    </row>
    <row r="902" spans="9:12">
      <c r="I902" s="5">
        <f>IF(OR(A902="",B902=""),"",B902-WEEKDAY(B902,2)+1)</f>
        <v/>
      </c>
      <c r="J902" s="5">
        <f>IF(I902="","",I902+6)</f>
        <v/>
      </c>
      <c r="K902" s="6">
        <f>IF(OR(A902="",B902=""),"",DATE(YEAR(B902),MONTH(B902),1))</f>
        <v/>
      </c>
      <c r="L902" s="7">
        <f>IF(COUNTA(A902,B902)=0,"",IF(OR(A902="",B902=""),"Preencher CPF e entrada",IF(COUNTIFS($A$12:$A$5011,A902,$B$12:$B$5011,B902)&gt;1,"CPF + dia duplicado",IF(OR(AND(E902&lt;&gt;"",E902&lt;B902),AND(F902&lt;&gt;"",F902&lt;B902)),"Evento anterior à entrada",IF(AND(F902&lt;&gt;"",E902=""),"Conversa sem agendamento",IF(OR(E902&gt;TODAY(),F902&gt;TODAY()),"Verificar evento futuro","OK"))))))</f>
        <v/>
      </c>
    </row>
    <row r="903" spans="9:12">
      <c r="I903" s="5">
        <f>IF(OR(A903="",B903=""),"",B903-WEEKDAY(B903,2)+1)</f>
        <v/>
      </c>
      <c r="J903" s="5">
        <f>IF(I903="","",I903+6)</f>
        <v/>
      </c>
      <c r="K903" s="6">
        <f>IF(OR(A903="",B903=""),"",DATE(YEAR(B903),MONTH(B903),1))</f>
        <v/>
      </c>
      <c r="L903" s="7">
        <f>IF(COUNTA(A903,B903)=0,"",IF(OR(A903="",B903=""),"Preencher CPF e entrada",IF(COUNTIFS($A$12:$A$5011,A903,$B$12:$B$5011,B903)&gt;1,"CPF + dia duplicado",IF(OR(AND(E903&lt;&gt;"",E903&lt;B903),AND(F903&lt;&gt;"",F903&lt;B903)),"Evento anterior à entrada",IF(AND(F903&lt;&gt;"",E903=""),"Conversa sem agendamento",IF(OR(E903&gt;TODAY(),F903&gt;TODAY()),"Verificar evento futuro","OK"))))))</f>
        <v/>
      </c>
    </row>
    <row r="904" spans="9:12">
      <c r="I904" s="5">
        <f>IF(OR(A904="",B904=""),"",B904-WEEKDAY(B904,2)+1)</f>
        <v/>
      </c>
      <c r="J904" s="5">
        <f>IF(I904="","",I904+6)</f>
        <v/>
      </c>
      <c r="K904" s="6">
        <f>IF(OR(A904="",B904=""),"",DATE(YEAR(B904),MONTH(B904),1))</f>
        <v/>
      </c>
      <c r="L904" s="7">
        <f>IF(COUNTA(A904,B904)=0,"",IF(OR(A904="",B904=""),"Preencher CPF e entrada",IF(COUNTIFS($A$12:$A$5011,A904,$B$12:$B$5011,B904)&gt;1,"CPF + dia duplicado",IF(OR(AND(E904&lt;&gt;"",E904&lt;B904),AND(F904&lt;&gt;"",F904&lt;B904)),"Evento anterior à entrada",IF(AND(F904&lt;&gt;"",E904=""),"Conversa sem agendamento",IF(OR(E904&gt;TODAY(),F904&gt;TODAY()),"Verificar evento futuro","OK"))))))</f>
        <v/>
      </c>
    </row>
    <row r="905" spans="9:12">
      <c r="I905" s="5">
        <f>IF(OR(A905="",B905=""),"",B905-WEEKDAY(B905,2)+1)</f>
        <v/>
      </c>
      <c r="J905" s="5">
        <f>IF(I905="","",I905+6)</f>
        <v/>
      </c>
      <c r="K905" s="6">
        <f>IF(OR(A905="",B905=""),"",DATE(YEAR(B905),MONTH(B905),1))</f>
        <v/>
      </c>
      <c r="L905" s="7">
        <f>IF(COUNTA(A905,B905)=0,"",IF(OR(A905="",B905=""),"Preencher CPF e entrada",IF(COUNTIFS($A$12:$A$5011,A905,$B$12:$B$5011,B905)&gt;1,"CPF + dia duplicado",IF(OR(AND(E905&lt;&gt;"",E905&lt;B905),AND(F905&lt;&gt;"",F905&lt;B905)),"Evento anterior à entrada",IF(AND(F905&lt;&gt;"",E905=""),"Conversa sem agendamento",IF(OR(E905&gt;TODAY(),F905&gt;TODAY()),"Verificar evento futuro","OK"))))))</f>
        <v/>
      </c>
    </row>
    <row r="906" spans="9:12">
      <c r="I906" s="5">
        <f>IF(OR(A906="",B906=""),"",B906-WEEKDAY(B906,2)+1)</f>
        <v/>
      </c>
      <c r="J906" s="5">
        <f>IF(I906="","",I906+6)</f>
        <v/>
      </c>
      <c r="K906" s="6">
        <f>IF(OR(A906="",B906=""),"",DATE(YEAR(B906),MONTH(B906),1))</f>
        <v/>
      </c>
      <c r="L906" s="7">
        <f>IF(COUNTA(A906,B906)=0,"",IF(OR(A906="",B906=""),"Preencher CPF e entrada",IF(COUNTIFS($A$12:$A$5011,A906,$B$12:$B$5011,B906)&gt;1,"CPF + dia duplicado",IF(OR(AND(E906&lt;&gt;"",E906&lt;B906),AND(F906&lt;&gt;"",F906&lt;B906)),"Evento anterior à entrada",IF(AND(F906&lt;&gt;"",E906=""),"Conversa sem agendamento",IF(OR(E906&gt;TODAY(),F906&gt;TODAY()),"Verificar evento futuro","OK"))))))</f>
        <v/>
      </c>
    </row>
    <row r="907" spans="9:12">
      <c r="I907" s="5">
        <f>IF(OR(A907="",B907=""),"",B907-WEEKDAY(B907,2)+1)</f>
        <v/>
      </c>
      <c r="J907" s="5">
        <f>IF(I907="","",I907+6)</f>
        <v/>
      </c>
      <c r="K907" s="6">
        <f>IF(OR(A907="",B907=""),"",DATE(YEAR(B907),MONTH(B907),1))</f>
        <v/>
      </c>
      <c r="L907" s="7">
        <f>IF(COUNTA(A907,B907)=0,"",IF(OR(A907="",B907=""),"Preencher CPF e entrada",IF(COUNTIFS($A$12:$A$5011,A907,$B$12:$B$5011,B907)&gt;1,"CPF + dia duplicado",IF(OR(AND(E907&lt;&gt;"",E907&lt;B907),AND(F907&lt;&gt;"",F907&lt;B907)),"Evento anterior à entrada",IF(AND(F907&lt;&gt;"",E907=""),"Conversa sem agendamento",IF(OR(E907&gt;TODAY(),F907&gt;TODAY()),"Verificar evento futuro","OK"))))))</f>
        <v/>
      </c>
    </row>
    <row r="908" spans="9:12">
      <c r="I908" s="5">
        <f>IF(OR(A908="",B908=""),"",B908-WEEKDAY(B908,2)+1)</f>
        <v/>
      </c>
      <c r="J908" s="5">
        <f>IF(I908="","",I908+6)</f>
        <v/>
      </c>
      <c r="K908" s="6">
        <f>IF(OR(A908="",B908=""),"",DATE(YEAR(B908),MONTH(B908),1))</f>
        <v/>
      </c>
      <c r="L908" s="7">
        <f>IF(COUNTA(A908,B908)=0,"",IF(OR(A908="",B908=""),"Preencher CPF e entrada",IF(COUNTIFS($A$12:$A$5011,A908,$B$12:$B$5011,B908)&gt;1,"CPF + dia duplicado",IF(OR(AND(E908&lt;&gt;"",E908&lt;B908),AND(F908&lt;&gt;"",F908&lt;B908)),"Evento anterior à entrada",IF(AND(F908&lt;&gt;"",E908=""),"Conversa sem agendamento",IF(OR(E908&gt;TODAY(),F908&gt;TODAY()),"Verificar evento futuro","OK"))))))</f>
        <v/>
      </c>
    </row>
    <row r="909" spans="9:12">
      <c r="I909" s="5">
        <f>IF(OR(A909="",B909=""),"",B909-WEEKDAY(B909,2)+1)</f>
        <v/>
      </c>
      <c r="J909" s="5">
        <f>IF(I909="","",I909+6)</f>
        <v/>
      </c>
      <c r="K909" s="6">
        <f>IF(OR(A909="",B909=""),"",DATE(YEAR(B909),MONTH(B909),1))</f>
        <v/>
      </c>
      <c r="L909" s="7">
        <f>IF(COUNTA(A909,B909)=0,"",IF(OR(A909="",B909=""),"Preencher CPF e entrada",IF(COUNTIFS($A$12:$A$5011,A909,$B$12:$B$5011,B909)&gt;1,"CPF + dia duplicado",IF(OR(AND(E909&lt;&gt;"",E909&lt;B909),AND(F909&lt;&gt;"",F909&lt;B909)),"Evento anterior à entrada",IF(AND(F909&lt;&gt;"",E909=""),"Conversa sem agendamento",IF(OR(E909&gt;TODAY(),F909&gt;TODAY()),"Verificar evento futuro","OK"))))))</f>
        <v/>
      </c>
    </row>
    <row r="910" spans="9:12">
      <c r="I910" s="5">
        <f>IF(OR(A910="",B910=""),"",B910-WEEKDAY(B910,2)+1)</f>
        <v/>
      </c>
      <c r="J910" s="5">
        <f>IF(I910="","",I910+6)</f>
        <v/>
      </c>
      <c r="K910" s="6">
        <f>IF(OR(A910="",B910=""),"",DATE(YEAR(B910),MONTH(B910),1))</f>
        <v/>
      </c>
      <c r="L910" s="7">
        <f>IF(COUNTA(A910,B910)=0,"",IF(OR(A910="",B910=""),"Preencher CPF e entrada",IF(COUNTIFS($A$12:$A$5011,A910,$B$12:$B$5011,B910)&gt;1,"CPF + dia duplicado",IF(OR(AND(E910&lt;&gt;"",E910&lt;B910),AND(F910&lt;&gt;"",F910&lt;B910)),"Evento anterior à entrada",IF(AND(F910&lt;&gt;"",E910=""),"Conversa sem agendamento",IF(OR(E910&gt;TODAY(),F910&gt;TODAY()),"Verificar evento futuro","OK"))))))</f>
        <v/>
      </c>
    </row>
    <row r="911" spans="9:12">
      <c r="I911" s="5">
        <f>IF(OR(A911="",B911=""),"",B911-WEEKDAY(B911,2)+1)</f>
        <v/>
      </c>
      <c r="J911" s="5">
        <f>IF(I911="","",I911+6)</f>
        <v/>
      </c>
      <c r="K911" s="6">
        <f>IF(OR(A911="",B911=""),"",DATE(YEAR(B911),MONTH(B911),1))</f>
        <v/>
      </c>
      <c r="L911" s="7">
        <f>IF(COUNTA(A911,B911)=0,"",IF(OR(A911="",B911=""),"Preencher CPF e entrada",IF(COUNTIFS($A$12:$A$5011,A911,$B$12:$B$5011,B911)&gt;1,"CPF + dia duplicado",IF(OR(AND(E911&lt;&gt;"",E911&lt;B911),AND(F911&lt;&gt;"",F911&lt;B911)),"Evento anterior à entrada",IF(AND(F911&lt;&gt;"",E911=""),"Conversa sem agendamento",IF(OR(E911&gt;TODAY(),F911&gt;TODAY()),"Verificar evento futuro","OK"))))))</f>
        <v/>
      </c>
    </row>
    <row r="912" spans="9:12">
      <c r="I912" s="5">
        <f>IF(OR(A912="",B912=""),"",B912-WEEKDAY(B912,2)+1)</f>
        <v/>
      </c>
      <c r="J912" s="5">
        <f>IF(I912="","",I912+6)</f>
        <v/>
      </c>
      <c r="K912" s="6">
        <f>IF(OR(A912="",B912=""),"",DATE(YEAR(B912),MONTH(B912),1))</f>
        <v/>
      </c>
      <c r="L912" s="7">
        <f>IF(COUNTA(A912,B912)=0,"",IF(OR(A912="",B912=""),"Preencher CPF e entrada",IF(COUNTIFS($A$12:$A$5011,A912,$B$12:$B$5011,B912)&gt;1,"CPF + dia duplicado",IF(OR(AND(E912&lt;&gt;"",E912&lt;B912),AND(F912&lt;&gt;"",F912&lt;B912)),"Evento anterior à entrada",IF(AND(F912&lt;&gt;"",E912=""),"Conversa sem agendamento",IF(OR(E912&gt;TODAY(),F912&gt;TODAY()),"Verificar evento futuro","OK"))))))</f>
        <v/>
      </c>
    </row>
    <row r="913" spans="9:12">
      <c r="I913" s="5">
        <f>IF(OR(A913="",B913=""),"",B913-WEEKDAY(B913,2)+1)</f>
        <v/>
      </c>
      <c r="J913" s="5">
        <f>IF(I913="","",I913+6)</f>
        <v/>
      </c>
      <c r="K913" s="6">
        <f>IF(OR(A913="",B913=""),"",DATE(YEAR(B913),MONTH(B913),1))</f>
        <v/>
      </c>
      <c r="L913" s="7">
        <f>IF(COUNTA(A913,B913)=0,"",IF(OR(A913="",B913=""),"Preencher CPF e entrada",IF(COUNTIFS($A$12:$A$5011,A913,$B$12:$B$5011,B913)&gt;1,"CPF + dia duplicado",IF(OR(AND(E913&lt;&gt;"",E913&lt;B913),AND(F913&lt;&gt;"",F913&lt;B913)),"Evento anterior à entrada",IF(AND(F913&lt;&gt;"",E913=""),"Conversa sem agendamento",IF(OR(E913&gt;TODAY(),F913&gt;TODAY()),"Verificar evento futuro","OK"))))))</f>
        <v/>
      </c>
    </row>
    <row r="914" spans="9:12">
      <c r="I914" s="5">
        <f>IF(OR(A914="",B914=""),"",B914-WEEKDAY(B914,2)+1)</f>
        <v/>
      </c>
      <c r="J914" s="5">
        <f>IF(I914="","",I914+6)</f>
        <v/>
      </c>
      <c r="K914" s="6">
        <f>IF(OR(A914="",B914=""),"",DATE(YEAR(B914),MONTH(B914),1))</f>
        <v/>
      </c>
      <c r="L914" s="7">
        <f>IF(COUNTA(A914,B914)=0,"",IF(OR(A914="",B914=""),"Preencher CPF e entrada",IF(COUNTIFS($A$12:$A$5011,A914,$B$12:$B$5011,B914)&gt;1,"CPF + dia duplicado",IF(OR(AND(E914&lt;&gt;"",E914&lt;B914),AND(F914&lt;&gt;"",F914&lt;B914)),"Evento anterior à entrada",IF(AND(F914&lt;&gt;"",E914=""),"Conversa sem agendamento",IF(OR(E914&gt;TODAY(),F914&gt;TODAY()),"Verificar evento futuro","OK"))))))</f>
        <v/>
      </c>
    </row>
    <row r="915" spans="9:12">
      <c r="I915" s="5">
        <f>IF(OR(A915="",B915=""),"",B915-WEEKDAY(B915,2)+1)</f>
        <v/>
      </c>
      <c r="J915" s="5">
        <f>IF(I915="","",I915+6)</f>
        <v/>
      </c>
      <c r="K915" s="6">
        <f>IF(OR(A915="",B915=""),"",DATE(YEAR(B915),MONTH(B915),1))</f>
        <v/>
      </c>
      <c r="L915" s="7">
        <f>IF(COUNTA(A915,B915)=0,"",IF(OR(A915="",B915=""),"Preencher CPF e entrada",IF(COUNTIFS($A$12:$A$5011,A915,$B$12:$B$5011,B915)&gt;1,"CPF + dia duplicado",IF(OR(AND(E915&lt;&gt;"",E915&lt;B915),AND(F915&lt;&gt;"",F915&lt;B915)),"Evento anterior à entrada",IF(AND(F915&lt;&gt;"",E915=""),"Conversa sem agendamento",IF(OR(E915&gt;TODAY(),F915&gt;TODAY()),"Verificar evento futuro","OK"))))))</f>
        <v/>
      </c>
    </row>
    <row r="916" spans="9:12">
      <c r="I916" s="5">
        <f>IF(OR(A916="",B916=""),"",B916-WEEKDAY(B916,2)+1)</f>
        <v/>
      </c>
      <c r="J916" s="5">
        <f>IF(I916="","",I916+6)</f>
        <v/>
      </c>
      <c r="K916" s="6">
        <f>IF(OR(A916="",B916=""),"",DATE(YEAR(B916),MONTH(B916),1))</f>
        <v/>
      </c>
      <c r="L916" s="7">
        <f>IF(COUNTA(A916,B916)=0,"",IF(OR(A916="",B916=""),"Preencher CPF e entrada",IF(COUNTIFS($A$12:$A$5011,A916,$B$12:$B$5011,B916)&gt;1,"CPF + dia duplicado",IF(OR(AND(E916&lt;&gt;"",E916&lt;B916),AND(F916&lt;&gt;"",F916&lt;B916)),"Evento anterior à entrada",IF(AND(F916&lt;&gt;"",E916=""),"Conversa sem agendamento",IF(OR(E916&gt;TODAY(),F916&gt;TODAY()),"Verificar evento futuro","OK"))))))</f>
        <v/>
      </c>
    </row>
    <row r="917" spans="9:12">
      <c r="I917" s="5">
        <f>IF(OR(A917="",B917=""),"",B917-WEEKDAY(B917,2)+1)</f>
        <v/>
      </c>
      <c r="J917" s="5">
        <f>IF(I917="","",I917+6)</f>
        <v/>
      </c>
      <c r="K917" s="6">
        <f>IF(OR(A917="",B917=""),"",DATE(YEAR(B917),MONTH(B917),1))</f>
        <v/>
      </c>
      <c r="L917" s="7">
        <f>IF(COUNTA(A917,B917)=0,"",IF(OR(A917="",B917=""),"Preencher CPF e entrada",IF(COUNTIFS($A$12:$A$5011,A917,$B$12:$B$5011,B917)&gt;1,"CPF + dia duplicado",IF(OR(AND(E917&lt;&gt;"",E917&lt;B917),AND(F917&lt;&gt;"",F917&lt;B917)),"Evento anterior à entrada",IF(AND(F917&lt;&gt;"",E917=""),"Conversa sem agendamento",IF(OR(E917&gt;TODAY(),F917&gt;TODAY()),"Verificar evento futuro","OK"))))))</f>
        <v/>
      </c>
    </row>
    <row r="918" spans="9:12">
      <c r="I918" s="5">
        <f>IF(OR(A918="",B918=""),"",B918-WEEKDAY(B918,2)+1)</f>
        <v/>
      </c>
      <c r="J918" s="5">
        <f>IF(I918="","",I918+6)</f>
        <v/>
      </c>
      <c r="K918" s="6">
        <f>IF(OR(A918="",B918=""),"",DATE(YEAR(B918),MONTH(B918),1))</f>
        <v/>
      </c>
      <c r="L918" s="7">
        <f>IF(COUNTA(A918,B918)=0,"",IF(OR(A918="",B918=""),"Preencher CPF e entrada",IF(COUNTIFS($A$12:$A$5011,A918,$B$12:$B$5011,B918)&gt;1,"CPF + dia duplicado",IF(OR(AND(E918&lt;&gt;"",E918&lt;B918),AND(F918&lt;&gt;"",F918&lt;B918)),"Evento anterior à entrada",IF(AND(F918&lt;&gt;"",E918=""),"Conversa sem agendamento",IF(OR(E918&gt;TODAY(),F918&gt;TODAY()),"Verificar evento futuro","OK"))))))</f>
        <v/>
      </c>
    </row>
    <row r="919" spans="9:12">
      <c r="I919" s="5">
        <f>IF(OR(A919="",B919=""),"",B919-WEEKDAY(B919,2)+1)</f>
        <v/>
      </c>
      <c r="J919" s="5">
        <f>IF(I919="","",I919+6)</f>
        <v/>
      </c>
      <c r="K919" s="6">
        <f>IF(OR(A919="",B919=""),"",DATE(YEAR(B919),MONTH(B919),1))</f>
        <v/>
      </c>
      <c r="L919" s="7">
        <f>IF(COUNTA(A919,B919)=0,"",IF(OR(A919="",B919=""),"Preencher CPF e entrada",IF(COUNTIFS($A$12:$A$5011,A919,$B$12:$B$5011,B919)&gt;1,"CPF + dia duplicado",IF(OR(AND(E919&lt;&gt;"",E919&lt;B919),AND(F919&lt;&gt;"",F919&lt;B919)),"Evento anterior à entrada",IF(AND(F919&lt;&gt;"",E919=""),"Conversa sem agendamento",IF(OR(E919&gt;TODAY(),F919&gt;TODAY()),"Verificar evento futuro","OK"))))))</f>
        <v/>
      </c>
    </row>
    <row r="920" spans="9:12">
      <c r="I920" s="5">
        <f>IF(OR(A920="",B920=""),"",B920-WEEKDAY(B920,2)+1)</f>
        <v/>
      </c>
      <c r="J920" s="5">
        <f>IF(I920="","",I920+6)</f>
        <v/>
      </c>
      <c r="K920" s="6">
        <f>IF(OR(A920="",B920=""),"",DATE(YEAR(B920),MONTH(B920),1))</f>
        <v/>
      </c>
      <c r="L920" s="7">
        <f>IF(COUNTA(A920,B920)=0,"",IF(OR(A920="",B920=""),"Preencher CPF e entrada",IF(COUNTIFS($A$12:$A$5011,A920,$B$12:$B$5011,B920)&gt;1,"CPF + dia duplicado",IF(OR(AND(E920&lt;&gt;"",E920&lt;B920),AND(F920&lt;&gt;"",F920&lt;B920)),"Evento anterior à entrada",IF(AND(F920&lt;&gt;"",E920=""),"Conversa sem agendamento",IF(OR(E920&gt;TODAY(),F920&gt;TODAY()),"Verificar evento futuro","OK"))))))</f>
        <v/>
      </c>
    </row>
    <row r="921" spans="9:12">
      <c r="I921" s="5">
        <f>IF(OR(A921="",B921=""),"",B921-WEEKDAY(B921,2)+1)</f>
        <v/>
      </c>
      <c r="J921" s="5">
        <f>IF(I921="","",I921+6)</f>
        <v/>
      </c>
      <c r="K921" s="6">
        <f>IF(OR(A921="",B921=""),"",DATE(YEAR(B921),MONTH(B921),1))</f>
        <v/>
      </c>
      <c r="L921" s="7">
        <f>IF(COUNTA(A921,B921)=0,"",IF(OR(A921="",B921=""),"Preencher CPF e entrada",IF(COUNTIFS($A$12:$A$5011,A921,$B$12:$B$5011,B921)&gt;1,"CPF + dia duplicado",IF(OR(AND(E921&lt;&gt;"",E921&lt;B921),AND(F921&lt;&gt;"",F921&lt;B921)),"Evento anterior à entrada",IF(AND(F921&lt;&gt;"",E921=""),"Conversa sem agendamento",IF(OR(E921&gt;TODAY(),F921&gt;TODAY()),"Verificar evento futuro","OK"))))))</f>
        <v/>
      </c>
    </row>
    <row r="922" spans="9:12">
      <c r="I922" s="5">
        <f>IF(OR(A922="",B922=""),"",B922-WEEKDAY(B922,2)+1)</f>
        <v/>
      </c>
      <c r="J922" s="5">
        <f>IF(I922="","",I922+6)</f>
        <v/>
      </c>
      <c r="K922" s="6">
        <f>IF(OR(A922="",B922=""),"",DATE(YEAR(B922),MONTH(B922),1))</f>
        <v/>
      </c>
      <c r="L922" s="7">
        <f>IF(COUNTA(A922,B922)=0,"",IF(OR(A922="",B922=""),"Preencher CPF e entrada",IF(COUNTIFS($A$12:$A$5011,A922,$B$12:$B$5011,B922)&gt;1,"CPF + dia duplicado",IF(OR(AND(E922&lt;&gt;"",E922&lt;B922),AND(F922&lt;&gt;"",F922&lt;B922)),"Evento anterior à entrada",IF(AND(F922&lt;&gt;"",E922=""),"Conversa sem agendamento",IF(OR(E922&gt;TODAY(),F922&gt;TODAY()),"Verificar evento futuro","OK"))))))</f>
        <v/>
      </c>
    </row>
    <row r="923" spans="9:12">
      <c r="I923" s="5">
        <f>IF(OR(A923="",B923=""),"",B923-WEEKDAY(B923,2)+1)</f>
        <v/>
      </c>
      <c r="J923" s="5">
        <f>IF(I923="","",I923+6)</f>
        <v/>
      </c>
      <c r="K923" s="6">
        <f>IF(OR(A923="",B923=""),"",DATE(YEAR(B923),MONTH(B923),1))</f>
        <v/>
      </c>
      <c r="L923" s="7">
        <f>IF(COUNTA(A923,B923)=0,"",IF(OR(A923="",B923=""),"Preencher CPF e entrada",IF(COUNTIFS($A$12:$A$5011,A923,$B$12:$B$5011,B923)&gt;1,"CPF + dia duplicado",IF(OR(AND(E923&lt;&gt;"",E923&lt;B923),AND(F923&lt;&gt;"",F923&lt;B923)),"Evento anterior à entrada",IF(AND(F923&lt;&gt;"",E923=""),"Conversa sem agendamento",IF(OR(E923&gt;TODAY(),F923&gt;TODAY()),"Verificar evento futuro","OK"))))))</f>
        <v/>
      </c>
    </row>
    <row r="924" spans="9:12">
      <c r="I924" s="5">
        <f>IF(OR(A924="",B924=""),"",B924-WEEKDAY(B924,2)+1)</f>
        <v/>
      </c>
      <c r="J924" s="5">
        <f>IF(I924="","",I924+6)</f>
        <v/>
      </c>
      <c r="K924" s="6">
        <f>IF(OR(A924="",B924=""),"",DATE(YEAR(B924),MONTH(B924),1))</f>
        <v/>
      </c>
      <c r="L924" s="7">
        <f>IF(COUNTA(A924,B924)=0,"",IF(OR(A924="",B924=""),"Preencher CPF e entrada",IF(COUNTIFS($A$12:$A$5011,A924,$B$12:$B$5011,B924)&gt;1,"CPF + dia duplicado",IF(OR(AND(E924&lt;&gt;"",E924&lt;B924),AND(F924&lt;&gt;"",F924&lt;B924)),"Evento anterior à entrada",IF(AND(F924&lt;&gt;"",E924=""),"Conversa sem agendamento",IF(OR(E924&gt;TODAY(),F924&gt;TODAY()),"Verificar evento futuro","OK"))))))</f>
        <v/>
      </c>
    </row>
    <row r="925" spans="9:12">
      <c r="I925" s="5">
        <f>IF(OR(A925="",B925=""),"",B925-WEEKDAY(B925,2)+1)</f>
        <v/>
      </c>
      <c r="J925" s="5">
        <f>IF(I925="","",I925+6)</f>
        <v/>
      </c>
      <c r="K925" s="6">
        <f>IF(OR(A925="",B925=""),"",DATE(YEAR(B925),MONTH(B925),1))</f>
        <v/>
      </c>
      <c r="L925" s="7">
        <f>IF(COUNTA(A925,B925)=0,"",IF(OR(A925="",B925=""),"Preencher CPF e entrada",IF(COUNTIFS($A$12:$A$5011,A925,$B$12:$B$5011,B925)&gt;1,"CPF + dia duplicado",IF(OR(AND(E925&lt;&gt;"",E925&lt;B925),AND(F925&lt;&gt;"",F925&lt;B925)),"Evento anterior à entrada",IF(AND(F925&lt;&gt;"",E925=""),"Conversa sem agendamento",IF(OR(E925&gt;TODAY(),F925&gt;TODAY()),"Verificar evento futuro","OK"))))))</f>
        <v/>
      </c>
    </row>
    <row r="926" spans="9:12">
      <c r="I926" s="5">
        <f>IF(OR(A926="",B926=""),"",B926-WEEKDAY(B926,2)+1)</f>
        <v/>
      </c>
      <c r="J926" s="5">
        <f>IF(I926="","",I926+6)</f>
        <v/>
      </c>
      <c r="K926" s="6">
        <f>IF(OR(A926="",B926=""),"",DATE(YEAR(B926),MONTH(B926),1))</f>
        <v/>
      </c>
      <c r="L926" s="7">
        <f>IF(COUNTA(A926,B926)=0,"",IF(OR(A926="",B926=""),"Preencher CPF e entrada",IF(COUNTIFS($A$12:$A$5011,A926,$B$12:$B$5011,B926)&gt;1,"CPF + dia duplicado",IF(OR(AND(E926&lt;&gt;"",E926&lt;B926),AND(F926&lt;&gt;"",F926&lt;B926)),"Evento anterior à entrada",IF(AND(F926&lt;&gt;"",E926=""),"Conversa sem agendamento",IF(OR(E926&gt;TODAY(),F926&gt;TODAY()),"Verificar evento futuro","OK"))))))</f>
        <v/>
      </c>
    </row>
    <row r="927" spans="9:12">
      <c r="I927" s="5">
        <f>IF(OR(A927="",B927=""),"",B927-WEEKDAY(B927,2)+1)</f>
        <v/>
      </c>
      <c r="J927" s="5">
        <f>IF(I927="","",I927+6)</f>
        <v/>
      </c>
      <c r="K927" s="6">
        <f>IF(OR(A927="",B927=""),"",DATE(YEAR(B927),MONTH(B927),1))</f>
        <v/>
      </c>
      <c r="L927" s="7">
        <f>IF(COUNTA(A927,B927)=0,"",IF(OR(A927="",B927=""),"Preencher CPF e entrada",IF(COUNTIFS($A$12:$A$5011,A927,$B$12:$B$5011,B927)&gt;1,"CPF + dia duplicado",IF(OR(AND(E927&lt;&gt;"",E927&lt;B927),AND(F927&lt;&gt;"",F927&lt;B927)),"Evento anterior à entrada",IF(AND(F927&lt;&gt;"",E927=""),"Conversa sem agendamento",IF(OR(E927&gt;TODAY(),F927&gt;TODAY()),"Verificar evento futuro","OK"))))))</f>
        <v/>
      </c>
    </row>
    <row r="928" spans="9:12">
      <c r="I928" s="5">
        <f>IF(OR(A928="",B928=""),"",B928-WEEKDAY(B928,2)+1)</f>
        <v/>
      </c>
      <c r="J928" s="5">
        <f>IF(I928="","",I928+6)</f>
        <v/>
      </c>
      <c r="K928" s="6">
        <f>IF(OR(A928="",B928=""),"",DATE(YEAR(B928),MONTH(B928),1))</f>
        <v/>
      </c>
      <c r="L928" s="7">
        <f>IF(COUNTA(A928,B928)=0,"",IF(OR(A928="",B928=""),"Preencher CPF e entrada",IF(COUNTIFS($A$12:$A$5011,A928,$B$12:$B$5011,B928)&gt;1,"CPF + dia duplicado",IF(OR(AND(E928&lt;&gt;"",E928&lt;B928),AND(F928&lt;&gt;"",F928&lt;B928)),"Evento anterior à entrada",IF(AND(F928&lt;&gt;"",E928=""),"Conversa sem agendamento",IF(OR(E928&gt;TODAY(),F928&gt;TODAY()),"Verificar evento futuro","OK"))))))</f>
        <v/>
      </c>
    </row>
    <row r="929" spans="9:12">
      <c r="I929" s="5">
        <f>IF(OR(A929="",B929=""),"",B929-WEEKDAY(B929,2)+1)</f>
        <v/>
      </c>
      <c r="J929" s="5">
        <f>IF(I929="","",I929+6)</f>
        <v/>
      </c>
      <c r="K929" s="6">
        <f>IF(OR(A929="",B929=""),"",DATE(YEAR(B929),MONTH(B929),1))</f>
        <v/>
      </c>
      <c r="L929" s="7">
        <f>IF(COUNTA(A929,B929)=0,"",IF(OR(A929="",B929=""),"Preencher CPF e entrada",IF(COUNTIFS($A$12:$A$5011,A929,$B$12:$B$5011,B929)&gt;1,"CPF + dia duplicado",IF(OR(AND(E929&lt;&gt;"",E929&lt;B929),AND(F929&lt;&gt;"",F929&lt;B929)),"Evento anterior à entrada",IF(AND(F929&lt;&gt;"",E929=""),"Conversa sem agendamento",IF(OR(E929&gt;TODAY(),F929&gt;TODAY()),"Verificar evento futuro","OK"))))))</f>
        <v/>
      </c>
    </row>
    <row r="930" spans="9:12">
      <c r="I930" s="5">
        <f>IF(OR(A930="",B930=""),"",B930-WEEKDAY(B930,2)+1)</f>
        <v/>
      </c>
      <c r="J930" s="5">
        <f>IF(I930="","",I930+6)</f>
        <v/>
      </c>
      <c r="K930" s="6">
        <f>IF(OR(A930="",B930=""),"",DATE(YEAR(B930),MONTH(B930),1))</f>
        <v/>
      </c>
      <c r="L930" s="7">
        <f>IF(COUNTA(A930,B930)=0,"",IF(OR(A930="",B930=""),"Preencher CPF e entrada",IF(COUNTIFS($A$12:$A$5011,A930,$B$12:$B$5011,B930)&gt;1,"CPF + dia duplicado",IF(OR(AND(E930&lt;&gt;"",E930&lt;B930),AND(F930&lt;&gt;"",F930&lt;B930)),"Evento anterior à entrada",IF(AND(F930&lt;&gt;"",E930=""),"Conversa sem agendamento",IF(OR(E930&gt;TODAY(),F930&gt;TODAY()),"Verificar evento futuro","OK"))))))</f>
        <v/>
      </c>
    </row>
    <row r="931" spans="9:12">
      <c r="I931" s="5">
        <f>IF(OR(A931="",B931=""),"",B931-WEEKDAY(B931,2)+1)</f>
        <v/>
      </c>
      <c r="J931" s="5">
        <f>IF(I931="","",I931+6)</f>
        <v/>
      </c>
      <c r="K931" s="6">
        <f>IF(OR(A931="",B931=""),"",DATE(YEAR(B931),MONTH(B931),1))</f>
        <v/>
      </c>
      <c r="L931" s="7">
        <f>IF(COUNTA(A931,B931)=0,"",IF(OR(A931="",B931=""),"Preencher CPF e entrada",IF(COUNTIFS($A$12:$A$5011,A931,$B$12:$B$5011,B931)&gt;1,"CPF + dia duplicado",IF(OR(AND(E931&lt;&gt;"",E931&lt;B931),AND(F931&lt;&gt;"",F931&lt;B931)),"Evento anterior à entrada",IF(AND(F931&lt;&gt;"",E931=""),"Conversa sem agendamento",IF(OR(E931&gt;TODAY(),F931&gt;TODAY()),"Verificar evento futuro","OK"))))))</f>
        <v/>
      </c>
    </row>
    <row r="932" spans="9:12">
      <c r="I932" s="5">
        <f>IF(OR(A932="",B932=""),"",B932-WEEKDAY(B932,2)+1)</f>
        <v/>
      </c>
      <c r="J932" s="5">
        <f>IF(I932="","",I932+6)</f>
        <v/>
      </c>
      <c r="K932" s="6">
        <f>IF(OR(A932="",B932=""),"",DATE(YEAR(B932),MONTH(B932),1))</f>
        <v/>
      </c>
      <c r="L932" s="7">
        <f>IF(COUNTA(A932,B932)=0,"",IF(OR(A932="",B932=""),"Preencher CPF e entrada",IF(COUNTIFS($A$12:$A$5011,A932,$B$12:$B$5011,B932)&gt;1,"CPF + dia duplicado",IF(OR(AND(E932&lt;&gt;"",E932&lt;B932),AND(F932&lt;&gt;"",F932&lt;B932)),"Evento anterior à entrada",IF(AND(F932&lt;&gt;"",E932=""),"Conversa sem agendamento",IF(OR(E932&gt;TODAY(),F932&gt;TODAY()),"Verificar evento futuro","OK"))))))</f>
        <v/>
      </c>
    </row>
    <row r="933" spans="9:12">
      <c r="I933" s="5">
        <f>IF(OR(A933="",B933=""),"",B933-WEEKDAY(B933,2)+1)</f>
        <v/>
      </c>
      <c r="J933" s="5">
        <f>IF(I933="","",I933+6)</f>
        <v/>
      </c>
      <c r="K933" s="6">
        <f>IF(OR(A933="",B933=""),"",DATE(YEAR(B933),MONTH(B933),1))</f>
        <v/>
      </c>
      <c r="L933" s="7">
        <f>IF(COUNTA(A933,B933)=0,"",IF(OR(A933="",B933=""),"Preencher CPF e entrada",IF(COUNTIFS($A$12:$A$5011,A933,$B$12:$B$5011,B933)&gt;1,"CPF + dia duplicado",IF(OR(AND(E933&lt;&gt;"",E933&lt;B933),AND(F933&lt;&gt;"",F933&lt;B933)),"Evento anterior à entrada",IF(AND(F933&lt;&gt;"",E933=""),"Conversa sem agendamento",IF(OR(E933&gt;TODAY(),F933&gt;TODAY()),"Verificar evento futuro","OK"))))))</f>
        <v/>
      </c>
    </row>
    <row r="934" spans="9:12">
      <c r="I934" s="5">
        <f>IF(OR(A934="",B934=""),"",B934-WEEKDAY(B934,2)+1)</f>
        <v/>
      </c>
      <c r="J934" s="5">
        <f>IF(I934="","",I934+6)</f>
        <v/>
      </c>
      <c r="K934" s="6">
        <f>IF(OR(A934="",B934=""),"",DATE(YEAR(B934),MONTH(B934),1))</f>
        <v/>
      </c>
      <c r="L934" s="7">
        <f>IF(COUNTA(A934,B934)=0,"",IF(OR(A934="",B934=""),"Preencher CPF e entrada",IF(COUNTIFS($A$12:$A$5011,A934,$B$12:$B$5011,B934)&gt;1,"CPF + dia duplicado",IF(OR(AND(E934&lt;&gt;"",E934&lt;B934),AND(F934&lt;&gt;"",F934&lt;B934)),"Evento anterior à entrada",IF(AND(F934&lt;&gt;"",E934=""),"Conversa sem agendamento",IF(OR(E934&gt;TODAY(),F934&gt;TODAY()),"Verificar evento futuro","OK"))))))</f>
        <v/>
      </c>
    </row>
    <row r="935" spans="9:12">
      <c r="I935" s="5">
        <f>IF(OR(A935="",B935=""),"",B935-WEEKDAY(B935,2)+1)</f>
        <v/>
      </c>
      <c r="J935" s="5">
        <f>IF(I935="","",I935+6)</f>
        <v/>
      </c>
      <c r="K935" s="6">
        <f>IF(OR(A935="",B935=""),"",DATE(YEAR(B935),MONTH(B935),1))</f>
        <v/>
      </c>
      <c r="L935" s="7">
        <f>IF(COUNTA(A935,B935)=0,"",IF(OR(A935="",B935=""),"Preencher CPF e entrada",IF(COUNTIFS($A$12:$A$5011,A935,$B$12:$B$5011,B935)&gt;1,"CPF + dia duplicado",IF(OR(AND(E935&lt;&gt;"",E935&lt;B935),AND(F935&lt;&gt;"",F935&lt;B935)),"Evento anterior à entrada",IF(AND(F935&lt;&gt;"",E935=""),"Conversa sem agendamento",IF(OR(E935&gt;TODAY(),F935&gt;TODAY()),"Verificar evento futuro","OK"))))))</f>
        <v/>
      </c>
    </row>
    <row r="936" spans="9:12">
      <c r="I936" s="5">
        <f>IF(OR(A936="",B936=""),"",B936-WEEKDAY(B936,2)+1)</f>
        <v/>
      </c>
      <c r="J936" s="5">
        <f>IF(I936="","",I936+6)</f>
        <v/>
      </c>
      <c r="K936" s="6">
        <f>IF(OR(A936="",B936=""),"",DATE(YEAR(B936),MONTH(B936),1))</f>
        <v/>
      </c>
      <c r="L936" s="7">
        <f>IF(COUNTA(A936,B936)=0,"",IF(OR(A936="",B936=""),"Preencher CPF e entrada",IF(COUNTIFS($A$12:$A$5011,A936,$B$12:$B$5011,B936)&gt;1,"CPF + dia duplicado",IF(OR(AND(E936&lt;&gt;"",E936&lt;B936),AND(F936&lt;&gt;"",F936&lt;B936)),"Evento anterior à entrada",IF(AND(F936&lt;&gt;"",E936=""),"Conversa sem agendamento",IF(OR(E936&gt;TODAY(),F936&gt;TODAY()),"Verificar evento futuro","OK"))))))</f>
        <v/>
      </c>
    </row>
    <row r="937" spans="9:12">
      <c r="I937" s="5">
        <f>IF(OR(A937="",B937=""),"",B937-WEEKDAY(B937,2)+1)</f>
        <v/>
      </c>
      <c r="J937" s="5">
        <f>IF(I937="","",I937+6)</f>
        <v/>
      </c>
      <c r="K937" s="6">
        <f>IF(OR(A937="",B937=""),"",DATE(YEAR(B937),MONTH(B937),1))</f>
        <v/>
      </c>
      <c r="L937" s="7">
        <f>IF(COUNTA(A937,B937)=0,"",IF(OR(A937="",B937=""),"Preencher CPF e entrada",IF(COUNTIFS($A$12:$A$5011,A937,$B$12:$B$5011,B937)&gt;1,"CPF + dia duplicado",IF(OR(AND(E937&lt;&gt;"",E937&lt;B937),AND(F937&lt;&gt;"",F937&lt;B937)),"Evento anterior à entrada",IF(AND(F937&lt;&gt;"",E937=""),"Conversa sem agendamento",IF(OR(E937&gt;TODAY(),F937&gt;TODAY()),"Verificar evento futuro","OK"))))))</f>
        <v/>
      </c>
    </row>
    <row r="938" spans="9:12">
      <c r="I938" s="5">
        <f>IF(OR(A938="",B938=""),"",B938-WEEKDAY(B938,2)+1)</f>
        <v/>
      </c>
      <c r="J938" s="5">
        <f>IF(I938="","",I938+6)</f>
        <v/>
      </c>
      <c r="K938" s="6">
        <f>IF(OR(A938="",B938=""),"",DATE(YEAR(B938),MONTH(B938),1))</f>
        <v/>
      </c>
      <c r="L938" s="7">
        <f>IF(COUNTA(A938,B938)=0,"",IF(OR(A938="",B938=""),"Preencher CPF e entrada",IF(COUNTIFS($A$12:$A$5011,A938,$B$12:$B$5011,B938)&gt;1,"CPF + dia duplicado",IF(OR(AND(E938&lt;&gt;"",E938&lt;B938),AND(F938&lt;&gt;"",F938&lt;B938)),"Evento anterior à entrada",IF(AND(F938&lt;&gt;"",E938=""),"Conversa sem agendamento",IF(OR(E938&gt;TODAY(),F938&gt;TODAY()),"Verificar evento futuro","OK"))))))</f>
        <v/>
      </c>
    </row>
    <row r="939" spans="9:12">
      <c r="I939" s="5">
        <f>IF(OR(A939="",B939=""),"",B939-WEEKDAY(B939,2)+1)</f>
        <v/>
      </c>
      <c r="J939" s="5">
        <f>IF(I939="","",I939+6)</f>
        <v/>
      </c>
      <c r="K939" s="6">
        <f>IF(OR(A939="",B939=""),"",DATE(YEAR(B939),MONTH(B939),1))</f>
        <v/>
      </c>
      <c r="L939" s="7">
        <f>IF(COUNTA(A939,B939)=0,"",IF(OR(A939="",B939=""),"Preencher CPF e entrada",IF(COUNTIFS($A$12:$A$5011,A939,$B$12:$B$5011,B939)&gt;1,"CPF + dia duplicado",IF(OR(AND(E939&lt;&gt;"",E939&lt;B939),AND(F939&lt;&gt;"",F939&lt;B939)),"Evento anterior à entrada",IF(AND(F939&lt;&gt;"",E939=""),"Conversa sem agendamento",IF(OR(E939&gt;TODAY(),F939&gt;TODAY()),"Verificar evento futuro","OK"))))))</f>
        <v/>
      </c>
    </row>
    <row r="940" spans="9:12">
      <c r="I940" s="5">
        <f>IF(OR(A940="",B940=""),"",B940-WEEKDAY(B940,2)+1)</f>
        <v/>
      </c>
      <c r="J940" s="5">
        <f>IF(I940="","",I940+6)</f>
        <v/>
      </c>
      <c r="K940" s="6">
        <f>IF(OR(A940="",B940=""),"",DATE(YEAR(B940),MONTH(B940),1))</f>
        <v/>
      </c>
      <c r="L940" s="7">
        <f>IF(COUNTA(A940,B940)=0,"",IF(OR(A940="",B940=""),"Preencher CPF e entrada",IF(COUNTIFS($A$12:$A$5011,A940,$B$12:$B$5011,B940)&gt;1,"CPF + dia duplicado",IF(OR(AND(E940&lt;&gt;"",E940&lt;B940),AND(F940&lt;&gt;"",F940&lt;B940)),"Evento anterior à entrada",IF(AND(F940&lt;&gt;"",E940=""),"Conversa sem agendamento",IF(OR(E940&gt;TODAY(),F940&gt;TODAY()),"Verificar evento futuro","OK"))))))</f>
        <v/>
      </c>
    </row>
    <row r="941" spans="9:12">
      <c r="I941" s="5">
        <f>IF(OR(A941="",B941=""),"",B941-WEEKDAY(B941,2)+1)</f>
        <v/>
      </c>
      <c r="J941" s="5">
        <f>IF(I941="","",I941+6)</f>
        <v/>
      </c>
      <c r="K941" s="6">
        <f>IF(OR(A941="",B941=""),"",DATE(YEAR(B941),MONTH(B941),1))</f>
        <v/>
      </c>
      <c r="L941" s="7">
        <f>IF(COUNTA(A941,B941)=0,"",IF(OR(A941="",B941=""),"Preencher CPF e entrada",IF(COUNTIFS($A$12:$A$5011,A941,$B$12:$B$5011,B941)&gt;1,"CPF + dia duplicado",IF(OR(AND(E941&lt;&gt;"",E941&lt;B941),AND(F941&lt;&gt;"",F941&lt;B941)),"Evento anterior à entrada",IF(AND(F941&lt;&gt;"",E941=""),"Conversa sem agendamento",IF(OR(E941&gt;TODAY(),F941&gt;TODAY()),"Verificar evento futuro","OK"))))))</f>
        <v/>
      </c>
    </row>
    <row r="942" spans="9:12">
      <c r="I942" s="5">
        <f>IF(OR(A942="",B942=""),"",B942-WEEKDAY(B942,2)+1)</f>
        <v/>
      </c>
      <c r="J942" s="5">
        <f>IF(I942="","",I942+6)</f>
        <v/>
      </c>
      <c r="K942" s="6">
        <f>IF(OR(A942="",B942=""),"",DATE(YEAR(B942),MONTH(B942),1))</f>
        <v/>
      </c>
      <c r="L942" s="7">
        <f>IF(COUNTA(A942,B942)=0,"",IF(OR(A942="",B942=""),"Preencher CPF e entrada",IF(COUNTIFS($A$12:$A$5011,A942,$B$12:$B$5011,B942)&gt;1,"CPF + dia duplicado",IF(OR(AND(E942&lt;&gt;"",E942&lt;B942),AND(F942&lt;&gt;"",F942&lt;B942)),"Evento anterior à entrada",IF(AND(F942&lt;&gt;"",E942=""),"Conversa sem agendamento",IF(OR(E942&gt;TODAY(),F942&gt;TODAY()),"Verificar evento futuro","OK"))))))</f>
        <v/>
      </c>
    </row>
    <row r="943" spans="9:12">
      <c r="I943" s="5">
        <f>IF(OR(A943="",B943=""),"",B943-WEEKDAY(B943,2)+1)</f>
        <v/>
      </c>
      <c r="J943" s="5">
        <f>IF(I943="","",I943+6)</f>
        <v/>
      </c>
      <c r="K943" s="6">
        <f>IF(OR(A943="",B943=""),"",DATE(YEAR(B943),MONTH(B943),1))</f>
        <v/>
      </c>
      <c r="L943" s="7">
        <f>IF(COUNTA(A943,B943)=0,"",IF(OR(A943="",B943=""),"Preencher CPF e entrada",IF(COUNTIFS($A$12:$A$5011,A943,$B$12:$B$5011,B943)&gt;1,"CPF + dia duplicado",IF(OR(AND(E943&lt;&gt;"",E943&lt;B943),AND(F943&lt;&gt;"",F943&lt;B943)),"Evento anterior à entrada",IF(AND(F943&lt;&gt;"",E943=""),"Conversa sem agendamento",IF(OR(E943&gt;TODAY(),F943&gt;TODAY()),"Verificar evento futuro","OK"))))))</f>
        <v/>
      </c>
    </row>
    <row r="944" spans="9:12">
      <c r="I944" s="5">
        <f>IF(OR(A944="",B944=""),"",B944-WEEKDAY(B944,2)+1)</f>
        <v/>
      </c>
      <c r="J944" s="5">
        <f>IF(I944="","",I944+6)</f>
        <v/>
      </c>
      <c r="K944" s="6">
        <f>IF(OR(A944="",B944=""),"",DATE(YEAR(B944),MONTH(B944),1))</f>
        <v/>
      </c>
      <c r="L944" s="7">
        <f>IF(COUNTA(A944,B944)=0,"",IF(OR(A944="",B944=""),"Preencher CPF e entrada",IF(COUNTIFS($A$12:$A$5011,A944,$B$12:$B$5011,B944)&gt;1,"CPF + dia duplicado",IF(OR(AND(E944&lt;&gt;"",E944&lt;B944),AND(F944&lt;&gt;"",F944&lt;B944)),"Evento anterior à entrada",IF(AND(F944&lt;&gt;"",E944=""),"Conversa sem agendamento",IF(OR(E944&gt;TODAY(),F944&gt;TODAY()),"Verificar evento futuro","OK"))))))</f>
        <v/>
      </c>
    </row>
    <row r="945" spans="9:12">
      <c r="I945" s="5">
        <f>IF(OR(A945="",B945=""),"",B945-WEEKDAY(B945,2)+1)</f>
        <v/>
      </c>
      <c r="J945" s="5">
        <f>IF(I945="","",I945+6)</f>
        <v/>
      </c>
      <c r="K945" s="6">
        <f>IF(OR(A945="",B945=""),"",DATE(YEAR(B945),MONTH(B945),1))</f>
        <v/>
      </c>
      <c r="L945" s="7">
        <f>IF(COUNTA(A945,B945)=0,"",IF(OR(A945="",B945=""),"Preencher CPF e entrada",IF(COUNTIFS($A$12:$A$5011,A945,$B$12:$B$5011,B945)&gt;1,"CPF + dia duplicado",IF(OR(AND(E945&lt;&gt;"",E945&lt;B945),AND(F945&lt;&gt;"",F945&lt;B945)),"Evento anterior à entrada",IF(AND(F945&lt;&gt;"",E945=""),"Conversa sem agendamento",IF(OR(E945&gt;TODAY(),F945&gt;TODAY()),"Verificar evento futuro","OK"))))))</f>
        <v/>
      </c>
    </row>
    <row r="946" spans="9:12">
      <c r="I946" s="5">
        <f>IF(OR(A946="",B946=""),"",B946-WEEKDAY(B946,2)+1)</f>
        <v/>
      </c>
      <c r="J946" s="5">
        <f>IF(I946="","",I946+6)</f>
        <v/>
      </c>
      <c r="K946" s="6">
        <f>IF(OR(A946="",B946=""),"",DATE(YEAR(B946),MONTH(B946),1))</f>
        <v/>
      </c>
      <c r="L946" s="7">
        <f>IF(COUNTA(A946,B946)=0,"",IF(OR(A946="",B946=""),"Preencher CPF e entrada",IF(COUNTIFS($A$12:$A$5011,A946,$B$12:$B$5011,B946)&gt;1,"CPF + dia duplicado",IF(OR(AND(E946&lt;&gt;"",E946&lt;B946),AND(F946&lt;&gt;"",F946&lt;B946)),"Evento anterior à entrada",IF(AND(F946&lt;&gt;"",E946=""),"Conversa sem agendamento",IF(OR(E946&gt;TODAY(),F946&gt;TODAY()),"Verificar evento futuro","OK"))))))</f>
        <v/>
      </c>
    </row>
    <row r="947" spans="9:12">
      <c r="I947" s="5">
        <f>IF(OR(A947="",B947=""),"",B947-WEEKDAY(B947,2)+1)</f>
        <v/>
      </c>
      <c r="J947" s="5">
        <f>IF(I947="","",I947+6)</f>
        <v/>
      </c>
      <c r="K947" s="6">
        <f>IF(OR(A947="",B947=""),"",DATE(YEAR(B947),MONTH(B947),1))</f>
        <v/>
      </c>
      <c r="L947" s="7">
        <f>IF(COUNTA(A947,B947)=0,"",IF(OR(A947="",B947=""),"Preencher CPF e entrada",IF(COUNTIFS($A$12:$A$5011,A947,$B$12:$B$5011,B947)&gt;1,"CPF + dia duplicado",IF(OR(AND(E947&lt;&gt;"",E947&lt;B947),AND(F947&lt;&gt;"",F947&lt;B947)),"Evento anterior à entrada",IF(AND(F947&lt;&gt;"",E947=""),"Conversa sem agendamento",IF(OR(E947&gt;TODAY(),F947&gt;TODAY()),"Verificar evento futuro","OK"))))))</f>
        <v/>
      </c>
    </row>
    <row r="948" spans="9:12">
      <c r="I948" s="5">
        <f>IF(OR(A948="",B948=""),"",B948-WEEKDAY(B948,2)+1)</f>
        <v/>
      </c>
      <c r="J948" s="5">
        <f>IF(I948="","",I948+6)</f>
        <v/>
      </c>
      <c r="K948" s="6">
        <f>IF(OR(A948="",B948=""),"",DATE(YEAR(B948),MONTH(B948),1))</f>
        <v/>
      </c>
      <c r="L948" s="7">
        <f>IF(COUNTA(A948,B948)=0,"",IF(OR(A948="",B948=""),"Preencher CPF e entrada",IF(COUNTIFS($A$12:$A$5011,A948,$B$12:$B$5011,B948)&gt;1,"CPF + dia duplicado",IF(OR(AND(E948&lt;&gt;"",E948&lt;B948),AND(F948&lt;&gt;"",F948&lt;B948)),"Evento anterior à entrada",IF(AND(F948&lt;&gt;"",E948=""),"Conversa sem agendamento",IF(OR(E948&gt;TODAY(),F948&gt;TODAY()),"Verificar evento futuro","OK"))))))</f>
        <v/>
      </c>
    </row>
    <row r="949" spans="9:12">
      <c r="I949" s="5">
        <f>IF(OR(A949="",B949=""),"",B949-WEEKDAY(B949,2)+1)</f>
        <v/>
      </c>
      <c r="J949" s="5">
        <f>IF(I949="","",I949+6)</f>
        <v/>
      </c>
      <c r="K949" s="6">
        <f>IF(OR(A949="",B949=""),"",DATE(YEAR(B949),MONTH(B949),1))</f>
        <v/>
      </c>
      <c r="L949" s="7">
        <f>IF(COUNTA(A949,B949)=0,"",IF(OR(A949="",B949=""),"Preencher CPF e entrada",IF(COUNTIFS($A$12:$A$5011,A949,$B$12:$B$5011,B949)&gt;1,"CPF + dia duplicado",IF(OR(AND(E949&lt;&gt;"",E949&lt;B949),AND(F949&lt;&gt;"",F949&lt;B949)),"Evento anterior à entrada",IF(AND(F949&lt;&gt;"",E949=""),"Conversa sem agendamento",IF(OR(E949&gt;TODAY(),F949&gt;TODAY()),"Verificar evento futuro","OK"))))))</f>
        <v/>
      </c>
    </row>
    <row r="950" spans="9:12">
      <c r="I950" s="5">
        <f>IF(OR(A950="",B950=""),"",B950-WEEKDAY(B950,2)+1)</f>
        <v/>
      </c>
      <c r="J950" s="5">
        <f>IF(I950="","",I950+6)</f>
        <v/>
      </c>
      <c r="K950" s="6">
        <f>IF(OR(A950="",B950=""),"",DATE(YEAR(B950),MONTH(B950),1))</f>
        <v/>
      </c>
      <c r="L950" s="7">
        <f>IF(COUNTA(A950,B950)=0,"",IF(OR(A950="",B950=""),"Preencher CPF e entrada",IF(COUNTIFS($A$12:$A$5011,A950,$B$12:$B$5011,B950)&gt;1,"CPF + dia duplicado",IF(OR(AND(E950&lt;&gt;"",E950&lt;B950),AND(F950&lt;&gt;"",F950&lt;B950)),"Evento anterior à entrada",IF(AND(F950&lt;&gt;"",E950=""),"Conversa sem agendamento",IF(OR(E950&gt;TODAY(),F950&gt;TODAY()),"Verificar evento futuro","OK"))))))</f>
        <v/>
      </c>
    </row>
    <row r="951" spans="9:12">
      <c r="I951" s="5">
        <f>IF(OR(A951="",B951=""),"",B951-WEEKDAY(B951,2)+1)</f>
        <v/>
      </c>
      <c r="J951" s="5">
        <f>IF(I951="","",I951+6)</f>
        <v/>
      </c>
      <c r="K951" s="6">
        <f>IF(OR(A951="",B951=""),"",DATE(YEAR(B951),MONTH(B951),1))</f>
        <v/>
      </c>
      <c r="L951" s="7">
        <f>IF(COUNTA(A951,B951)=0,"",IF(OR(A951="",B951=""),"Preencher CPF e entrada",IF(COUNTIFS($A$12:$A$5011,A951,$B$12:$B$5011,B951)&gt;1,"CPF + dia duplicado",IF(OR(AND(E951&lt;&gt;"",E951&lt;B951),AND(F951&lt;&gt;"",F951&lt;B951)),"Evento anterior à entrada",IF(AND(F951&lt;&gt;"",E951=""),"Conversa sem agendamento",IF(OR(E951&gt;TODAY(),F951&gt;TODAY()),"Verificar evento futuro","OK"))))))</f>
        <v/>
      </c>
    </row>
    <row r="952" spans="9:12">
      <c r="I952" s="5">
        <f>IF(OR(A952="",B952=""),"",B952-WEEKDAY(B952,2)+1)</f>
        <v/>
      </c>
      <c r="J952" s="5">
        <f>IF(I952="","",I952+6)</f>
        <v/>
      </c>
      <c r="K952" s="6">
        <f>IF(OR(A952="",B952=""),"",DATE(YEAR(B952),MONTH(B952),1))</f>
        <v/>
      </c>
      <c r="L952" s="7">
        <f>IF(COUNTA(A952,B952)=0,"",IF(OR(A952="",B952=""),"Preencher CPF e entrada",IF(COUNTIFS($A$12:$A$5011,A952,$B$12:$B$5011,B952)&gt;1,"CPF + dia duplicado",IF(OR(AND(E952&lt;&gt;"",E952&lt;B952),AND(F952&lt;&gt;"",F952&lt;B952)),"Evento anterior à entrada",IF(AND(F952&lt;&gt;"",E952=""),"Conversa sem agendamento",IF(OR(E952&gt;TODAY(),F952&gt;TODAY()),"Verificar evento futuro","OK"))))))</f>
        <v/>
      </c>
    </row>
    <row r="953" spans="9:12">
      <c r="I953" s="5">
        <f>IF(OR(A953="",B953=""),"",B953-WEEKDAY(B953,2)+1)</f>
        <v/>
      </c>
      <c r="J953" s="5">
        <f>IF(I953="","",I953+6)</f>
        <v/>
      </c>
      <c r="K953" s="6">
        <f>IF(OR(A953="",B953=""),"",DATE(YEAR(B953),MONTH(B953),1))</f>
        <v/>
      </c>
      <c r="L953" s="7">
        <f>IF(COUNTA(A953,B953)=0,"",IF(OR(A953="",B953=""),"Preencher CPF e entrada",IF(COUNTIFS($A$12:$A$5011,A953,$B$12:$B$5011,B953)&gt;1,"CPF + dia duplicado",IF(OR(AND(E953&lt;&gt;"",E953&lt;B953),AND(F953&lt;&gt;"",F953&lt;B953)),"Evento anterior à entrada",IF(AND(F953&lt;&gt;"",E953=""),"Conversa sem agendamento",IF(OR(E953&gt;TODAY(),F953&gt;TODAY()),"Verificar evento futuro","OK"))))))</f>
        <v/>
      </c>
    </row>
    <row r="954" spans="9:12">
      <c r="I954" s="5">
        <f>IF(OR(A954="",B954=""),"",B954-WEEKDAY(B954,2)+1)</f>
        <v/>
      </c>
      <c r="J954" s="5">
        <f>IF(I954="","",I954+6)</f>
        <v/>
      </c>
      <c r="K954" s="6">
        <f>IF(OR(A954="",B954=""),"",DATE(YEAR(B954),MONTH(B954),1))</f>
        <v/>
      </c>
      <c r="L954" s="7">
        <f>IF(COUNTA(A954,B954)=0,"",IF(OR(A954="",B954=""),"Preencher CPF e entrada",IF(COUNTIFS($A$12:$A$5011,A954,$B$12:$B$5011,B954)&gt;1,"CPF + dia duplicado",IF(OR(AND(E954&lt;&gt;"",E954&lt;B954),AND(F954&lt;&gt;"",F954&lt;B954)),"Evento anterior à entrada",IF(AND(F954&lt;&gt;"",E954=""),"Conversa sem agendamento",IF(OR(E954&gt;TODAY(),F954&gt;TODAY()),"Verificar evento futuro","OK"))))))</f>
        <v/>
      </c>
    </row>
    <row r="955" spans="9:12">
      <c r="I955" s="5">
        <f>IF(OR(A955="",B955=""),"",B955-WEEKDAY(B955,2)+1)</f>
        <v/>
      </c>
      <c r="J955" s="5">
        <f>IF(I955="","",I955+6)</f>
        <v/>
      </c>
      <c r="K955" s="6">
        <f>IF(OR(A955="",B955=""),"",DATE(YEAR(B955),MONTH(B955),1))</f>
        <v/>
      </c>
      <c r="L955" s="7">
        <f>IF(COUNTA(A955,B955)=0,"",IF(OR(A955="",B955=""),"Preencher CPF e entrada",IF(COUNTIFS($A$12:$A$5011,A955,$B$12:$B$5011,B955)&gt;1,"CPF + dia duplicado",IF(OR(AND(E955&lt;&gt;"",E955&lt;B955),AND(F955&lt;&gt;"",F955&lt;B955)),"Evento anterior à entrada",IF(AND(F955&lt;&gt;"",E955=""),"Conversa sem agendamento",IF(OR(E955&gt;TODAY(),F955&gt;TODAY()),"Verificar evento futuro","OK"))))))</f>
        <v/>
      </c>
    </row>
    <row r="956" spans="9:12">
      <c r="I956" s="5">
        <f>IF(OR(A956="",B956=""),"",B956-WEEKDAY(B956,2)+1)</f>
        <v/>
      </c>
      <c r="J956" s="5">
        <f>IF(I956="","",I956+6)</f>
        <v/>
      </c>
      <c r="K956" s="6">
        <f>IF(OR(A956="",B956=""),"",DATE(YEAR(B956),MONTH(B956),1))</f>
        <v/>
      </c>
      <c r="L956" s="7">
        <f>IF(COUNTA(A956,B956)=0,"",IF(OR(A956="",B956=""),"Preencher CPF e entrada",IF(COUNTIFS($A$12:$A$5011,A956,$B$12:$B$5011,B956)&gt;1,"CPF + dia duplicado",IF(OR(AND(E956&lt;&gt;"",E956&lt;B956),AND(F956&lt;&gt;"",F956&lt;B956)),"Evento anterior à entrada",IF(AND(F956&lt;&gt;"",E956=""),"Conversa sem agendamento",IF(OR(E956&gt;TODAY(),F956&gt;TODAY()),"Verificar evento futuro","OK"))))))</f>
        <v/>
      </c>
    </row>
    <row r="957" spans="9:12">
      <c r="I957" s="5">
        <f>IF(OR(A957="",B957=""),"",B957-WEEKDAY(B957,2)+1)</f>
        <v/>
      </c>
      <c r="J957" s="5">
        <f>IF(I957="","",I957+6)</f>
        <v/>
      </c>
      <c r="K957" s="6">
        <f>IF(OR(A957="",B957=""),"",DATE(YEAR(B957),MONTH(B957),1))</f>
        <v/>
      </c>
      <c r="L957" s="7">
        <f>IF(COUNTA(A957,B957)=0,"",IF(OR(A957="",B957=""),"Preencher CPF e entrada",IF(COUNTIFS($A$12:$A$5011,A957,$B$12:$B$5011,B957)&gt;1,"CPF + dia duplicado",IF(OR(AND(E957&lt;&gt;"",E957&lt;B957),AND(F957&lt;&gt;"",F957&lt;B957)),"Evento anterior à entrada",IF(AND(F957&lt;&gt;"",E957=""),"Conversa sem agendamento",IF(OR(E957&gt;TODAY(),F957&gt;TODAY()),"Verificar evento futuro","OK"))))))</f>
        <v/>
      </c>
    </row>
    <row r="958" spans="9:12">
      <c r="I958" s="5">
        <f>IF(OR(A958="",B958=""),"",B958-WEEKDAY(B958,2)+1)</f>
        <v/>
      </c>
      <c r="J958" s="5">
        <f>IF(I958="","",I958+6)</f>
        <v/>
      </c>
      <c r="K958" s="6">
        <f>IF(OR(A958="",B958=""),"",DATE(YEAR(B958),MONTH(B958),1))</f>
        <v/>
      </c>
      <c r="L958" s="7">
        <f>IF(COUNTA(A958,B958)=0,"",IF(OR(A958="",B958=""),"Preencher CPF e entrada",IF(COUNTIFS($A$12:$A$5011,A958,$B$12:$B$5011,B958)&gt;1,"CPF + dia duplicado",IF(OR(AND(E958&lt;&gt;"",E958&lt;B958),AND(F958&lt;&gt;"",F958&lt;B958)),"Evento anterior à entrada",IF(AND(F958&lt;&gt;"",E958=""),"Conversa sem agendamento",IF(OR(E958&gt;TODAY(),F958&gt;TODAY()),"Verificar evento futuro","OK"))))))</f>
        <v/>
      </c>
    </row>
    <row r="959" spans="9:12">
      <c r="I959" s="5">
        <f>IF(OR(A959="",B959=""),"",B959-WEEKDAY(B959,2)+1)</f>
        <v/>
      </c>
      <c r="J959" s="5">
        <f>IF(I959="","",I959+6)</f>
        <v/>
      </c>
      <c r="K959" s="6">
        <f>IF(OR(A959="",B959=""),"",DATE(YEAR(B959),MONTH(B959),1))</f>
        <v/>
      </c>
      <c r="L959" s="7">
        <f>IF(COUNTA(A959,B959)=0,"",IF(OR(A959="",B959=""),"Preencher CPF e entrada",IF(COUNTIFS($A$12:$A$5011,A959,$B$12:$B$5011,B959)&gt;1,"CPF + dia duplicado",IF(OR(AND(E959&lt;&gt;"",E959&lt;B959),AND(F959&lt;&gt;"",F959&lt;B959)),"Evento anterior à entrada",IF(AND(F959&lt;&gt;"",E959=""),"Conversa sem agendamento",IF(OR(E959&gt;TODAY(),F959&gt;TODAY()),"Verificar evento futuro","OK"))))))</f>
        <v/>
      </c>
    </row>
    <row r="960" spans="9:12">
      <c r="I960" s="5">
        <f>IF(OR(A960="",B960=""),"",B960-WEEKDAY(B960,2)+1)</f>
        <v/>
      </c>
      <c r="J960" s="5">
        <f>IF(I960="","",I960+6)</f>
        <v/>
      </c>
      <c r="K960" s="6">
        <f>IF(OR(A960="",B960=""),"",DATE(YEAR(B960),MONTH(B960),1))</f>
        <v/>
      </c>
      <c r="L960" s="7">
        <f>IF(COUNTA(A960,B960)=0,"",IF(OR(A960="",B960=""),"Preencher CPF e entrada",IF(COUNTIFS($A$12:$A$5011,A960,$B$12:$B$5011,B960)&gt;1,"CPF + dia duplicado",IF(OR(AND(E960&lt;&gt;"",E960&lt;B960),AND(F960&lt;&gt;"",F960&lt;B960)),"Evento anterior à entrada",IF(AND(F960&lt;&gt;"",E960=""),"Conversa sem agendamento",IF(OR(E960&gt;TODAY(),F960&gt;TODAY()),"Verificar evento futuro","OK"))))))</f>
        <v/>
      </c>
    </row>
    <row r="961" spans="9:12">
      <c r="I961" s="5">
        <f>IF(OR(A961="",B961=""),"",B961-WEEKDAY(B961,2)+1)</f>
        <v/>
      </c>
      <c r="J961" s="5">
        <f>IF(I961="","",I961+6)</f>
        <v/>
      </c>
      <c r="K961" s="6">
        <f>IF(OR(A961="",B961=""),"",DATE(YEAR(B961),MONTH(B961),1))</f>
        <v/>
      </c>
      <c r="L961" s="7">
        <f>IF(COUNTA(A961,B961)=0,"",IF(OR(A961="",B961=""),"Preencher CPF e entrada",IF(COUNTIFS($A$12:$A$5011,A961,$B$12:$B$5011,B961)&gt;1,"CPF + dia duplicado",IF(OR(AND(E961&lt;&gt;"",E961&lt;B961),AND(F961&lt;&gt;"",F961&lt;B961)),"Evento anterior à entrada",IF(AND(F961&lt;&gt;"",E961=""),"Conversa sem agendamento",IF(OR(E961&gt;TODAY(),F961&gt;TODAY()),"Verificar evento futuro","OK"))))))</f>
        <v/>
      </c>
    </row>
    <row r="962" spans="9:12">
      <c r="I962" s="5">
        <f>IF(OR(A962="",B962=""),"",B962-WEEKDAY(B962,2)+1)</f>
        <v/>
      </c>
      <c r="J962" s="5">
        <f>IF(I962="","",I962+6)</f>
        <v/>
      </c>
      <c r="K962" s="6">
        <f>IF(OR(A962="",B962=""),"",DATE(YEAR(B962),MONTH(B962),1))</f>
        <v/>
      </c>
      <c r="L962" s="7">
        <f>IF(COUNTA(A962,B962)=0,"",IF(OR(A962="",B962=""),"Preencher CPF e entrada",IF(COUNTIFS($A$12:$A$5011,A962,$B$12:$B$5011,B962)&gt;1,"CPF + dia duplicado",IF(OR(AND(E962&lt;&gt;"",E962&lt;B962),AND(F962&lt;&gt;"",F962&lt;B962)),"Evento anterior à entrada",IF(AND(F962&lt;&gt;"",E962=""),"Conversa sem agendamento",IF(OR(E962&gt;TODAY(),F962&gt;TODAY()),"Verificar evento futuro","OK"))))))</f>
        <v/>
      </c>
    </row>
    <row r="963" spans="9:12">
      <c r="I963" s="5">
        <f>IF(OR(A963="",B963=""),"",B963-WEEKDAY(B963,2)+1)</f>
        <v/>
      </c>
      <c r="J963" s="5">
        <f>IF(I963="","",I963+6)</f>
        <v/>
      </c>
      <c r="K963" s="6">
        <f>IF(OR(A963="",B963=""),"",DATE(YEAR(B963),MONTH(B963),1))</f>
        <v/>
      </c>
      <c r="L963" s="7">
        <f>IF(COUNTA(A963,B963)=0,"",IF(OR(A963="",B963=""),"Preencher CPF e entrada",IF(COUNTIFS($A$12:$A$5011,A963,$B$12:$B$5011,B963)&gt;1,"CPF + dia duplicado",IF(OR(AND(E963&lt;&gt;"",E963&lt;B963),AND(F963&lt;&gt;"",F963&lt;B963)),"Evento anterior à entrada",IF(AND(F963&lt;&gt;"",E963=""),"Conversa sem agendamento",IF(OR(E963&gt;TODAY(),F963&gt;TODAY()),"Verificar evento futuro","OK"))))))</f>
        <v/>
      </c>
    </row>
    <row r="964" spans="9:12">
      <c r="I964" s="5">
        <f>IF(OR(A964="",B964=""),"",B964-WEEKDAY(B964,2)+1)</f>
        <v/>
      </c>
      <c r="J964" s="5">
        <f>IF(I964="","",I964+6)</f>
        <v/>
      </c>
      <c r="K964" s="6">
        <f>IF(OR(A964="",B964=""),"",DATE(YEAR(B964),MONTH(B964),1))</f>
        <v/>
      </c>
      <c r="L964" s="7">
        <f>IF(COUNTA(A964,B964)=0,"",IF(OR(A964="",B964=""),"Preencher CPF e entrada",IF(COUNTIFS($A$12:$A$5011,A964,$B$12:$B$5011,B964)&gt;1,"CPF + dia duplicado",IF(OR(AND(E964&lt;&gt;"",E964&lt;B964),AND(F964&lt;&gt;"",F964&lt;B964)),"Evento anterior à entrada",IF(AND(F964&lt;&gt;"",E964=""),"Conversa sem agendamento",IF(OR(E964&gt;TODAY(),F964&gt;TODAY()),"Verificar evento futuro","OK"))))))</f>
        <v/>
      </c>
    </row>
    <row r="965" spans="9:12">
      <c r="I965" s="5">
        <f>IF(OR(A965="",B965=""),"",B965-WEEKDAY(B965,2)+1)</f>
        <v/>
      </c>
      <c r="J965" s="5">
        <f>IF(I965="","",I965+6)</f>
        <v/>
      </c>
      <c r="K965" s="6">
        <f>IF(OR(A965="",B965=""),"",DATE(YEAR(B965),MONTH(B965),1))</f>
        <v/>
      </c>
      <c r="L965" s="7">
        <f>IF(COUNTA(A965,B965)=0,"",IF(OR(A965="",B965=""),"Preencher CPF e entrada",IF(COUNTIFS($A$12:$A$5011,A965,$B$12:$B$5011,B965)&gt;1,"CPF + dia duplicado",IF(OR(AND(E965&lt;&gt;"",E965&lt;B965),AND(F965&lt;&gt;"",F965&lt;B965)),"Evento anterior à entrada",IF(AND(F965&lt;&gt;"",E965=""),"Conversa sem agendamento",IF(OR(E965&gt;TODAY(),F965&gt;TODAY()),"Verificar evento futuro","OK"))))))</f>
        <v/>
      </c>
    </row>
    <row r="966" spans="9:12">
      <c r="I966" s="5">
        <f>IF(OR(A966="",B966=""),"",B966-WEEKDAY(B966,2)+1)</f>
        <v/>
      </c>
      <c r="J966" s="5">
        <f>IF(I966="","",I966+6)</f>
        <v/>
      </c>
      <c r="K966" s="6">
        <f>IF(OR(A966="",B966=""),"",DATE(YEAR(B966),MONTH(B966),1))</f>
        <v/>
      </c>
      <c r="L966" s="7">
        <f>IF(COUNTA(A966,B966)=0,"",IF(OR(A966="",B966=""),"Preencher CPF e entrada",IF(COUNTIFS($A$12:$A$5011,A966,$B$12:$B$5011,B966)&gt;1,"CPF + dia duplicado",IF(OR(AND(E966&lt;&gt;"",E966&lt;B966),AND(F966&lt;&gt;"",F966&lt;B966)),"Evento anterior à entrada",IF(AND(F966&lt;&gt;"",E966=""),"Conversa sem agendamento",IF(OR(E966&gt;TODAY(),F966&gt;TODAY()),"Verificar evento futuro","OK"))))))</f>
        <v/>
      </c>
    </row>
    <row r="967" spans="9:12">
      <c r="I967" s="5">
        <f>IF(OR(A967="",B967=""),"",B967-WEEKDAY(B967,2)+1)</f>
        <v/>
      </c>
      <c r="J967" s="5">
        <f>IF(I967="","",I967+6)</f>
        <v/>
      </c>
      <c r="K967" s="6">
        <f>IF(OR(A967="",B967=""),"",DATE(YEAR(B967),MONTH(B967),1))</f>
        <v/>
      </c>
      <c r="L967" s="7">
        <f>IF(COUNTA(A967,B967)=0,"",IF(OR(A967="",B967=""),"Preencher CPF e entrada",IF(COUNTIFS($A$12:$A$5011,A967,$B$12:$B$5011,B967)&gt;1,"CPF + dia duplicado",IF(OR(AND(E967&lt;&gt;"",E967&lt;B967),AND(F967&lt;&gt;"",F967&lt;B967)),"Evento anterior à entrada",IF(AND(F967&lt;&gt;"",E967=""),"Conversa sem agendamento",IF(OR(E967&gt;TODAY(),F967&gt;TODAY()),"Verificar evento futuro","OK"))))))</f>
        <v/>
      </c>
    </row>
    <row r="968" spans="9:12">
      <c r="I968" s="5">
        <f>IF(OR(A968="",B968=""),"",B968-WEEKDAY(B968,2)+1)</f>
        <v/>
      </c>
      <c r="J968" s="5">
        <f>IF(I968="","",I968+6)</f>
        <v/>
      </c>
      <c r="K968" s="6">
        <f>IF(OR(A968="",B968=""),"",DATE(YEAR(B968),MONTH(B968),1))</f>
        <v/>
      </c>
      <c r="L968" s="7">
        <f>IF(COUNTA(A968,B968)=0,"",IF(OR(A968="",B968=""),"Preencher CPF e entrada",IF(COUNTIFS($A$12:$A$5011,A968,$B$12:$B$5011,B968)&gt;1,"CPF + dia duplicado",IF(OR(AND(E968&lt;&gt;"",E968&lt;B968),AND(F968&lt;&gt;"",F968&lt;B968)),"Evento anterior à entrada",IF(AND(F968&lt;&gt;"",E968=""),"Conversa sem agendamento",IF(OR(E968&gt;TODAY(),F968&gt;TODAY()),"Verificar evento futuro","OK"))))))</f>
        <v/>
      </c>
    </row>
    <row r="969" spans="9:12">
      <c r="I969" s="5">
        <f>IF(OR(A969="",B969=""),"",B969-WEEKDAY(B969,2)+1)</f>
        <v/>
      </c>
      <c r="J969" s="5">
        <f>IF(I969="","",I969+6)</f>
        <v/>
      </c>
      <c r="K969" s="6">
        <f>IF(OR(A969="",B969=""),"",DATE(YEAR(B969),MONTH(B969),1))</f>
        <v/>
      </c>
      <c r="L969" s="7">
        <f>IF(COUNTA(A969,B969)=0,"",IF(OR(A969="",B969=""),"Preencher CPF e entrada",IF(COUNTIFS($A$12:$A$5011,A969,$B$12:$B$5011,B969)&gt;1,"CPF + dia duplicado",IF(OR(AND(E969&lt;&gt;"",E969&lt;B969),AND(F969&lt;&gt;"",F969&lt;B969)),"Evento anterior à entrada",IF(AND(F969&lt;&gt;"",E969=""),"Conversa sem agendamento",IF(OR(E969&gt;TODAY(),F969&gt;TODAY()),"Verificar evento futuro","OK"))))))</f>
        <v/>
      </c>
    </row>
    <row r="970" spans="9:12">
      <c r="I970" s="5">
        <f>IF(OR(A970="",B970=""),"",B970-WEEKDAY(B970,2)+1)</f>
        <v/>
      </c>
      <c r="J970" s="5">
        <f>IF(I970="","",I970+6)</f>
        <v/>
      </c>
      <c r="K970" s="6">
        <f>IF(OR(A970="",B970=""),"",DATE(YEAR(B970),MONTH(B970),1))</f>
        <v/>
      </c>
      <c r="L970" s="7">
        <f>IF(COUNTA(A970,B970)=0,"",IF(OR(A970="",B970=""),"Preencher CPF e entrada",IF(COUNTIFS($A$12:$A$5011,A970,$B$12:$B$5011,B970)&gt;1,"CPF + dia duplicado",IF(OR(AND(E970&lt;&gt;"",E970&lt;B970),AND(F970&lt;&gt;"",F970&lt;B970)),"Evento anterior à entrada",IF(AND(F970&lt;&gt;"",E970=""),"Conversa sem agendamento",IF(OR(E970&gt;TODAY(),F970&gt;TODAY()),"Verificar evento futuro","OK"))))))</f>
        <v/>
      </c>
    </row>
    <row r="971" spans="9:12">
      <c r="I971" s="5">
        <f>IF(OR(A971="",B971=""),"",B971-WEEKDAY(B971,2)+1)</f>
        <v/>
      </c>
      <c r="J971" s="5">
        <f>IF(I971="","",I971+6)</f>
        <v/>
      </c>
      <c r="K971" s="6">
        <f>IF(OR(A971="",B971=""),"",DATE(YEAR(B971),MONTH(B971),1))</f>
        <v/>
      </c>
      <c r="L971" s="7">
        <f>IF(COUNTA(A971,B971)=0,"",IF(OR(A971="",B971=""),"Preencher CPF e entrada",IF(COUNTIFS($A$12:$A$5011,A971,$B$12:$B$5011,B971)&gt;1,"CPF + dia duplicado",IF(OR(AND(E971&lt;&gt;"",E971&lt;B971),AND(F971&lt;&gt;"",F971&lt;B971)),"Evento anterior à entrada",IF(AND(F971&lt;&gt;"",E971=""),"Conversa sem agendamento",IF(OR(E971&gt;TODAY(),F971&gt;TODAY()),"Verificar evento futuro","OK"))))))</f>
        <v/>
      </c>
    </row>
    <row r="972" spans="9:12">
      <c r="I972" s="5">
        <f>IF(OR(A972="",B972=""),"",B972-WEEKDAY(B972,2)+1)</f>
        <v/>
      </c>
      <c r="J972" s="5">
        <f>IF(I972="","",I972+6)</f>
        <v/>
      </c>
      <c r="K972" s="6">
        <f>IF(OR(A972="",B972=""),"",DATE(YEAR(B972),MONTH(B972),1))</f>
        <v/>
      </c>
      <c r="L972" s="7">
        <f>IF(COUNTA(A972,B972)=0,"",IF(OR(A972="",B972=""),"Preencher CPF e entrada",IF(COUNTIFS($A$12:$A$5011,A972,$B$12:$B$5011,B972)&gt;1,"CPF + dia duplicado",IF(OR(AND(E972&lt;&gt;"",E972&lt;B972),AND(F972&lt;&gt;"",F972&lt;B972)),"Evento anterior à entrada",IF(AND(F972&lt;&gt;"",E972=""),"Conversa sem agendamento",IF(OR(E972&gt;TODAY(),F972&gt;TODAY()),"Verificar evento futuro","OK"))))))</f>
        <v/>
      </c>
    </row>
    <row r="973" spans="9:12">
      <c r="I973" s="5">
        <f>IF(OR(A973="",B973=""),"",B973-WEEKDAY(B973,2)+1)</f>
        <v/>
      </c>
      <c r="J973" s="5">
        <f>IF(I973="","",I973+6)</f>
        <v/>
      </c>
      <c r="K973" s="6">
        <f>IF(OR(A973="",B973=""),"",DATE(YEAR(B973),MONTH(B973),1))</f>
        <v/>
      </c>
      <c r="L973" s="7">
        <f>IF(COUNTA(A973,B973)=0,"",IF(OR(A973="",B973=""),"Preencher CPF e entrada",IF(COUNTIFS($A$12:$A$5011,A973,$B$12:$B$5011,B973)&gt;1,"CPF + dia duplicado",IF(OR(AND(E973&lt;&gt;"",E973&lt;B973),AND(F973&lt;&gt;"",F973&lt;B973)),"Evento anterior à entrada",IF(AND(F973&lt;&gt;"",E973=""),"Conversa sem agendamento",IF(OR(E973&gt;TODAY(),F973&gt;TODAY()),"Verificar evento futuro","OK"))))))</f>
        <v/>
      </c>
    </row>
    <row r="974" spans="9:12">
      <c r="I974" s="5">
        <f>IF(OR(A974="",B974=""),"",B974-WEEKDAY(B974,2)+1)</f>
        <v/>
      </c>
      <c r="J974" s="5">
        <f>IF(I974="","",I974+6)</f>
        <v/>
      </c>
      <c r="K974" s="6">
        <f>IF(OR(A974="",B974=""),"",DATE(YEAR(B974),MONTH(B974),1))</f>
        <v/>
      </c>
      <c r="L974" s="7">
        <f>IF(COUNTA(A974,B974)=0,"",IF(OR(A974="",B974=""),"Preencher CPF e entrada",IF(COUNTIFS($A$12:$A$5011,A974,$B$12:$B$5011,B974)&gt;1,"CPF + dia duplicado",IF(OR(AND(E974&lt;&gt;"",E974&lt;B974),AND(F974&lt;&gt;"",F974&lt;B974)),"Evento anterior à entrada",IF(AND(F974&lt;&gt;"",E974=""),"Conversa sem agendamento",IF(OR(E974&gt;TODAY(),F974&gt;TODAY()),"Verificar evento futuro","OK"))))))</f>
        <v/>
      </c>
    </row>
    <row r="975" spans="9:12">
      <c r="I975" s="5">
        <f>IF(OR(A975="",B975=""),"",B975-WEEKDAY(B975,2)+1)</f>
        <v/>
      </c>
      <c r="J975" s="5">
        <f>IF(I975="","",I975+6)</f>
        <v/>
      </c>
      <c r="K975" s="6">
        <f>IF(OR(A975="",B975=""),"",DATE(YEAR(B975),MONTH(B975),1))</f>
        <v/>
      </c>
      <c r="L975" s="7">
        <f>IF(COUNTA(A975,B975)=0,"",IF(OR(A975="",B975=""),"Preencher CPF e entrada",IF(COUNTIFS($A$12:$A$5011,A975,$B$12:$B$5011,B975)&gt;1,"CPF + dia duplicado",IF(OR(AND(E975&lt;&gt;"",E975&lt;B975),AND(F975&lt;&gt;"",F975&lt;B975)),"Evento anterior à entrada",IF(AND(F975&lt;&gt;"",E975=""),"Conversa sem agendamento",IF(OR(E975&gt;TODAY(),F975&gt;TODAY()),"Verificar evento futuro","OK"))))))</f>
        <v/>
      </c>
    </row>
    <row r="976" spans="9:12">
      <c r="I976" s="5">
        <f>IF(OR(A976="",B976=""),"",B976-WEEKDAY(B976,2)+1)</f>
        <v/>
      </c>
      <c r="J976" s="5">
        <f>IF(I976="","",I976+6)</f>
        <v/>
      </c>
      <c r="K976" s="6">
        <f>IF(OR(A976="",B976=""),"",DATE(YEAR(B976),MONTH(B976),1))</f>
        <v/>
      </c>
      <c r="L976" s="7">
        <f>IF(COUNTA(A976,B976)=0,"",IF(OR(A976="",B976=""),"Preencher CPF e entrada",IF(COUNTIFS($A$12:$A$5011,A976,$B$12:$B$5011,B976)&gt;1,"CPF + dia duplicado",IF(OR(AND(E976&lt;&gt;"",E976&lt;B976),AND(F976&lt;&gt;"",F976&lt;B976)),"Evento anterior à entrada",IF(AND(F976&lt;&gt;"",E976=""),"Conversa sem agendamento",IF(OR(E976&gt;TODAY(),F976&gt;TODAY()),"Verificar evento futuro","OK"))))))</f>
        <v/>
      </c>
    </row>
    <row r="977" spans="9:12">
      <c r="I977" s="5">
        <f>IF(OR(A977="",B977=""),"",B977-WEEKDAY(B977,2)+1)</f>
        <v/>
      </c>
      <c r="J977" s="5">
        <f>IF(I977="","",I977+6)</f>
        <v/>
      </c>
      <c r="K977" s="6">
        <f>IF(OR(A977="",B977=""),"",DATE(YEAR(B977),MONTH(B977),1))</f>
        <v/>
      </c>
      <c r="L977" s="7">
        <f>IF(COUNTA(A977,B977)=0,"",IF(OR(A977="",B977=""),"Preencher CPF e entrada",IF(COUNTIFS($A$12:$A$5011,A977,$B$12:$B$5011,B977)&gt;1,"CPF + dia duplicado",IF(OR(AND(E977&lt;&gt;"",E977&lt;B977),AND(F977&lt;&gt;"",F977&lt;B977)),"Evento anterior à entrada",IF(AND(F977&lt;&gt;"",E977=""),"Conversa sem agendamento",IF(OR(E977&gt;TODAY(),F977&gt;TODAY()),"Verificar evento futuro","OK"))))))</f>
        <v/>
      </c>
    </row>
    <row r="978" spans="9:12">
      <c r="I978" s="5">
        <f>IF(OR(A978="",B978=""),"",B978-WEEKDAY(B978,2)+1)</f>
        <v/>
      </c>
      <c r="J978" s="5">
        <f>IF(I978="","",I978+6)</f>
        <v/>
      </c>
      <c r="K978" s="6">
        <f>IF(OR(A978="",B978=""),"",DATE(YEAR(B978),MONTH(B978),1))</f>
        <v/>
      </c>
      <c r="L978" s="7">
        <f>IF(COUNTA(A978,B978)=0,"",IF(OR(A978="",B978=""),"Preencher CPF e entrada",IF(COUNTIFS($A$12:$A$5011,A978,$B$12:$B$5011,B978)&gt;1,"CPF + dia duplicado",IF(OR(AND(E978&lt;&gt;"",E978&lt;B978),AND(F978&lt;&gt;"",F978&lt;B978)),"Evento anterior à entrada",IF(AND(F978&lt;&gt;"",E978=""),"Conversa sem agendamento",IF(OR(E978&gt;TODAY(),F978&gt;TODAY()),"Verificar evento futuro","OK"))))))</f>
        <v/>
      </c>
    </row>
    <row r="979" spans="9:12">
      <c r="I979" s="5">
        <f>IF(OR(A979="",B979=""),"",B979-WEEKDAY(B979,2)+1)</f>
        <v/>
      </c>
      <c r="J979" s="5">
        <f>IF(I979="","",I979+6)</f>
        <v/>
      </c>
      <c r="K979" s="6">
        <f>IF(OR(A979="",B979=""),"",DATE(YEAR(B979),MONTH(B979),1))</f>
        <v/>
      </c>
      <c r="L979" s="7">
        <f>IF(COUNTA(A979,B979)=0,"",IF(OR(A979="",B979=""),"Preencher CPF e entrada",IF(COUNTIFS($A$12:$A$5011,A979,$B$12:$B$5011,B979)&gt;1,"CPF + dia duplicado",IF(OR(AND(E979&lt;&gt;"",E979&lt;B979),AND(F979&lt;&gt;"",F979&lt;B979)),"Evento anterior à entrada",IF(AND(F979&lt;&gt;"",E979=""),"Conversa sem agendamento",IF(OR(E979&gt;TODAY(),F979&gt;TODAY()),"Verificar evento futuro","OK"))))))</f>
        <v/>
      </c>
    </row>
    <row r="980" spans="9:12">
      <c r="I980" s="5">
        <f>IF(OR(A980="",B980=""),"",B980-WEEKDAY(B980,2)+1)</f>
        <v/>
      </c>
      <c r="J980" s="5">
        <f>IF(I980="","",I980+6)</f>
        <v/>
      </c>
      <c r="K980" s="6">
        <f>IF(OR(A980="",B980=""),"",DATE(YEAR(B980),MONTH(B980),1))</f>
        <v/>
      </c>
      <c r="L980" s="7">
        <f>IF(COUNTA(A980,B980)=0,"",IF(OR(A980="",B980=""),"Preencher CPF e entrada",IF(COUNTIFS($A$12:$A$5011,A980,$B$12:$B$5011,B980)&gt;1,"CPF + dia duplicado",IF(OR(AND(E980&lt;&gt;"",E980&lt;B980),AND(F980&lt;&gt;"",F980&lt;B980)),"Evento anterior à entrada",IF(AND(F980&lt;&gt;"",E980=""),"Conversa sem agendamento",IF(OR(E980&gt;TODAY(),F980&gt;TODAY()),"Verificar evento futuro","OK"))))))</f>
        <v/>
      </c>
    </row>
    <row r="981" spans="9:12">
      <c r="I981" s="5">
        <f>IF(OR(A981="",B981=""),"",B981-WEEKDAY(B981,2)+1)</f>
        <v/>
      </c>
      <c r="J981" s="5">
        <f>IF(I981="","",I981+6)</f>
        <v/>
      </c>
      <c r="K981" s="6">
        <f>IF(OR(A981="",B981=""),"",DATE(YEAR(B981),MONTH(B981),1))</f>
        <v/>
      </c>
      <c r="L981" s="7">
        <f>IF(COUNTA(A981,B981)=0,"",IF(OR(A981="",B981=""),"Preencher CPF e entrada",IF(COUNTIFS($A$12:$A$5011,A981,$B$12:$B$5011,B981)&gt;1,"CPF + dia duplicado",IF(OR(AND(E981&lt;&gt;"",E981&lt;B981),AND(F981&lt;&gt;"",F981&lt;B981)),"Evento anterior à entrada",IF(AND(F981&lt;&gt;"",E981=""),"Conversa sem agendamento",IF(OR(E981&gt;TODAY(),F981&gt;TODAY()),"Verificar evento futuro","OK"))))))</f>
        <v/>
      </c>
    </row>
    <row r="982" spans="9:12">
      <c r="I982" s="5">
        <f>IF(OR(A982="",B982=""),"",B982-WEEKDAY(B982,2)+1)</f>
        <v/>
      </c>
      <c r="J982" s="5">
        <f>IF(I982="","",I982+6)</f>
        <v/>
      </c>
      <c r="K982" s="6">
        <f>IF(OR(A982="",B982=""),"",DATE(YEAR(B982),MONTH(B982),1))</f>
        <v/>
      </c>
      <c r="L982" s="7">
        <f>IF(COUNTA(A982,B982)=0,"",IF(OR(A982="",B982=""),"Preencher CPF e entrada",IF(COUNTIFS($A$12:$A$5011,A982,$B$12:$B$5011,B982)&gt;1,"CPF + dia duplicado",IF(OR(AND(E982&lt;&gt;"",E982&lt;B982),AND(F982&lt;&gt;"",F982&lt;B982)),"Evento anterior à entrada",IF(AND(F982&lt;&gt;"",E982=""),"Conversa sem agendamento",IF(OR(E982&gt;TODAY(),F982&gt;TODAY()),"Verificar evento futuro","OK"))))))</f>
        <v/>
      </c>
    </row>
    <row r="983" spans="9:12">
      <c r="I983" s="5">
        <f>IF(OR(A983="",B983=""),"",B983-WEEKDAY(B983,2)+1)</f>
        <v/>
      </c>
      <c r="J983" s="5">
        <f>IF(I983="","",I983+6)</f>
        <v/>
      </c>
      <c r="K983" s="6">
        <f>IF(OR(A983="",B983=""),"",DATE(YEAR(B983),MONTH(B983),1))</f>
        <v/>
      </c>
      <c r="L983" s="7">
        <f>IF(COUNTA(A983,B983)=0,"",IF(OR(A983="",B983=""),"Preencher CPF e entrada",IF(COUNTIFS($A$12:$A$5011,A983,$B$12:$B$5011,B983)&gt;1,"CPF + dia duplicado",IF(OR(AND(E983&lt;&gt;"",E983&lt;B983),AND(F983&lt;&gt;"",F983&lt;B983)),"Evento anterior à entrada",IF(AND(F983&lt;&gt;"",E983=""),"Conversa sem agendamento",IF(OR(E983&gt;TODAY(),F983&gt;TODAY()),"Verificar evento futuro","OK"))))))</f>
        <v/>
      </c>
    </row>
    <row r="984" spans="9:12">
      <c r="I984" s="5">
        <f>IF(OR(A984="",B984=""),"",B984-WEEKDAY(B984,2)+1)</f>
        <v/>
      </c>
      <c r="J984" s="5">
        <f>IF(I984="","",I984+6)</f>
        <v/>
      </c>
      <c r="K984" s="6">
        <f>IF(OR(A984="",B984=""),"",DATE(YEAR(B984),MONTH(B984),1))</f>
        <v/>
      </c>
      <c r="L984" s="7">
        <f>IF(COUNTA(A984,B984)=0,"",IF(OR(A984="",B984=""),"Preencher CPF e entrada",IF(COUNTIFS($A$12:$A$5011,A984,$B$12:$B$5011,B984)&gt;1,"CPF + dia duplicado",IF(OR(AND(E984&lt;&gt;"",E984&lt;B984),AND(F984&lt;&gt;"",F984&lt;B984)),"Evento anterior à entrada",IF(AND(F984&lt;&gt;"",E984=""),"Conversa sem agendamento",IF(OR(E984&gt;TODAY(),F984&gt;TODAY()),"Verificar evento futuro","OK"))))))</f>
        <v/>
      </c>
    </row>
    <row r="985" spans="9:12">
      <c r="I985" s="5">
        <f>IF(OR(A985="",B985=""),"",B985-WEEKDAY(B985,2)+1)</f>
        <v/>
      </c>
      <c r="J985" s="5">
        <f>IF(I985="","",I985+6)</f>
        <v/>
      </c>
      <c r="K985" s="6">
        <f>IF(OR(A985="",B985=""),"",DATE(YEAR(B985),MONTH(B985),1))</f>
        <v/>
      </c>
      <c r="L985" s="7">
        <f>IF(COUNTA(A985,B985)=0,"",IF(OR(A985="",B985=""),"Preencher CPF e entrada",IF(COUNTIFS($A$12:$A$5011,A985,$B$12:$B$5011,B985)&gt;1,"CPF + dia duplicado",IF(OR(AND(E985&lt;&gt;"",E985&lt;B985),AND(F985&lt;&gt;"",F985&lt;B985)),"Evento anterior à entrada",IF(AND(F985&lt;&gt;"",E985=""),"Conversa sem agendamento",IF(OR(E985&gt;TODAY(),F985&gt;TODAY()),"Verificar evento futuro","OK"))))))</f>
        <v/>
      </c>
    </row>
    <row r="986" spans="9:12">
      <c r="I986" s="5">
        <f>IF(OR(A986="",B986=""),"",B986-WEEKDAY(B986,2)+1)</f>
        <v/>
      </c>
      <c r="J986" s="5">
        <f>IF(I986="","",I986+6)</f>
        <v/>
      </c>
      <c r="K986" s="6">
        <f>IF(OR(A986="",B986=""),"",DATE(YEAR(B986),MONTH(B986),1))</f>
        <v/>
      </c>
      <c r="L986" s="7">
        <f>IF(COUNTA(A986,B986)=0,"",IF(OR(A986="",B986=""),"Preencher CPF e entrada",IF(COUNTIFS($A$12:$A$5011,A986,$B$12:$B$5011,B986)&gt;1,"CPF + dia duplicado",IF(OR(AND(E986&lt;&gt;"",E986&lt;B986),AND(F986&lt;&gt;"",F986&lt;B986)),"Evento anterior à entrada",IF(AND(F986&lt;&gt;"",E986=""),"Conversa sem agendamento",IF(OR(E986&gt;TODAY(),F986&gt;TODAY()),"Verificar evento futuro","OK"))))))</f>
        <v/>
      </c>
    </row>
    <row r="987" spans="9:12">
      <c r="I987" s="5">
        <f>IF(OR(A987="",B987=""),"",B987-WEEKDAY(B987,2)+1)</f>
        <v/>
      </c>
      <c r="J987" s="5">
        <f>IF(I987="","",I987+6)</f>
        <v/>
      </c>
      <c r="K987" s="6">
        <f>IF(OR(A987="",B987=""),"",DATE(YEAR(B987),MONTH(B987),1))</f>
        <v/>
      </c>
      <c r="L987" s="7">
        <f>IF(COUNTA(A987,B987)=0,"",IF(OR(A987="",B987=""),"Preencher CPF e entrada",IF(COUNTIFS($A$12:$A$5011,A987,$B$12:$B$5011,B987)&gt;1,"CPF + dia duplicado",IF(OR(AND(E987&lt;&gt;"",E987&lt;B987),AND(F987&lt;&gt;"",F987&lt;B987)),"Evento anterior à entrada",IF(AND(F987&lt;&gt;"",E987=""),"Conversa sem agendamento",IF(OR(E987&gt;TODAY(),F987&gt;TODAY()),"Verificar evento futuro","OK"))))))</f>
        <v/>
      </c>
    </row>
    <row r="988" spans="9:12">
      <c r="I988" s="5">
        <f>IF(OR(A988="",B988=""),"",B988-WEEKDAY(B988,2)+1)</f>
        <v/>
      </c>
      <c r="J988" s="5">
        <f>IF(I988="","",I988+6)</f>
        <v/>
      </c>
      <c r="K988" s="6">
        <f>IF(OR(A988="",B988=""),"",DATE(YEAR(B988),MONTH(B988),1))</f>
        <v/>
      </c>
      <c r="L988" s="7">
        <f>IF(COUNTA(A988,B988)=0,"",IF(OR(A988="",B988=""),"Preencher CPF e entrada",IF(COUNTIFS($A$12:$A$5011,A988,$B$12:$B$5011,B988)&gt;1,"CPF + dia duplicado",IF(OR(AND(E988&lt;&gt;"",E988&lt;B988),AND(F988&lt;&gt;"",F988&lt;B988)),"Evento anterior à entrada",IF(AND(F988&lt;&gt;"",E988=""),"Conversa sem agendamento",IF(OR(E988&gt;TODAY(),F988&gt;TODAY()),"Verificar evento futuro","OK"))))))</f>
        <v/>
      </c>
    </row>
    <row r="989" spans="9:12">
      <c r="I989" s="5">
        <f>IF(OR(A989="",B989=""),"",B989-WEEKDAY(B989,2)+1)</f>
        <v/>
      </c>
      <c r="J989" s="5">
        <f>IF(I989="","",I989+6)</f>
        <v/>
      </c>
      <c r="K989" s="6">
        <f>IF(OR(A989="",B989=""),"",DATE(YEAR(B989),MONTH(B989),1))</f>
        <v/>
      </c>
      <c r="L989" s="7">
        <f>IF(COUNTA(A989,B989)=0,"",IF(OR(A989="",B989=""),"Preencher CPF e entrada",IF(COUNTIFS($A$12:$A$5011,A989,$B$12:$B$5011,B989)&gt;1,"CPF + dia duplicado",IF(OR(AND(E989&lt;&gt;"",E989&lt;B989),AND(F989&lt;&gt;"",F989&lt;B989)),"Evento anterior à entrada",IF(AND(F989&lt;&gt;"",E989=""),"Conversa sem agendamento",IF(OR(E989&gt;TODAY(),F989&gt;TODAY()),"Verificar evento futuro","OK"))))))</f>
        <v/>
      </c>
    </row>
    <row r="990" spans="9:12">
      <c r="I990" s="5">
        <f>IF(OR(A990="",B990=""),"",B990-WEEKDAY(B990,2)+1)</f>
        <v/>
      </c>
      <c r="J990" s="5">
        <f>IF(I990="","",I990+6)</f>
        <v/>
      </c>
      <c r="K990" s="6">
        <f>IF(OR(A990="",B990=""),"",DATE(YEAR(B990),MONTH(B990),1))</f>
        <v/>
      </c>
      <c r="L990" s="7">
        <f>IF(COUNTA(A990,B990)=0,"",IF(OR(A990="",B990=""),"Preencher CPF e entrada",IF(COUNTIFS($A$12:$A$5011,A990,$B$12:$B$5011,B990)&gt;1,"CPF + dia duplicado",IF(OR(AND(E990&lt;&gt;"",E990&lt;B990),AND(F990&lt;&gt;"",F990&lt;B990)),"Evento anterior à entrada",IF(AND(F990&lt;&gt;"",E990=""),"Conversa sem agendamento",IF(OR(E990&gt;TODAY(),F990&gt;TODAY()),"Verificar evento futuro","OK"))))))</f>
        <v/>
      </c>
    </row>
    <row r="991" spans="9:12">
      <c r="I991" s="5">
        <f>IF(OR(A991="",B991=""),"",B991-WEEKDAY(B991,2)+1)</f>
        <v/>
      </c>
      <c r="J991" s="5">
        <f>IF(I991="","",I991+6)</f>
        <v/>
      </c>
      <c r="K991" s="6">
        <f>IF(OR(A991="",B991=""),"",DATE(YEAR(B991),MONTH(B991),1))</f>
        <v/>
      </c>
      <c r="L991" s="7">
        <f>IF(COUNTA(A991,B991)=0,"",IF(OR(A991="",B991=""),"Preencher CPF e entrada",IF(COUNTIFS($A$12:$A$5011,A991,$B$12:$B$5011,B991)&gt;1,"CPF + dia duplicado",IF(OR(AND(E991&lt;&gt;"",E991&lt;B991),AND(F991&lt;&gt;"",F991&lt;B991)),"Evento anterior à entrada",IF(AND(F991&lt;&gt;"",E991=""),"Conversa sem agendamento",IF(OR(E991&gt;TODAY(),F991&gt;TODAY()),"Verificar evento futuro","OK"))))))</f>
        <v/>
      </c>
    </row>
    <row r="992" spans="9:12">
      <c r="I992" s="5">
        <f>IF(OR(A992="",B992=""),"",B992-WEEKDAY(B992,2)+1)</f>
        <v/>
      </c>
      <c r="J992" s="5">
        <f>IF(I992="","",I992+6)</f>
        <v/>
      </c>
      <c r="K992" s="6">
        <f>IF(OR(A992="",B992=""),"",DATE(YEAR(B992),MONTH(B992),1))</f>
        <v/>
      </c>
      <c r="L992" s="7">
        <f>IF(COUNTA(A992,B992)=0,"",IF(OR(A992="",B992=""),"Preencher CPF e entrada",IF(COUNTIFS($A$12:$A$5011,A992,$B$12:$B$5011,B992)&gt;1,"CPF + dia duplicado",IF(OR(AND(E992&lt;&gt;"",E992&lt;B992),AND(F992&lt;&gt;"",F992&lt;B992)),"Evento anterior à entrada",IF(AND(F992&lt;&gt;"",E992=""),"Conversa sem agendamento",IF(OR(E992&gt;TODAY(),F992&gt;TODAY()),"Verificar evento futuro","OK"))))))</f>
        <v/>
      </c>
    </row>
    <row r="993" spans="9:12">
      <c r="I993" s="5">
        <f>IF(OR(A993="",B993=""),"",B993-WEEKDAY(B993,2)+1)</f>
        <v/>
      </c>
      <c r="J993" s="5">
        <f>IF(I993="","",I993+6)</f>
        <v/>
      </c>
      <c r="K993" s="6">
        <f>IF(OR(A993="",B993=""),"",DATE(YEAR(B993),MONTH(B993),1))</f>
        <v/>
      </c>
      <c r="L993" s="7">
        <f>IF(COUNTA(A993,B993)=0,"",IF(OR(A993="",B993=""),"Preencher CPF e entrada",IF(COUNTIFS($A$12:$A$5011,A993,$B$12:$B$5011,B993)&gt;1,"CPF + dia duplicado",IF(OR(AND(E993&lt;&gt;"",E993&lt;B993),AND(F993&lt;&gt;"",F993&lt;B993)),"Evento anterior à entrada",IF(AND(F993&lt;&gt;"",E993=""),"Conversa sem agendamento",IF(OR(E993&gt;TODAY(),F993&gt;TODAY()),"Verificar evento futuro","OK"))))))</f>
        <v/>
      </c>
    </row>
    <row r="994" spans="9:12">
      <c r="I994" s="5">
        <f>IF(OR(A994="",B994=""),"",B994-WEEKDAY(B994,2)+1)</f>
        <v/>
      </c>
      <c r="J994" s="5">
        <f>IF(I994="","",I994+6)</f>
        <v/>
      </c>
      <c r="K994" s="6">
        <f>IF(OR(A994="",B994=""),"",DATE(YEAR(B994),MONTH(B994),1))</f>
        <v/>
      </c>
      <c r="L994" s="7">
        <f>IF(COUNTA(A994,B994)=0,"",IF(OR(A994="",B994=""),"Preencher CPF e entrada",IF(COUNTIFS($A$12:$A$5011,A994,$B$12:$B$5011,B994)&gt;1,"CPF + dia duplicado",IF(OR(AND(E994&lt;&gt;"",E994&lt;B994),AND(F994&lt;&gt;"",F994&lt;B994)),"Evento anterior à entrada",IF(AND(F994&lt;&gt;"",E994=""),"Conversa sem agendamento",IF(OR(E994&gt;TODAY(),F994&gt;TODAY()),"Verificar evento futuro","OK"))))))</f>
        <v/>
      </c>
    </row>
    <row r="995" spans="9:12">
      <c r="I995" s="5">
        <f>IF(OR(A995="",B995=""),"",B995-WEEKDAY(B995,2)+1)</f>
        <v/>
      </c>
      <c r="J995" s="5">
        <f>IF(I995="","",I995+6)</f>
        <v/>
      </c>
      <c r="K995" s="6">
        <f>IF(OR(A995="",B995=""),"",DATE(YEAR(B995),MONTH(B995),1))</f>
        <v/>
      </c>
      <c r="L995" s="7">
        <f>IF(COUNTA(A995,B995)=0,"",IF(OR(A995="",B995=""),"Preencher CPF e entrada",IF(COUNTIFS($A$12:$A$5011,A995,$B$12:$B$5011,B995)&gt;1,"CPF + dia duplicado",IF(OR(AND(E995&lt;&gt;"",E995&lt;B995),AND(F995&lt;&gt;"",F995&lt;B995)),"Evento anterior à entrada",IF(AND(F995&lt;&gt;"",E995=""),"Conversa sem agendamento",IF(OR(E995&gt;TODAY(),F995&gt;TODAY()),"Verificar evento futuro","OK"))))))</f>
        <v/>
      </c>
    </row>
    <row r="996" spans="9:12">
      <c r="I996" s="5">
        <f>IF(OR(A996="",B996=""),"",B996-WEEKDAY(B996,2)+1)</f>
        <v/>
      </c>
      <c r="J996" s="5">
        <f>IF(I996="","",I996+6)</f>
        <v/>
      </c>
      <c r="K996" s="6">
        <f>IF(OR(A996="",B996=""),"",DATE(YEAR(B996),MONTH(B996),1))</f>
        <v/>
      </c>
      <c r="L996" s="7">
        <f>IF(COUNTA(A996,B996)=0,"",IF(OR(A996="",B996=""),"Preencher CPF e entrada",IF(COUNTIFS($A$12:$A$5011,A996,$B$12:$B$5011,B996)&gt;1,"CPF + dia duplicado",IF(OR(AND(E996&lt;&gt;"",E996&lt;B996),AND(F996&lt;&gt;"",F996&lt;B996)),"Evento anterior à entrada",IF(AND(F996&lt;&gt;"",E996=""),"Conversa sem agendamento",IF(OR(E996&gt;TODAY(),F996&gt;TODAY()),"Verificar evento futuro","OK"))))))</f>
        <v/>
      </c>
    </row>
    <row r="997" spans="9:12">
      <c r="I997" s="5">
        <f>IF(OR(A997="",B997=""),"",B997-WEEKDAY(B997,2)+1)</f>
        <v/>
      </c>
      <c r="J997" s="5">
        <f>IF(I997="","",I997+6)</f>
        <v/>
      </c>
      <c r="K997" s="6">
        <f>IF(OR(A997="",B997=""),"",DATE(YEAR(B997),MONTH(B997),1))</f>
        <v/>
      </c>
      <c r="L997" s="7">
        <f>IF(COUNTA(A997,B997)=0,"",IF(OR(A997="",B997=""),"Preencher CPF e entrada",IF(COUNTIFS($A$12:$A$5011,A997,$B$12:$B$5011,B997)&gt;1,"CPF + dia duplicado",IF(OR(AND(E997&lt;&gt;"",E997&lt;B997),AND(F997&lt;&gt;"",F997&lt;B997)),"Evento anterior à entrada",IF(AND(F997&lt;&gt;"",E997=""),"Conversa sem agendamento",IF(OR(E997&gt;TODAY(),F997&gt;TODAY()),"Verificar evento futuro","OK"))))))</f>
        <v/>
      </c>
    </row>
    <row r="998" spans="9:12">
      <c r="I998" s="5">
        <f>IF(OR(A998="",B998=""),"",B998-WEEKDAY(B998,2)+1)</f>
        <v/>
      </c>
      <c r="J998" s="5">
        <f>IF(I998="","",I998+6)</f>
        <v/>
      </c>
      <c r="K998" s="6">
        <f>IF(OR(A998="",B998=""),"",DATE(YEAR(B998),MONTH(B998),1))</f>
        <v/>
      </c>
      <c r="L998" s="7">
        <f>IF(COUNTA(A998,B998)=0,"",IF(OR(A998="",B998=""),"Preencher CPF e entrada",IF(COUNTIFS($A$12:$A$5011,A998,$B$12:$B$5011,B998)&gt;1,"CPF + dia duplicado",IF(OR(AND(E998&lt;&gt;"",E998&lt;B998),AND(F998&lt;&gt;"",F998&lt;B998)),"Evento anterior à entrada",IF(AND(F998&lt;&gt;"",E998=""),"Conversa sem agendamento",IF(OR(E998&gt;TODAY(),F998&gt;TODAY()),"Verificar evento futuro","OK"))))))</f>
        <v/>
      </c>
    </row>
    <row r="999" spans="9:12">
      <c r="I999" s="5">
        <f>IF(OR(A999="",B999=""),"",B999-WEEKDAY(B999,2)+1)</f>
        <v/>
      </c>
      <c r="J999" s="5">
        <f>IF(I999="","",I999+6)</f>
        <v/>
      </c>
      <c r="K999" s="6">
        <f>IF(OR(A999="",B999=""),"",DATE(YEAR(B999),MONTH(B999),1))</f>
        <v/>
      </c>
      <c r="L999" s="7">
        <f>IF(COUNTA(A999,B999)=0,"",IF(OR(A999="",B999=""),"Preencher CPF e entrada",IF(COUNTIFS($A$12:$A$5011,A999,$B$12:$B$5011,B999)&gt;1,"CPF + dia duplicado",IF(OR(AND(E999&lt;&gt;"",E999&lt;B999),AND(F999&lt;&gt;"",F999&lt;B999)),"Evento anterior à entrada",IF(AND(F999&lt;&gt;"",E999=""),"Conversa sem agendamento",IF(OR(E999&gt;TODAY(),F999&gt;TODAY()),"Verificar evento futuro","OK"))))))</f>
        <v/>
      </c>
    </row>
    <row r="1000" spans="9:12">
      <c r="I1000" s="5">
        <f>IF(OR(A1000="",B1000=""),"",B1000-WEEKDAY(B1000,2)+1)</f>
        <v/>
      </c>
      <c r="J1000" s="5">
        <f>IF(I1000="","",I1000+6)</f>
        <v/>
      </c>
      <c r="K1000" s="6">
        <f>IF(OR(A1000="",B1000=""),"",DATE(YEAR(B1000),MONTH(B1000),1))</f>
        <v/>
      </c>
      <c r="L1000" s="7">
        <f>IF(COUNTA(A1000,B1000)=0,"",IF(OR(A1000="",B1000=""),"Preencher CPF e entrada",IF(COUNTIFS($A$12:$A$5011,A1000,$B$12:$B$5011,B1000)&gt;1,"CPF + dia duplicado",IF(OR(AND(E1000&lt;&gt;"",E1000&lt;B1000),AND(F1000&lt;&gt;"",F1000&lt;B1000)),"Evento anterior à entrada",IF(AND(F1000&lt;&gt;"",E1000=""),"Conversa sem agendamento",IF(OR(E1000&gt;TODAY(),F1000&gt;TODAY()),"Verificar evento futuro","OK"))))))</f>
        <v/>
      </c>
    </row>
    <row r="1001" spans="9:12">
      <c r="I1001" s="5">
        <f>IF(OR(A1001="",B1001=""),"",B1001-WEEKDAY(B1001,2)+1)</f>
        <v/>
      </c>
      <c r="J1001" s="5">
        <f>IF(I1001="","",I1001+6)</f>
        <v/>
      </c>
      <c r="K1001" s="6">
        <f>IF(OR(A1001="",B1001=""),"",DATE(YEAR(B1001),MONTH(B1001),1))</f>
        <v/>
      </c>
      <c r="L1001" s="7">
        <f>IF(COUNTA(A1001,B1001)=0,"",IF(OR(A1001="",B1001=""),"Preencher CPF e entrada",IF(COUNTIFS($A$12:$A$5011,A1001,$B$12:$B$5011,B1001)&gt;1,"CPF + dia duplicado",IF(OR(AND(E1001&lt;&gt;"",E1001&lt;B1001),AND(F1001&lt;&gt;"",F1001&lt;B1001)),"Evento anterior à entrada",IF(AND(F1001&lt;&gt;"",E1001=""),"Conversa sem agendamento",IF(OR(E1001&gt;TODAY(),F1001&gt;TODAY()),"Verificar evento futuro","OK"))))))</f>
        <v/>
      </c>
    </row>
    <row r="1002" spans="9:12">
      <c r="I1002" s="5">
        <f>IF(OR(A1002="",B1002=""),"",B1002-WEEKDAY(B1002,2)+1)</f>
        <v/>
      </c>
      <c r="J1002" s="5">
        <f>IF(I1002="","",I1002+6)</f>
        <v/>
      </c>
      <c r="K1002" s="6">
        <f>IF(OR(A1002="",B1002=""),"",DATE(YEAR(B1002),MONTH(B1002),1))</f>
        <v/>
      </c>
      <c r="L1002" s="7">
        <f>IF(COUNTA(A1002,B1002)=0,"",IF(OR(A1002="",B1002=""),"Preencher CPF e entrada",IF(COUNTIFS($A$12:$A$5011,A1002,$B$12:$B$5011,B1002)&gt;1,"CPF + dia duplicado",IF(OR(AND(E1002&lt;&gt;"",E1002&lt;B1002),AND(F1002&lt;&gt;"",F1002&lt;B1002)),"Evento anterior à entrada",IF(AND(F1002&lt;&gt;"",E1002=""),"Conversa sem agendamento",IF(OR(E1002&gt;TODAY(),F1002&gt;TODAY()),"Verificar evento futuro","OK"))))))</f>
        <v/>
      </c>
    </row>
    <row r="1003" spans="9:12">
      <c r="I1003" s="5">
        <f>IF(OR(A1003="",B1003=""),"",B1003-WEEKDAY(B1003,2)+1)</f>
        <v/>
      </c>
      <c r="J1003" s="5">
        <f>IF(I1003="","",I1003+6)</f>
        <v/>
      </c>
      <c r="K1003" s="6">
        <f>IF(OR(A1003="",B1003=""),"",DATE(YEAR(B1003),MONTH(B1003),1))</f>
        <v/>
      </c>
      <c r="L1003" s="7">
        <f>IF(COUNTA(A1003,B1003)=0,"",IF(OR(A1003="",B1003=""),"Preencher CPF e entrada",IF(COUNTIFS($A$12:$A$5011,A1003,$B$12:$B$5011,B1003)&gt;1,"CPF + dia duplicado",IF(OR(AND(E1003&lt;&gt;"",E1003&lt;B1003),AND(F1003&lt;&gt;"",F1003&lt;B1003)),"Evento anterior à entrada",IF(AND(F1003&lt;&gt;"",E1003=""),"Conversa sem agendamento",IF(OR(E1003&gt;TODAY(),F1003&gt;TODAY()),"Verificar evento futuro","OK"))))))</f>
        <v/>
      </c>
    </row>
    <row r="1004" spans="9:12">
      <c r="I1004" s="5">
        <f>IF(OR(A1004="",B1004=""),"",B1004-WEEKDAY(B1004,2)+1)</f>
        <v/>
      </c>
      <c r="J1004" s="5">
        <f>IF(I1004="","",I1004+6)</f>
        <v/>
      </c>
      <c r="K1004" s="6">
        <f>IF(OR(A1004="",B1004=""),"",DATE(YEAR(B1004),MONTH(B1004),1))</f>
        <v/>
      </c>
      <c r="L1004" s="7">
        <f>IF(COUNTA(A1004,B1004)=0,"",IF(OR(A1004="",B1004=""),"Preencher CPF e entrada",IF(COUNTIFS($A$12:$A$5011,A1004,$B$12:$B$5011,B1004)&gt;1,"CPF + dia duplicado",IF(OR(AND(E1004&lt;&gt;"",E1004&lt;B1004),AND(F1004&lt;&gt;"",F1004&lt;B1004)),"Evento anterior à entrada",IF(AND(F1004&lt;&gt;"",E1004=""),"Conversa sem agendamento",IF(OR(E1004&gt;TODAY(),F1004&gt;TODAY()),"Verificar evento futuro","OK"))))))</f>
        <v/>
      </c>
    </row>
    <row r="1005" spans="9:12">
      <c r="I1005" s="5">
        <f>IF(OR(A1005="",B1005=""),"",B1005-WEEKDAY(B1005,2)+1)</f>
        <v/>
      </c>
      <c r="J1005" s="5">
        <f>IF(I1005="","",I1005+6)</f>
        <v/>
      </c>
      <c r="K1005" s="6">
        <f>IF(OR(A1005="",B1005=""),"",DATE(YEAR(B1005),MONTH(B1005),1))</f>
        <v/>
      </c>
      <c r="L1005" s="7">
        <f>IF(COUNTA(A1005,B1005)=0,"",IF(OR(A1005="",B1005=""),"Preencher CPF e entrada",IF(COUNTIFS($A$12:$A$5011,A1005,$B$12:$B$5011,B1005)&gt;1,"CPF + dia duplicado",IF(OR(AND(E1005&lt;&gt;"",E1005&lt;B1005),AND(F1005&lt;&gt;"",F1005&lt;B1005)),"Evento anterior à entrada",IF(AND(F1005&lt;&gt;"",E1005=""),"Conversa sem agendamento",IF(OR(E1005&gt;TODAY(),F1005&gt;TODAY()),"Verificar evento futuro","OK"))))))</f>
        <v/>
      </c>
    </row>
    <row r="1006" spans="9:12">
      <c r="I1006" s="5">
        <f>IF(OR(A1006="",B1006=""),"",B1006-WEEKDAY(B1006,2)+1)</f>
        <v/>
      </c>
      <c r="J1006" s="5">
        <f>IF(I1006="","",I1006+6)</f>
        <v/>
      </c>
      <c r="K1006" s="6">
        <f>IF(OR(A1006="",B1006=""),"",DATE(YEAR(B1006),MONTH(B1006),1))</f>
        <v/>
      </c>
      <c r="L1006" s="7">
        <f>IF(COUNTA(A1006,B1006)=0,"",IF(OR(A1006="",B1006=""),"Preencher CPF e entrada",IF(COUNTIFS($A$12:$A$5011,A1006,$B$12:$B$5011,B1006)&gt;1,"CPF + dia duplicado",IF(OR(AND(E1006&lt;&gt;"",E1006&lt;B1006),AND(F1006&lt;&gt;"",F1006&lt;B1006)),"Evento anterior à entrada",IF(AND(F1006&lt;&gt;"",E1006=""),"Conversa sem agendamento",IF(OR(E1006&gt;TODAY(),F1006&gt;TODAY()),"Verificar evento futuro","OK"))))))</f>
        <v/>
      </c>
    </row>
    <row r="1007" spans="9:12">
      <c r="I1007" s="5">
        <f>IF(OR(A1007="",B1007=""),"",B1007-WEEKDAY(B1007,2)+1)</f>
        <v/>
      </c>
      <c r="J1007" s="5">
        <f>IF(I1007="","",I1007+6)</f>
        <v/>
      </c>
      <c r="K1007" s="6">
        <f>IF(OR(A1007="",B1007=""),"",DATE(YEAR(B1007),MONTH(B1007),1))</f>
        <v/>
      </c>
      <c r="L1007" s="7">
        <f>IF(COUNTA(A1007,B1007)=0,"",IF(OR(A1007="",B1007=""),"Preencher CPF e entrada",IF(COUNTIFS($A$12:$A$5011,A1007,$B$12:$B$5011,B1007)&gt;1,"CPF + dia duplicado",IF(OR(AND(E1007&lt;&gt;"",E1007&lt;B1007),AND(F1007&lt;&gt;"",F1007&lt;B1007)),"Evento anterior à entrada",IF(AND(F1007&lt;&gt;"",E1007=""),"Conversa sem agendamento",IF(OR(E1007&gt;TODAY(),F1007&gt;TODAY()),"Verificar evento futuro","OK"))))))</f>
        <v/>
      </c>
    </row>
    <row r="1008" spans="9:12">
      <c r="I1008" s="5">
        <f>IF(OR(A1008="",B1008=""),"",B1008-WEEKDAY(B1008,2)+1)</f>
        <v/>
      </c>
      <c r="J1008" s="5">
        <f>IF(I1008="","",I1008+6)</f>
        <v/>
      </c>
      <c r="K1008" s="6">
        <f>IF(OR(A1008="",B1008=""),"",DATE(YEAR(B1008),MONTH(B1008),1))</f>
        <v/>
      </c>
      <c r="L1008" s="7">
        <f>IF(COUNTA(A1008,B1008)=0,"",IF(OR(A1008="",B1008=""),"Preencher CPF e entrada",IF(COUNTIFS($A$12:$A$5011,A1008,$B$12:$B$5011,B1008)&gt;1,"CPF + dia duplicado",IF(OR(AND(E1008&lt;&gt;"",E1008&lt;B1008),AND(F1008&lt;&gt;"",F1008&lt;B1008)),"Evento anterior à entrada",IF(AND(F1008&lt;&gt;"",E1008=""),"Conversa sem agendamento",IF(OR(E1008&gt;TODAY(),F1008&gt;TODAY()),"Verificar evento futuro","OK"))))))</f>
        <v/>
      </c>
    </row>
    <row r="1009" spans="9:12">
      <c r="I1009" s="5">
        <f>IF(OR(A1009="",B1009=""),"",B1009-WEEKDAY(B1009,2)+1)</f>
        <v/>
      </c>
      <c r="J1009" s="5">
        <f>IF(I1009="","",I1009+6)</f>
        <v/>
      </c>
      <c r="K1009" s="6">
        <f>IF(OR(A1009="",B1009=""),"",DATE(YEAR(B1009),MONTH(B1009),1))</f>
        <v/>
      </c>
      <c r="L1009" s="7">
        <f>IF(COUNTA(A1009,B1009)=0,"",IF(OR(A1009="",B1009=""),"Preencher CPF e entrada",IF(COUNTIFS($A$12:$A$5011,A1009,$B$12:$B$5011,B1009)&gt;1,"CPF + dia duplicado",IF(OR(AND(E1009&lt;&gt;"",E1009&lt;B1009),AND(F1009&lt;&gt;"",F1009&lt;B1009)),"Evento anterior à entrada",IF(AND(F1009&lt;&gt;"",E1009=""),"Conversa sem agendamento",IF(OR(E1009&gt;TODAY(),F1009&gt;TODAY()),"Verificar evento futuro","OK"))))))</f>
        <v/>
      </c>
    </row>
    <row r="1010" spans="9:12">
      <c r="I1010" s="5">
        <f>IF(OR(A1010="",B1010=""),"",B1010-WEEKDAY(B1010,2)+1)</f>
        <v/>
      </c>
      <c r="J1010" s="5">
        <f>IF(I1010="","",I1010+6)</f>
        <v/>
      </c>
      <c r="K1010" s="6">
        <f>IF(OR(A1010="",B1010=""),"",DATE(YEAR(B1010),MONTH(B1010),1))</f>
        <v/>
      </c>
      <c r="L1010" s="7">
        <f>IF(COUNTA(A1010,B1010)=0,"",IF(OR(A1010="",B1010=""),"Preencher CPF e entrada",IF(COUNTIFS($A$12:$A$5011,A1010,$B$12:$B$5011,B1010)&gt;1,"CPF + dia duplicado",IF(OR(AND(E1010&lt;&gt;"",E1010&lt;B1010),AND(F1010&lt;&gt;"",F1010&lt;B1010)),"Evento anterior à entrada",IF(AND(F1010&lt;&gt;"",E1010=""),"Conversa sem agendamento",IF(OR(E1010&gt;TODAY(),F1010&gt;TODAY()),"Verificar evento futuro","OK"))))))</f>
        <v/>
      </c>
    </row>
    <row r="1011" spans="9:12">
      <c r="I1011" s="5">
        <f>IF(OR(A1011="",B1011=""),"",B1011-WEEKDAY(B1011,2)+1)</f>
        <v/>
      </c>
      <c r="J1011" s="5">
        <f>IF(I1011="","",I1011+6)</f>
        <v/>
      </c>
      <c r="K1011" s="6">
        <f>IF(OR(A1011="",B1011=""),"",DATE(YEAR(B1011),MONTH(B1011),1))</f>
        <v/>
      </c>
      <c r="L1011" s="7">
        <f>IF(COUNTA(A1011,B1011)=0,"",IF(OR(A1011="",B1011=""),"Preencher CPF e entrada",IF(COUNTIFS($A$12:$A$5011,A1011,$B$12:$B$5011,B1011)&gt;1,"CPF + dia duplicado",IF(OR(AND(E1011&lt;&gt;"",E1011&lt;B1011),AND(F1011&lt;&gt;"",F1011&lt;B1011)),"Evento anterior à entrada",IF(AND(F1011&lt;&gt;"",E1011=""),"Conversa sem agendamento",IF(OR(E1011&gt;TODAY(),F1011&gt;TODAY()),"Verificar evento futuro","OK"))))))</f>
        <v/>
      </c>
    </row>
    <row r="1012" spans="9:12">
      <c r="I1012" s="5">
        <f>IF(OR(A1012="",B1012=""),"",B1012-WEEKDAY(B1012,2)+1)</f>
        <v/>
      </c>
      <c r="J1012" s="5">
        <f>IF(I1012="","",I1012+6)</f>
        <v/>
      </c>
      <c r="K1012" s="6">
        <f>IF(OR(A1012="",B1012=""),"",DATE(YEAR(B1012),MONTH(B1012),1))</f>
        <v/>
      </c>
      <c r="L1012" s="7">
        <f>IF(COUNTA(A1012,B1012)=0,"",IF(OR(A1012="",B1012=""),"Preencher CPF e entrada",IF(COUNTIFS($A$12:$A$5011,A1012,$B$12:$B$5011,B1012)&gt;1,"CPF + dia duplicado",IF(OR(AND(E1012&lt;&gt;"",E1012&lt;B1012),AND(F1012&lt;&gt;"",F1012&lt;B1012)),"Evento anterior à entrada",IF(AND(F1012&lt;&gt;"",E1012=""),"Conversa sem agendamento",IF(OR(E1012&gt;TODAY(),F1012&gt;TODAY()),"Verificar evento futuro","OK"))))))</f>
        <v/>
      </c>
    </row>
    <row r="1013" spans="9:12">
      <c r="I1013" s="5">
        <f>IF(OR(A1013="",B1013=""),"",B1013-WEEKDAY(B1013,2)+1)</f>
        <v/>
      </c>
      <c r="J1013" s="5">
        <f>IF(I1013="","",I1013+6)</f>
        <v/>
      </c>
      <c r="K1013" s="6">
        <f>IF(OR(A1013="",B1013=""),"",DATE(YEAR(B1013),MONTH(B1013),1))</f>
        <v/>
      </c>
      <c r="L1013" s="7">
        <f>IF(COUNTA(A1013,B1013)=0,"",IF(OR(A1013="",B1013=""),"Preencher CPF e entrada",IF(COUNTIFS($A$12:$A$5011,A1013,$B$12:$B$5011,B1013)&gt;1,"CPF + dia duplicado",IF(OR(AND(E1013&lt;&gt;"",E1013&lt;B1013),AND(F1013&lt;&gt;"",F1013&lt;B1013)),"Evento anterior à entrada",IF(AND(F1013&lt;&gt;"",E1013=""),"Conversa sem agendamento",IF(OR(E1013&gt;TODAY(),F1013&gt;TODAY()),"Verificar evento futuro","OK"))))))</f>
        <v/>
      </c>
    </row>
    <row r="1014" spans="9:12">
      <c r="I1014" s="5">
        <f>IF(OR(A1014="",B1014=""),"",B1014-WEEKDAY(B1014,2)+1)</f>
        <v/>
      </c>
      <c r="J1014" s="5">
        <f>IF(I1014="","",I1014+6)</f>
        <v/>
      </c>
      <c r="K1014" s="6">
        <f>IF(OR(A1014="",B1014=""),"",DATE(YEAR(B1014),MONTH(B1014),1))</f>
        <v/>
      </c>
      <c r="L1014" s="7">
        <f>IF(COUNTA(A1014,B1014)=0,"",IF(OR(A1014="",B1014=""),"Preencher CPF e entrada",IF(COUNTIFS($A$12:$A$5011,A1014,$B$12:$B$5011,B1014)&gt;1,"CPF + dia duplicado",IF(OR(AND(E1014&lt;&gt;"",E1014&lt;B1014),AND(F1014&lt;&gt;"",F1014&lt;B1014)),"Evento anterior à entrada",IF(AND(F1014&lt;&gt;"",E1014=""),"Conversa sem agendamento",IF(OR(E1014&gt;TODAY(),F1014&gt;TODAY()),"Verificar evento futuro","OK"))))))</f>
        <v/>
      </c>
    </row>
    <row r="1015" spans="9:12">
      <c r="I1015" s="5">
        <f>IF(OR(A1015="",B1015=""),"",B1015-WEEKDAY(B1015,2)+1)</f>
        <v/>
      </c>
      <c r="J1015" s="5">
        <f>IF(I1015="","",I1015+6)</f>
        <v/>
      </c>
      <c r="K1015" s="6">
        <f>IF(OR(A1015="",B1015=""),"",DATE(YEAR(B1015),MONTH(B1015),1))</f>
        <v/>
      </c>
      <c r="L1015" s="7">
        <f>IF(COUNTA(A1015,B1015)=0,"",IF(OR(A1015="",B1015=""),"Preencher CPF e entrada",IF(COUNTIFS($A$12:$A$5011,A1015,$B$12:$B$5011,B1015)&gt;1,"CPF + dia duplicado",IF(OR(AND(E1015&lt;&gt;"",E1015&lt;B1015),AND(F1015&lt;&gt;"",F1015&lt;B1015)),"Evento anterior à entrada",IF(AND(F1015&lt;&gt;"",E1015=""),"Conversa sem agendamento",IF(OR(E1015&gt;TODAY(),F1015&gt;TODAY()),"Verificar evento futuro","OK"))))))</f>
        <v/>
      </c>
    </row>
    <row r="1016" spans="9:12">
      <c r="I1016" s="5">
        <f>IF(OR(A1016="",B1016=""),"",B1016-WEEKDAY(B1016,2)+1)</f>
        <v/>
      </c>
      <c r="J1016" s="5">
        <f>IF(I1016="","",I1016+6)</f>
        <v/>
      </c>
      <c r="K1016" s="6">
        <f>IF(OR(A1016="",B1016=""),"",DATE(YEAR(B1016),MONTH(B1016),1))</f>
        <v/>
      </c>
      <c r="L1016" s="7">
        <f>IF(COUNTA(A1016,B1016)=0,"",IF(OR(A1016="",B1016=""),"Preencher CPF e entrada",IF(COUNTIFS($A$12:$A$5011,A1016,$B$12:$B$5011,B1016)&gt;1,"CPF + dia duplicado",IF(OR(AND(E1016&lt;&gt;"",E1016&lt;B1016),AND(F1016&lt;&gt;"",F1016&lt;B1016)),"Evento anterior à entrada",IF(AND(F1016&lt;&gt;"",E1016=""),"Conversa sem agendamento",IF(OR(E1016&gt;TODAY(),F1016&gt;TODAY()),"Verificar evento futuro","OK"))))))</f>
        <v/>
      </c>
    </row>
    <row r="1017" spans="9:12">
      <c r="I1017" s="5">
        <f>IF(OR(A1017="",B1017=""),"",B1017-WEEKDAY(B1017,2)+1)</f>
        <v/>
      </c>
      <c r="J1017" s="5">
        <f>IF(I1017="","",I1017+6)</f>
        <v/>
      </c>
      <c r="K1017" s="6">
        <f>IF(OR(A1017="",B1017=""),"",DATE(YEAR(B1017),MONTH(B1017),1))</f>
        <v/>
      </c>
      <c r="L1017" s="7">
        <f>IF(COUNTA(A1017,B1017)=0,"",IF(OR(A1017="",B1017=""),"Preencher CPF e entrada",IF(COUNTIFS($A$12:$A$5011,A1017,$B$12:$B$5011,B1017)&gt;1,"CPF + dia duplicado",IF(OR(AND(E1017&lt;&gt;"",E1017&lt;B1017),AND(F1017&lt;&gt;"",F1017&lt;B1017)),"Evento anterior à entrada",IF(AND(F1017&lt;&gt;"",E1017=""),"Conversa sem agendamento",IF(OR(E1017&gt;TODAY(),F1017&gt;TODAY()),"Verificar evento futuro","OK"))))))</f>
        <v/>
      </c>
    </row>
    <row r="1018" spans="9:12">
      <c r="I1018" s="5">
        <f>IF(OR(A1018="",B1018=""),"",B1018-WEEKDAY(B1018,2)+1)</f>
        <v/>
      </c>
      <c r="J1018" s="5">
        <f>IF(I1018="","",I1018+6)</f>
        <v/>
      </c>
      <c r="K1018" s="6">
        <f>IF(OR(A1018="",B1018=""),"",DATE(YEAR(B1018),MONTH(B1018),1))</f>
        <v/>
      </c>
      <c r="L1018" s="7">
        <f>IF(COUNTA(A1018,B1018)=0,"",IF(OR(A1018="",B1018=""),"Preencher CPF e entrada",IF(COUNTIFS($A$12:$A$5011,A1018,$B$12:$B$5011,B1018)&gt;1,"CPF + dia duplicado",IF(OR(AND(E1018&lt;&gt;"",E1018&lt;B1018),AND(F1018&lt;&gt;"",F1018&lt;B1018)),"Evento anterior à entrada",IF(AND(F1018&lt;&gt;"",E1018=""),"Conversa sem agendamento",IF(OR(E1018&gt;TODAY(),F1018&gt;TODAY()),"Verificar evento futuro","OK"))))))</f>
        <v/>
      </c>
    </row>
    <row r="1019" spans="9:12">
      <c r="I1019" s="5">
        <f>IF(OR(A1019="",B1019=""),"",B1019-WEEKDAY(B1019,2)+1)</f>
        <v/>
      </c>
      <c r="J1019" s="5">
        <f>IF(I1019="","",I1019+6)</f>
        <v/>
      </c>
      <c r="K1019" s="6">
        <f>IF(OR(A1019="",B1019=""),"",DATE(YEAR(B1019),MONTH(B1019),1))</f>
        <v/>
      </c>
      <c r="L1019" s="7">
        <f>IF(COUNTA(A1019,B1019)=0,"",IF(OR(A1019="",B1019=""),"Preencher CPF e entrada",IF(COUNTIFS($A$12:$A$5011,A1019,$B$12:$B$5011,B1019)&gt;1,"CPF + dia duplicado",IF(OR(AND(E1019&lt;&gt;"",E1019&lt;B1019),AND(F1019&lt;&gt;"",F1019&lt;B1019)),"Evento anterior à entrada",IF(AND(F1019&lt;&gt;"",E1019=""),"Conversa sem agendamento",IF(OR(E1019&gt;TODAY(),F1019&gt;TODAY()),"Verificar evento futuro","OK"))))))</f>
        <v/>
      </c>
    </row>
    <row r="1020" spans="9:12">
      <c r="I1020" s="5">
        <f>IF(OR(A1020="",B1020=""),"",B1020-WEEKDAY(B1020,2)+1)</f>
        <v/>
      </c>
      <c r="J1020" s="5">
        <f>IF(I1020="","",I1020+6)</f>
        <v/>
      </c>
      <c r="K1020" s="6">
        <f>IF(OR(A1020="",B1020=""),"",DATE(YEAR(B1020),MONTH(B1020),1))</f>
        <v/>
      </c>
      <c r="L1020" s="7">
        <f>IF(COUNTA(A1020,B1020)=0,"",IF(OR(A1020="",B1020=""),"Preencher CPF e entrada",IF(COUNTIFS($A$12:$A$5011,A1020,$B$12:$B$5011,B1020)&gt;1,"CPF + dia duplicado",IF(OR(AND(E1020&lt;&gt;"",E1020&lt;B1020),AND(F1020&lt;&gt;"",F1020&lt;B1020)),"Evento anterior à entrada",IF(AND(F1020&lt;&gt;"",E1020=""),"Conversa sem agendamento",IF(OR(E1020&gt;TODAY(),F1020&gt;TODAY()),"Verificar evento futuro","OK"))))))</f>
        <v/>
      </c>
    </row>
    <row r="1021" spans="9:12">
      <c r="I1021" s="5">
        <f>IF(OR(A1021="",B1021=""),"",B1021-WEEKDAY(B1021,2)+1)</f>
        <v/>
      </c>
      <c r="J1021" s="5">
        <f>IF(I1021="","",I1021+6)</f>
        <v/>
      </c>
      <c r="K1021" s="6">
        <f>IF(OR(A1021="",B1021=""),"",DATE(YEAR(B1021),MONTH(B1021),1))</f>
        <v/>
      </c>
      <c r="L1021" s="7">
        <f>IF(COUNTA(A1021,B1021)=0,"",IF(OR(A1021="",B1021=""),"Preencher CPF e entrada",IF(COUNTIFS($A$12:$A$5011,A1021,$B$12:$B$5011,B1021)&gt;1,"CPF + dia duplicado",IF(OR(AND(E1021&lt;&gt;"",E1021&lt;B1021),AND(F1021&lt;&gt;"",F1021&lt;B1021)),"Evento anterior à entrada",IF(AND(F1021&lt;&gt;"",E1021=""),"Conversa sem agendamento",IF(OR(E1021&gt;TODAY(),F1021&gt;TODAY()),"Verificar evento futuro","OK"))))))</f>
        <v/>
      </c>
    </row>
    <row r="1022" spans="9:12">
      <c r="I1022" s="5">
        <f>IF(OR(A1022="",B1022=""),"",B1022-WEEKDAY(B1022,2)+1)</f>
        <v/>
      </c>
      <c r="J1022" s="5">
        <f>IF(I1022="","",I1022+6)</f>
        <v/>
      </c>
      <c r="K1022" s="6">
        <f>IF(OR(A1022="",B1022=""),"",DATE(YEAR(B1022),MONTH(B1022),1))</f>
        <v/>
      </c>
      <c r="L1022" s="7">
        <f>IF(COUNTA(A1022,B1022)=0,"",IF(OR(A1022="",B1022=""),"Preencher CPF e entrada",IF(COUNTIFS($A$12:$A$5011,A1022,$B$12:$B$5011,B1022)&gt;1,"CPF + dia duplicado",IF(OR(AND(E1022&lt;&gt;"",E1022&lt;B1022),AND(F1022&lt;&gt;"",F1022&lt;B1022)),"Evento anterior à entrada",IF(AND(F1022&lt;&gt;"",E1022=""),"Conversa sem agendamento",IF(OR(E1022&gt;TODAY(),F1022&gt;TODAY()),"Verificar evento futuro","OK"))))))</f>
        <v/>
      </c>
    </row>
    <row r="1023" spans="9:12">
      <c r="I1023" s="5">
        <f>IF(OR(A1023="",B1023=""),"",B1023-WEEKDAY(B1023,2)+1)</f>
        <v/>
      </c>
      <c r="J1023" s="5">
        <f>IF(I1023="","",I1023+6)</f>
        <v/>
      </c>
      <c r="K1023" s="6">
        <f>IF(OR(A1023="",B1023=""),"",DATE(YEAR(B1023),MONTH(B1023),1))</f>
        <v/>
      </c>
      <c r="L1023" s="7">
        <f>IF(COUNTA(A1023,B1023)=0,"",IF(OR(A1023="",B1023=""),"Preencher CPF e entrada",IF(COUNTIFS($A$12:$A$5011,A1023,$B$12:$B$5011,B1023)&gt;1,"CPF + dia duplicado",IF(OR(AND(E1023&lt;&gt;"",E1023&lt;B1023),AND(F1023&lt;&gt;"",F1023&lt;B1023)),"Evento anterior à entrada",IF(AND(F1023&lt;&gt;"",E1023=""),"Conversa sem agendamento",IF(OR(E1023&gt;TODAY(),F1023&gt;TODAY()),"Verificar evento futuro","OK"))))))</f>
        <v/>
      </c>
    </row>
    <row r="1024" spans="9:12">
      <c r="I1024" s="5">
        <f>IF(OR(A1024="",B1024=""),"",B1024-WEEKDAY(B1024,2)+1)</f>
        <v/>
      </c>
      <c r="J1024" s="5">
        <f>IF(I1024="","",I1024+6)</f>
        <v/>
      </c>
      <c r="K1024" s="6">
        <f>IF(OR(A1024="",B1024=""),"",DATE(YEAR(B1024),MONTH(B1024),1))</f>
        <v/>
      </c>
      <c r="L1024" s="7">
        <f>IF(COUNTA(A1024,B1024)=0,"",IF(OR(A1024="",B1024=""),"Preencher CPF e entrada",IF(COUNTIFS($A$12:$A$5011,A1024,$B$12:$B$5011,B1024)&gt;1,"CPF + dia duplicado",IF(OR(AND(E1024&lt;&gt;"",E1024&lt;B1024),AND(F1024&lt;&gt;"",F1024&lt;B1024)),"Evento anterior à entrada",IF(AND(F1024&lt;&gt;"",E1024=""),"Conversa sem agendamento",IF(OR(E1024&gt;TODAY(),F1024&gt;TODAY()),"Verificar evento futuro","OK"))))))</f>
        <v/>
      </c>
    </row>
    <row r="1025" spans="9:12">
      <c r="I1025" s="5">
        <f>IF(OR(A1025="",B1025=""),"",B1025-WEEKDAY(B1025,2)+1)</f>
        <v/>
      </c>
      <c r="J1025" s="5">
        <f>IF(I1025="","",I1025+6)</f>
        <v/>
      </c>
      <c r="K1025" s="6">
        <f>IF(OR(A1025="",B1025=""),"",DATE(YEAR(B1025),MONTH(B1025),1))</f>
        <v/>
      </c>
      <c r="L1025" s="7">
        <f>IF(COUNTA(A1025,B1025)=0,"",IF(OR(A1025="",B1025=""),"Preencher CPF e entrada",IF(COUNTIFS($A$12:$A$5011,A1025,$B$12:$B$5011,B1025)&gt;1,"CPF + dia duplicado",IF(OR(AND(E1025&lt;&gt;"",E1025&lt;B1025),AND(F1025&lt;&gt;"",F1025&lt;B1025)),"Evento anterior à entrada",IF(AND(F1025&lt;&gt;"",E1025=""),"Conversa sem agendamento",IF(OR(E1025&gt;TODAY(),F1025&gt;TODAY()),"Verificar evento futuro","OK"))))))</f>
        <v/>
      </c>
    </row>
    <row r="1026" spans="9:12">
      <c r="I1026" s="5">
        <f>IF(OR(A1026="",B1026=""),"",B1026-WEEKDAY(B1026,2)+1)</f>
        <v/>
      </c>
      <c r="J1026" s="5">
        <f>IF(I1026="","",I1026+6)</f>
        <v/>
      </c>
      <c r="K1026" s="6">
        <f>IF(OR(A1026="",B1026=""),"",DATE(YEAR(B1026),MONTH(B1026),1))</f>
        <v/>
      </c>
      <c r="L1026" s="7">
        <f>IF(COUNTA(A1026,B1026)=0,"",IF(OR(A1026="",B1026=""),"Preencher CPF e entrada",IF(COUNTIFS($A$12:$A$5011,A1026,$B$12:$B$5011,B1026)&gt;1,"CPF + dia duplicado",IF(OR(AND(E1026&lt;&gt;"",E1026&lt;B1026),AND(F1026&lt;&gt;"",F1026&lt;B1026)),"Evento anterior à entrada",IF(AND(F1026&lt;&gt;"",E1026=""),"Conversa sem agendamento",IF(OR(E1026&gt;TODAY(),F1026&gt;TODAY()),"Verificar evento futuro","OK"))))))</f>
        <v/>
      </c>
    </row>
    <row r="1027" spans="9:12">
      <c r="I1027" s="5">
        <f>IF(OR(A1027="",B1027=""),"",B1027-WEEKDAY(B1027,2)+1)</f>
        <v/>
      </c>
      <c r="J1027" s="5">
        <f>IF(I1027="","",I1027+6)</f>
        <v/>
      </c>
      <c r="K1027" s="6">
        <f>IF(OR(A1027="",B1027=""),"",DATE(YEAR(B1027),MONTH(B1027),1))</f>
        <v/>
      </c>
      <c r="L1027" s="7">
        <f>IF(COUNTA(A1027,B1027)=0,"",IF(OR(A1027="",B1027=""),"Preencher CPF e entrada",IF(COUNTIFS($A$12:$A$5011,A1027,$B$12:$B$5011,B1027)&gt;1,"CPF + dia duplicado",IF(OR(AND(E1027&lt;&gt;"",E1027&lt;B1027),AND(F1027&lt;&gt;"",F1027&lt;B1027)),"Evento anterior à entrada",IF(AND(F1027&lt;&gt;"",E1027=""),"Conversa sem agendamento",IF(OR(E1027&gt;TODAY(),F1027&gt;TODAY()),"Verificar evento futuro","OK"))))))</f>
        <v/>
      </c>
    </row>
    <row r="1028" spans="9:12">
      <c r="I1028" s="5">
        <f>IF(OR(A1028="",B1028=""),"",B1028-WEEKDAY(B1028,2)+1)</f>
        <v/>
      </c>
      <c r="J1028" s="5">
        <f>IF(I1028="","",I1028+6)</f>
        <v/>
      </c>
      <c r="K1028" s="6">
        <f>IF(OR(A1028="",B1028=""),"",DATE(YEAR(B1028),MONTH(B1028),1))</f>
        <v/>
      </c>
      <c r="L1028" s="7">
        <f>IF(COUNTA(A1028,B1028)=0,"",IF(OR(A1028="",B1028=""),"Preencher CPF e entrada",IF(COUNTIFS($A$12:$A$5011,A1028,$B$12:$B$5011,B1028)&gt;1,"CPF + dia duplicado",IF(OR(AND(E1028&lt;&gt;"",E1028&lt;B1028),AND(F1028&lt;&gt;"",F1028&lt;B1028)),"Evento anterior à entrada",IF(AND(F1028&lt;&gt;"",E1028=""),"Conversa sem agendamento",IF(OR(E1028&gt;TODAY(),F1028&gt;TODAY()),"Verificar evento futuro","OK"))))))</f>
        <v/>
      </c>
    </row>
    <row r="1029" spans="9:12">
      <c r="I1029" s="5">
        <f>IF(OR(A1029="",B1029=""),"",B1029-WEEKDAY(B1029,2)+1)</f>
        <v/>
      </c>
      <c r="J1029" s="5">
        <f>IF(I1029="","",I1029+6)</f>
        <v/>
      </c>
      <c r="K1029" s="6">
        <f>IF(OR(A1029="",B1029=""),"",DATE(YEAR(B1029),MONTH(B1029),1))</f>
        <v/>
      </c>
      <c r="L1029" s="7">
        <f>IF(COUNTA(A1029,B1029)=0,"",IF(OR(A1029="",B1029=""),"Preencher CPF e entrada",IF(COUNTIFS($A$12:$A$5011,A1029,$B$12:$B$5011,B1029)&gt;1,"CPF + dia duplicado",IF(OR(AND(E1029&lt;&gt;"",E1029&lt;B1029),AND(F1029&lt;&gt;"",F1029&lt;B1029)),"Evento anterior à entrada",IF(AND(F1029&lt;&gt;"",E1029=""),"Conversa sem agendamento",IF(OR(E1029&gt;TODAY(),F1029&gt;TODAY()),"Verificar evento futuro","OK"))))))</f>
        <v/>
      </c>
    </row>
    <row r="1030" spans="9:12">
      <c r="I1030" s="5">
        <f>IF(OR(A1030="",B1030=""),"",B1030-WEEKDAY(B1030,2)+1)</f>
        <v/>
      </c>
      <c r="J1030" s="5">
        <f>IF(I1030="","",I1030+6)</f>
        <v/>
      </c>
      <c r="K1030" s="6">
        <f>IF(OR(A1030="",B1030=""),"",DATE(YEAR(B1030),MONTH(B1030),1))</f>
        <v/>
      </c>
      <c r="L1030" s="7">
        <f>IF(COUNTA(A1030,B1030)=0,"",IF(OR(A1030="",B1030=""),"Preencher CPF e entrada",IF(COUNTIFS($A$12:$A$5011,A1030,$B$12:$B$5011,B1030)&gt;1,"CPF + dia duplicado",IF(OR(AND(E1030&lt;&gt;"",E1030&lt;B1030),AND(F1030&lt;&gt;"",F1030&lt;B1030)),"Evento anterior à entrada",IF(AND(F1030&lt;&gt;"",E1030=""),"Conversa sem agendamento",IF(OR(E1030&gt;TODAY(),F1030&gt;TODAY()),"Verificar evento futuro","OK"))))))</f>
        <v/>
      </c>
    </row>
    <row r="1031" spans="9:12">
      <c r="I1031" s="5">
        <f>IF(OR(A1031="",B1031=""),"",B1031-WEEKDAY(B1031,2)+1)</f>
        <v/>
      </c>
      <c r="J1031" s="5">
        <f>IF(I1031="","",I1031+6)</f>
        <v/>
      </c>
      <c r="K1031" s="6">
        <f>IF(OR(A1031="",B1031=""),"",DATE(YEAR(B1031),MONTH(B1031),1))</f>
        <v/>
      </c>
      <c r="L1031" s="7">
        <f>IF(COUNTA(A1031,B1031)=0,"",IF(OR(A1031="",B1031=""),"Preencher CPF e entrada",IF(COUNTIFS($A$12:$A$5011,A1031,$B$12:$B$5011,B1031)&gt;1,"CPF + dia duplicado",IF(OR(AND(E1031&lt;&gt;"",E1031&lt;B1031),AND(F1031&lt;&gt;"",F1031&lt;B1031)),"Evento anterior à entrada",IF(AND(F1031&lt;&gt;"",E1031=""),"Conversa sem agendamento",IF(OR(E1031&gt;TODAY(),F1031&gt;TODAY()),"Verificar evento futuro","OK"))))))</f>
        <v/>
      </c>
    </row>
    <row r="1032" spans="9:12">
      <c r="I1032" s="5">
        <f>IF(OR(A1032="",B1032=""),"",B1032-WEEKDAY(B1032,2)+1)</f>
        <v/>
      </c>
      <c r="J1032" s="5">
        <f>IF(I1032="","",I1032+6)</f>
        <v/>
      </c>
      <c r="K1032" s="6">
        <f>IF(OR(A1032="",B1032=""),"",DATE(YEAR(B1032),MONTH(B1032),1))</f>
        <v/>
      </c>
      <c r="L1032" s="7">
        <f>IF(COUNTA(A1032,B1032)=0,"",IF(OR(A1032="",B1032=""),"Preencher CPF e entrada",IF(COUNTIFS($A$12:$A$5011,A1032,$B$12:$B$5011,B1032)&gt;1,"CPF + dia duplicado",IF(OR(AND(E1032&lt;&gt;"",E1032&lt;B1032),AND(F1032&lt;&gt;"",F1032&lt;B1032)),"Evento anterior à entrada",IF(AND(F1032&lt;&gt;"",E1032=""),"Conversa sem agendamento",IF(OR(E1032&gt;TODAY(),F1032&gt;TODAY()),"Verificar evento futuro","OK"))))))</f>
        <v/>
      </c>
    </row>
    <row r="1033" spans="9:12">
      <c r="I1033" s="5">
        <f>IF(OR(A1033="",B1033=""),"",B1033-WEEKDAY(B1033,2)+1)</f>
        <v/>
      </c>
      <c r="J1033" s="5">
        <f>IF(I1033="","",I1033+6)</f>
        <v/>
      </c>
      <c r="K1033" s="6">
        <f>IF(OR(A1033="",B1033=""),"",DATE(YEAR(B1033),MONTH(B1033),1))</f>
        <v/>
      </c>
      <c r="L1033" s="7">
        <f>IF(COUNTA(A1033,B1033)=0,"",IF(OR(A1033="",B1033=""),"Preencher CPF e entrada",IF(COUNTIFS($A$12:$A$5011,A1033,$B$12:$B$5011,B1033)&gt;1,"CPF + dia duplicado",IF(OR(AND(E1033&lt;&gt;"",E1033&lt;B1033),AND(F1033&lt;&gt;"",F1033&lt;B1033)),"Evento anterior à entrada",IF(AND(F1033&lt;&gt;"",E1033=""),"Conversa sem agendamento",IF(OR(E1033&gt;TODAY(),F1033&gt;TODAY()),"Verificar evento futuro","OK"))))))</f>
        <v/>
      </c>
    </row>
    <row r="1034" spans="9:12">
      <c r="I1034" s="5">
        <f>IF(OR(A1034="",B1034=""),"",B1034-WEEKDAY(B1034,2)+1)</f>
        <v/>
      </c>
      <c r="J1034" s="5">
        <f>IF(I1034="","",I1034+6)</f>
        <v/>
      </c>
      <c r="K1034" s="6">
        <f>IF(OR(A1034="",B1034=""),"",DATE(YEAR(B1034),MONTH(B1034),1))</f>
        <v/>
      </c>
      <c r="L1034" s="7">
        <f>IF(COUNTA(A1034,B1034)=0,"",IF(OR(A1034="",B1034=""),"Preencher CPF e entrada",IF(COUNTIFS($A$12:$A$5011,A1034,$B$12:$B$5011,B1034)&gt;1,"CPF + dia duplicado",IF(OR(AND(E1034&lt;&gt;"",E1034&lt;B1034),AND(F1034&lt;&gt;"",F1034&lt;B1034)),"Evento anterior à entrada",IF(AND(F1034&lt;&gt;"",E1034=""),"Conversa sem agendamento",IF(OR(E1034&gt;TODAY(),F1034&gt;TODAY()),"Verificar evento futuro","OK"))))))</f>
        <v/>
      </c>
    </row>
    <row r="1035" spans="9:12">
      <c r="I1035" s="5">
        <f>IF(OR(A1035="",B1035=""),"",B1035-WEEKDAY(B1035,2)+1)</f>
        <v/>
      </c>
      <c r="J1035" s="5">
        <f>IF(I1035="","",I1035+6)</f>
        <v/>
      </c>
      <c r="K1035" s="6">
        <f>IF(OR(A1035="",B1035=""),"",DATE(YEAR(B1035),MONTH(B1035),1))</f>
        <v/>
      </c>
      <c r="L1035" s="7">
        <f>IF(COUNTA(A1035,B1035)=0,"",IF(OR(A1035="",B1035=""),"Preencher CPF e entrada",IF(COUNTIFS($A$12:$A$5011,A1035,$B$12:$B$5011,B1035)&gt;1,"CPF + dia duplicado",IF(OR(AND(E1035&lt;&gt;"",E1035&lt;B1035),AND(F1035&lt;&gt;"",F1035&lt;B1035)),"Evento anterior à entrada",IF(AND(F1035&lt;&gt;"",E1035=""),"Conversa sem agendamento",IF(OR(E1035&gt;TODAY(),F1035&gt;TODAY()),"Verificar evento futuro","OK"))))))</f>
        <v/>
      </c>
    </row>
    <row r="1036" spans="9:12">
      <c r="I1036" s="5">
        <f>IF(OR(A1036="",B1036=""),"",B1036-WEEKDAY(B1036,2)+1)</f>
        <v/>
      </c>
      <c r="J1036" s="5">
        <f>IF(I1036="","",I1036+6)</f>
        <v/>
      </c>
      <c r="K1036" s="6">
        <f>IF(OR(A1036="",B1036=""),"",DATE(YEAR(B1036),MONTH(B1036),1))</f>
        <v/>
      </c>
      <c r="L1036" s="7">
        <f>IF(COUNTA(A1036,B1036)=0,"",IF(OR(A1036="",B1036=""),"Preencher CPF e entrada",IF(COUNTIFS($A$12:$A$5011,A1036,$B$12:$B$5011,B1036)&gt;1,"CPF + dia duplicado",IF(OR(AND(E1036&lt;&gt;"",E1036&lt;B1036),AND(F1036&lt;&gt;"",F1036&lt;B1036)),"Evento anterior à entrada",IF(AND(F1036&lt;&gt;"",E1036=""),"Conversa sem agendamento",IF(OR(E1036&gt;TODAY(),F1036&gt;TODAY()),"Verificar evento futuro","OK"))))))</f>
        <v/>
      </c>
    </row>
    <row r="1037" spans="9:12">
      <c r="I1037" s="5">
        <f>IF(OR(A1037="",B1037=""),"",B1037-WEEKDAY(B1037,2)+1)</f>
        <v/>
      </c>
      <c r="J1037" s="5">
        <f>IF(I1037="","",I1037+6)</f>
        <v/>
      </c>
      <c r="K1037" s="6">
        <f>IF(OR(A1037="",B1037=""),"",DATE(YEAR(B1037),MONTH(B1037),1))</f>
        <v/>
      </c>
      <c r="L1037" s="7">
        <f>IF(COUNTA(A1037,B1037)=0,"",IF(OR(A1037="",B1037=""),"Preencher CPF e entrada",IF(COUNTIFS($A$12:$A$5011,A1037,$B$12:$B$5011,B1037)&gt;1,"CPF + dia duplicado",IF(OR(AND(E1037&lt;&gt;"",E1037&lt;B1037),AND(F1037&lt;&gt;"",F1037&lt;B1037)),"Evento anterior à entrada",IF(AND(F1037&lt;&gt;"",E1037=""),"Conversa sem agendamento",IF(OR(E1037&gt;TODAY(),F1037&gt;TODAY()),"Verificar evento futuro","OK"))))))</f>
        <v/>
      </c>
    </row>
    <row r="1038" spans="9:12">
      <c r="I1038" s="5">
        <f>IF(OR(A1038="",B1038=""),"",B1038-WEEKDAY(B1038,2)+1)</f>
        <v/>
      </c>
      <c r="J1038" s="5">
        <f>IF(I1038="","",I1038+6)</f>
        <v/>
      </c>
      <c r="K1038" s="6">
        <f>IF(OR(A1038="",B1038=""),"",DATE(YEAR(B1038),MONTH(B1038),1))</f>
        <v/>
      </c>
      <c r="L1038" s="7">
        <f>IF(COUNTA(A1038,B1038)=0,"",IF(OR(A1038="",B1038=""),"Preencher CPF e entrada",IF(COUNTIFS($A$12:$A$5011,A1038,$B$12:$B$5011,B1038)&gt;1,"CPF + dia duplicado",IF(OR(AND(E1038&lt;&gt;"",E1038&lt;B1038),AND(F1038&lt;&gt;"",F1038&lt;B1038)),"Evento anterior à entrada",IF(AND(F1038&lt;&gt;"",E1038=""),"Conversa sem agendamento",IF(OR(E1038&gt;TODAY(),F1038&gt;TODAY()),"Verificar evento futuro","OK"))))))</f>
        <v/>
      </c>
    </row>
    <row r="1039" spans="9:12">
      <c r="I1039" s="5">
        <f>IF(OR(A1039="",B1039=""),"",B1039-WEEKDAY(B1039,2)+1)</f>
        <v/>
      </c>
      <c r="J1039" s="5">
        <f>IF(I1039="","",I1039+6)</f>
        <v/>
      </c>
      <c r="K1039" s="6">
        <f>IF(OR(A1039="",B1039=""),"",DATE(YEAR(B1039),MONTH(B1039),1))</f>
        <v/>
      </c>
      <c r="L1039" s="7">
        <f>IF(COUNTA(A1039,B1039)=0,"",IF(OR(A1039="",B1039=""),"Preencher CPF e entrada",IF(COUNTIFS($A$12:$A$5011,A1039,$B$12:$B$5011,B1039)&gt;1,"CPF + dia duplicado",IF(OR(AND(E1039&lt;&gt;"",E1039&lt;B1039),AND(F1039&lt;&gt;"",F1039&lt;B1039)),"Evento anterior à entrada",IF(AND(F1039&lt;&gt;"",E1039=""),"Conversa sem agendamento",IF(OR(E1039&gt;TODAY(),F1039&gt;TODAY()),"Verificar evento futuro","OK"))))))</f>
        <v/>
      </c>
    </row>
    <row r="1040" spans="9:12">
      <c r="I1040" s="5">
        <f>IF(OR(A1040="",B1040=""),"",B1040-WEEKDAY(B1040,2)+1)</f>
        <v/>
      </c>
      <c r="J1040" s="5">
        <f>IF(I1040="","",I1040+6)</f>
        <v/>
      </c>
      <c r="K1040" s="6">
        <f>IF(OR(A1040="",B1040=""),"",DATE(YEAR(B1040),MONTH(B1040),1))</f>
        <v/>
      </c>
      <c r="L1040" s="7">
        <f>IF(COUNTA(A1040,B1040)=0,"",IF(OR(A1040="",B1040=""),"Preencher CPF e entrada",IF(COUNTIFS($A$12:$A$5011,A1040,$B$12:$B$5011,B1040)&gt;1,"CPF + dia duplicado",IF(OR(AND(E1040&lt;&gt;"",E1040&lt;B1040),AND(F1040&lt;&gt;"",F1040&lt;B1040)),"Evento anterior à entrada",IF(AND(F1040&lt;&gt;"",E1040=""),"Conversa sem agendamento",IF(OR(E1040&gt;TODAY(),F1040&gt;TODAY()),"Verificar evento futuro","OK"))))))</f>
        <v/>
      </c>
    </row>
    <row r="1041" spans="9:12">
      <c r="I1041" s="5">
        <f>IF(OR(A1041="",B1041=""),"",B1041-WEEKDAY(B1041,2)+1)</f>
        <v/>
      </c>
      <c r="J1041" s="5">
        <f>IF(I1041="","",I1041+6)</f>
        <v/>
      </c>
      <c r="K1041" s="6">
        <f>IF(OR(A1041="",B1041=""),"",DATE(YEAR(B1041),MONTH(B1041),1))</f>
        <v/>
      </c>
      <c r="L1041" s="7">
        <f>IF(COUNTA(A1041,B1041)=0,"",IF(OR(A1041="",B1041=""),"Preencher CPF e entrada",IF(COUNTIFS($A$12:$A$5011,A1041,$B$12:$B$5011,B1041)&gt;1,"CPF + dia duplicado",IF(OR(AND(E1041&lt;&gt;"",E1041&lt;B1041),AND(F1041&lt;&gt;"",F1041&lt;B1041)),"Evento anterior à entrada",IF(AND(F1041&lt;&gt;"",E1041=""),"Conversa sem agendamento",IF(OR(E1041&gt;TODAY(),F1041&gt;TODAY()),"Verificar evento futuro","OK"))))))</f>
        <v/>
      </c>
    </row>
    <row r="1042" spans="9:12">
      <c r="I1042" s="5">
        <f>IF(OR(A1042="",B1042=""),"",B1042-WEEKDAY(B1042,2)+1)</f>
        <v/>
      </c>
      <c r="J1042" s="5">
        <f>IF(I1042="","",I1042+6)</f>
        <v/>
      </c>
      <c r="K1042" s="6">
        <f>IF(OR(A1042="",B1042=""),"",DATE(YEAR(B1042),MONTH(B1042),1))</f>
        <v/>
      </c>
      <c r="L1042" s="7">
        <f>IF(COUNTA(A1042,B1042)=0,"",IF(OR(A1042="",B1042=""),"Preencher CPF e entrada",IF(COUNTIFS($A$12:$A$5011,A1042,$B$12:$B$5011,B1042)&gt;1,"CPF + dia duplicado",IF(OR(AND(E1042&lt;&gt;"",E1042&lt;B1042),AND(F1042&lt;&gt;"",F1042&lt;B1042)),"Evento anterior à entrada",IF(AND(F1042&lt;&gt;"",E1042=""),"Conversa sem agendamento",IF(OR(E1042&gt;TODAY(),F1042&gt;TODAY()),"Verificar evento futuro","OK"))))))</f>
        <v/>
      </c>
    </row>
    <row r="1043" spans="9:12">
      <c r="I1043" s="5">
        <f>IF(OR(A1043="",B1043=""),"",B1043-WEEKDAY(B1043,2)+1)</f>
        <v/>
      </c>
      <c r="J1043" s="5">
        <f>IF(I1043="","",I1043+6)</f>
        <v/>
      </c>
      <c r="K1043" s="6">
        <f>IF(OR(A1043="",B1043=""),"",DATE(YEAR(B1043),MONTH(B1043),1))</f>
        <v/>
      </c>
      <c r="L1043" s="7">
        <f>IF(COUNTA(A1043,B1043)=0,"",IF(OR(A1043="",B1043=""),"Preencher CPF e entrada",IF(COUNTIFS($A$12:$A$5011,A1043,$B$12:$B$5011,B1043)&gt;1,"CPF + dia duplicado",IF(OR(AND(E1043&lt;&gt;"",E1043&lt;B1043),AND(F1043&lt;&gt;"",F1043&lt;B1043)),"Evento anterior à entrada",IF(AND(F1043&lt;&gt;"",E1043=""),"Conversa sem agendamento",IF(OR(E1043&gt;TODAY(),F1043&gt;TODAY()),"Verificar evento futuro","OK"))))))</f>
        <v/>
      </c>
    </row>
    <row r="1044" spans="9:12">
      <c r="I1044" s="5">
        <f>IF(OR(A1044="",B1044=""),"",B1044-WEEKDAY(B1044,2)+1)</f>
        <v/>
      </c>
      <c r="J1044" s="5">
        <f>IF(I1044="","",I1044+6)</f>
        <v/>
      </c>
      <c r="K1044" s="6">
        <f>IF(OR(A1044="",B1044=""),"",DATE(YEAR(B1044),MONTH(B1044),1))</f>
        <v/>
      </c>
      <c r="L1044" s="7">
        <f>IF(COUNTA(A1044,B1044)=0,"",IF(OR(A1044="",B1044=""),"Preencher CPF e entrada",IF(COUNTIFS($A$12:$A$5011,A1044,$B$12:$B$5011,B1044)&gt;1,"CPF + dia duplicado",IF(OR(AND(E1044&lt;&gt;"",E1044&lt;B1044),AND(F1044&lt;&gt;"",F1044&lt;B1044)),"Evento anterior à entrada",IF(AND(F1044&lt;&gt;"",E1044=""),"Conversa sem agendamento",IF(OR(E1044&gt;TODAY(),F1044&gt;TODAY()),"Verificar evento futuro","OK"))))))</f>
        <v/>
      </c>
    </row>
    <row r="1045" spans="9:12">
      <c r="I1045" s="5">
        <f>IF(OR(A1045="",B1045=""),"",B1045-WEEKDAY(B1045,2)+1)</f>
        <v/>
      </c>
      <c r="J1045" s="5">
        <f>IF(I1045="","",I1045+6)</f>
        <v/>
      </c>
      <c r="K1045" s="6">
        <f>IF(OR(A1045="",B1045=""),"",DATE(YEAR(B1045),MONTH(B1045),1))</f>
        <v/>
      </c>
      <c r="L1045" s="7">
        <f>IF(COUNTA(A1045,B1045)=0,"",IF(OR(A1045="",B1045=""),"Preencher CPF e entrada",IF(COUNTIFS($A$12:$A$5011,A1045,$B$12:$B$5011,B1045)&gt;1,"CPF + dia duplicado",IF(OR(AND(E1045&lt;&gt;"",E1045&lt;B1045),AND(F1045&lt;&gt;"",F1045&lt;B1045)),"Evento anterior à entrada",IF(AND(F1045&lt;&gt;"",E1045=""),"Conversa sem agendamento",IF(OR(E1045&gt;TODAY(),F1045&gt;TODAY()),"Verificar evento futuro","OK"))))))</f>
        <v/>
      </c>
    </row>
    <row r="1046" spans="9:12">
      <c r="I1046" s="5">
        <f>IF(OR(A1046="",B1046=""),"",B1046-WEEKDAY(B1046,2)+1)</f>
        <v/>
      </c>
      <c r="J1046" s="5">
        <f>IF(I1046="","",I1046+6)</f>
        <v/>
      </c>
      <c r="K1046" s="6">
        <f>IF(OR(A1046="",B1046=""),"",DATE(YEAR(B1046),MONTH(B1046),1))</f>
        <v/>
      </c>
      <c r="L1046" s="7">
        <f>IF(COUNTA(A1046,B1046)=0,"",IF(OR(A1046="",B1046=""),"Preencher CPF e entrada",IF(COUNTIFS($A$12:$A$5011,A1046,$B$12:$B$5011,B1046)&gt;1,"CPF + dia duplicado",IF(OR(AND(E1046&lt;&gt;"",E1046&lt;B1046),AND(F1046&lt;&gt;"",F1046&lt;B1046)),"Evento anterior à entrada",IF(AND(F1046&lt;&gt;"",E1046=""),"Conversa sem agendamento",IF(OR(E1046&gt;TODAY(),F1046&gt;TODAY()),"Verificar evento futuro","OK"))))))</f>
        <v/>
      </c>
    </row>
    <row r="1047" spans="9:12">
      <c r="I1047" s="5">
        <f>IF(OR(A1047="",B1047=""),"",B1047-WEEKDAY(B1047,2)+1)</f>
        <v/>
      </c>
      <c r="J1047" s="5">
        <f>IF(I1047="","",I1047+6)</f>
        <v/>
      </c>
      <c r="K1047" s="6">
        <f>IF(OR(A1047="",B1047=""),"",DATE(YEAR(B1047),MONTH(B1047),1))</f>
        <v/>
      </c>
      <c r="L1047" s="7">
        <f>IF(COUNTA(A1047,B1047)=0,"",IF(OR(A1047="",B1047=""),"Preencher CPF e entrada",IF(COUNTIFS($A$12:$A$5011,A1047,$B$12:$B$5011,B1047)&gt;1,"CPF + dia duplicado",IF(OR(AND(E1047&lt;&gt;"",E1047&lt;B1047),AND(F1047&lt;&gt;"",F1047&lt;B1047)),"Evento anterior à entrada",IF(AND(F1047&lt;&gt;"",E1047=""),"Conversa sem agendamento",IF(OR(E1047&gt;TODAY(),F1047&gt;TODAY()),"Verificar evento futuro","OK"))))))</f>
        <v/>
      </c>
    </row>
    <row r="1048" spans="9:12">
      <c r="I1048" s="5">
        <f>IF(OR(A1048="",B1048=""),"",B1048-WEEKDAY(B1048,2)+1)</f>
        <v/>
      </c>
      <c r="J1048" s="5">
        <f>IF(I1048="","",I1048+6)</f>
        <v/>
      </c>
      <c r="K1048" s="6">
        <f>IF(OR(A1048="",B1048=""),"",DATE(YEAR(B1048),MONTH(B1048),1))</f>
        <v/>
      </c>
      <c r="L1048" s="7">
        <f>IF(COUNTA(A1048,B1048)=0,"",IF(OR(A1048="",B1048=""),"Preencher CPF e entrada",IF(COUNTIFS($A$12:$A$5011,A1048,$B$12:$B$5011,B1048)&gt;1,"CPF + dia duplicado",IF(OR(AND(E1048&lt;&gt;"",E1048&lt;B1048),AND(F1048&lt;&gt;"",F1048&lt;B1048)),"Evento anterior à entrada",IF(AND(F1048&lt;&gt;"",E1048=""),"Conversa sem agendamento",IF(OR(E1048&gt;TODAY(),F1048&gt;TODAY()),"Verificar evento futuro","OK"))))))</f>
        <v/>
      </c>
    </row>
    <row r="1049" spans="9:12">
      <c r="I1049" s="5">
        <f>IF(OR(A1049="",B1049=""),"",B1049-WEEKDAY(B1049,2)+1)</f>
        <v/>
      </c>
      <c r="J1049" s="5">
        <f>IF(I1049="","",I1049+6)</f>
        <v/>
      </c>
      <c r="K1049" s="6">
        <f>IF(OR(A1049="",B1049=""),"",DATE(YEAR(B1049),MONTH(B1049),1))</f>
        <v/>
      </c>
      <c r="L1049" s="7">
        <f>IF(COUNTA(A1049,B1049)=0,"",IF(OR(A1049="",B1049=""),"Preencher CPF e entrada",IF(COUNTIFS($A$12:$A$5011,A1049,$B$12:$B$5011,B1049)&gt;1,"CPF + dia duplicado",IF(OR(AND(E1049&lt;&gt;"",E1049&lt;B1049),AND(F1049&lt;&gt;"",F1049&lt;B1049)),"Evento anterior à entrada",IF(AND(F1049&lt;&gt;"",E1049=""),"Conversa sem agendamento",IF(OR(E1049&gt;TODAY(),F1049&gt;TODAY()),"Verificar evento futuro","OK"))))))</f>
        <v/>
      </c>
    </row>
    <row r="1050" spans="9:12">
      <c r="I1050" s="5">
        <f>IF(OR(A1050="",B1050=""),"",B1050-WEEKDAY(B1050,2)+1)</f>
        <v/>
      </c>
      <c r="J1050" s="5">
        <f>IF(I1050="","",I1050+6)</f>
        <v/>
      </c>
      <c r="K1050" s="6">
        <f>IF(OR(A1050="",B1050=""),"",DATE(YEAR(B1050),MONTH(B1050),1))</f>
        <v/>
      </c>
      <c r="L1050" s="7">
        <f>IF(COUNTA(A1050,B1050)=0,"",IF(OR(A1050="",B1050=""),"Preencher CPF e entrada",IF(COUNTIFS($A$12:$A$5011,A1050,$B$12:$B$5011,B1050)&gt;1,"CPF + dia duplicado",IF(OR(AND(E1050&lt;&gt;"",E1050&lt;B1050),AND(F1050&lt;&gt;"",F1050&lt;B1050)),"Evento anterior à entrada",IF(AND(F1050&lt;&gt;"",E1050=""),"Conversa sem agendamento",IF(OR(E1050&gt;TODAY(),F1050&gt;TODAY()),"Verificar evento futuro","OK"))))))</f>
        <v/>
      </c>
    </row>
    <row r="1051" spans="9:12">
      <c r="I1051" s="5">
        <f>IF(OR(A1051="",B1051=""),"",B1051-WEEKDAY(B1051,2)+1)</f>
        <v/>
      </c>
      <c r="J1051" s="5">
        <f>IF(I1051="","",I1051+6)</f>
        <v/>
      </c>
      <c r="K1051" s="6">
        <f>IF(OR(A1051="",B1051=""),"",DATE(YEAR(B1051),MONTH(B1051),1))</f>
        <v/>
      </c>
      <c r="L1051" s="7">
        <f>IF(COUNTA(A1051,B1051)=0,"",IF(OR(A1051="",B1051=""),"Preencher CPF e entrada",IF(COUNTIFS($A$12:$A$5011,A1051,$B$12:$B$5011,B1051)&gt;1,"CPF + dia duplicado",IF(OR(AND(E1051&lt;&gt;"",E1051&lt;B1051),AND(F1051&lt;&gt;"",F1051&lt;B1051)),"Evento anterior à entrada",IF(AND(F1051&lt;&gt;"",E1051=""),"Conversa sem agendamento",IF(OR(E1051&gt;TODAY(),F1051&gt;TODAY()),"Verificar evento futuro","OK"))))))</f>
        <v/>
      </c>
    </row>
    <row r="1052" spans="9:12">
      <c r="I1052" s="5">
        <f>IF(OR(A1052="",B1052=""),"",B1052-WEEKDAY(B1052,2)+1)</f>
        <v/>
      </c>
      <c r="J1052" s="5">
        <f>IF(I1052="","",I1052+6)</f>
        <v/>
      </c>
      <c r="K1052" s="6">
        <f>IF(OR(A1052="",B1052=""),"",DATE(YEAR(B1052),MONTH(B1052),1))</f>
        <v/>
      </c>
      <c r="L1052" s="7">
        <f>IF(COUNTA(A1052,B1052)=0,"",IF(OR(A1052="",B1052=""),"Preencher CPF e entrada",IF(COUNTIFS($A$12:$A$5011,A1052,$B$12:$B$5011,B1052)&gt;1,"CPF + dia duplicado",IF(OR(AND(E1052&lt;&gt;"",E1052&lt;B1052),AND(F1052&lt;&gt;"",F1052&lt;B1052)),"Evento anterior à entrada",IF(AND(F1052&lt;&gt;"",E1052=""),"Conversa sem agendamento",IF(OR(E1052&gt;TODAY(),F1052&gt;TODAY()),"Verificar evento futuro","OK"))))))</f>
        <v/>
      </c>
    </row>
    <row r="1053" spans="9:12">
      <c r="I1053" s="5">
        <f>IF(OR(A1053="",B1053=""),"",B1053-WEEKDAY(B1053,2)+1)</f>
        <v/>
      </c>
      <c r="J1053" s="5">
        <f>IF(I1053="","",I1053+6)</f>
        <v/>
      </c>
      <c r="K1053" s="6">
        <f>IF(OR(A1053="",B1053=""),"",DATE(YEAR(B1053),MONTH(B1053),1))</f>
        <v/>
      </c>
      <c r="L1053" s="7">
        <f>IF(COUNTA(A1053,B1053)=0,"",IF(OR(A1053="",B1053=""),"Preencher CPF e entrada",IF(COUNTIFS($A$12:$A$5011,A1053,$B$12:$B$5011,B1053)&gt;1,"CPF + dia duplicado",IF(OR(AND(E1053&lt;&gt;"",E1053&lt;B1053),AND(F1053&lt;&gt;"",F1053&lt;B1053)),"Evento anterior à entrada",IF(AND(F1053&lt;&gt;"",E1053=""),"Conversa sem agendamento",IF(OR(E1053&gt;TODAY(),F1053&gt;TODAY()),"Verificar evento futuro","OK"))))))</f>
        <v/>
      </c>
    </row>
    <row r="1054" spans="9:12">
      <c r="I1054" s="5">
        <f>IF(OR(A1054="",B1054=""),"",B1054-WEEKDAY(B1054,2)+1)</f>
        <v/>
      </c>
      <c r="J1054" s="5">
        <f>IF(I1054="","",I1054+6)</f>
        <v/>
      </c>
      <c r="K1054" s="6">
        <f>IF(OR(A1054="",B1054=""),"",DATE(YEAR(B1054),MONTH(B1054),1))</f>
        <v/>
      </c>
      <c r="L1054" s="7">
        <f>IF(COUNTA(A1054,B1054)=0,"",IF(OR(A1054="",B1054=""),"Preencher CPF e entrada",IF(COUNTIFS($A$12:$A$5011,A1054,$B$12:$B$5011,B1054)&gt;1,"CPF + dia duplicado",IF(OR(AND(E1054&lt;&gt;"",E1054&lt;B1054),AND(F1054&lt;&gt;"",F1054&lt;B1054)),"Evento anterior à entrada",IF(AND(F1054&lt;&gt;"",E1054=""),"Conversa sem agendamento",IF(OR(E1054&gt;TODAY(),F1054&gt;TODAY()),"Verificar evento futuro","OK"))))))</f>
        <v/>
      </c>
    </row>
    <row r="1055" spans="9:12">
      <c r="I1055" s="5">
        <f>IF(OR(A1055="",B1055=""),"",B1055-WEEKDAY(B1055,2)+1)</f>
        <v/>
      </c>
      <c r="J1055" s="5">
        <f>IF(I1055="","",I1055+6)</f>
        <v/>
      </c>
      <c r="K1055" s="6">
        <f>IF(OR(A1055="",B1055=""),"",DATE(YEAR(B1055),MONTH(B1055),1))</f>
        <v/>
      </c>
      <c r="L1055" s="7">
        <f>IF(COUNTA(A1055,B1055)=0,"",IF(OR(A1055="",B1055=""),"Preencher CPF e entrada",IF(COUNTIFS($A$12:$A$5011,A1055,$B$12:$B$5011,B1055)&gt;1,"CPF + dia duplicado",IF(OR(AND(E1055&lt;&gt;"",E1055&lt;B1055),AND(F1055&lt;&gt;"",F1055&lt;B1055)),"Evento anterior à entrada",IF(AND(F1055&lt;&gt;"",E1055=""),"Conversa sem agendamento",IF(OR(E1055&gt;TODAY(),F1055&gt;TODAY()),"Verificar evento futuro","OK"))))))</f>
        <v/>
      </c>
    </row>
    <row r="1056" spans="9:12">
      <c r="I1056" s="5">
        <f>IF(OR(A1056="",B1056=""),"",B1056-WEEKDAY(B1056,2)+1)</f>
        <v/>
      </c>
      <c r="J1056" s="5">
        <f>IF(I1056="","",I1056+6)</f>
        <v/>
      </c>
      <c r="K1056" s="6">
        <f>IF(OR(A1056="",B1056=""),"",DATE(YEAR(B1056),MONTH(B1056),1))</f>
        <v/>
      </c>
      <c r="L1056" s="7">
        <f>IF(COUNTA(A1056,B1056)=0,"",IF(OR(A1056="",B1056=""),"Preencher CPF e entrada",IF(COUNTIFS($A$12:$A$5011,A1056,$B$12:$B$5011,B1056)&gt;1,"CPF + dia duplicado",IF(OR(AND(E1056&lt;&gt;"",E1056&lt;B1056),AND(F1056&lt;&gt;"",F1056&lt;B1056)),"Evento anterior à entrada",IF(AND(F1056&lt;&gt;"",E1056=""),"Conversa sem agendamento",IF(OR(E1056&gt;TODAY(),F1056&gt;TODAY()),"Verificar evento futuro","OK"))))))</f>
        <v/>
      </c>
    </row>
    <row r="1057" spans="9:12">
      <c r="I1057" s="5">
        <f>IF(OR(A1057="",B1057=""),"",B1057-WEEKDAY(B1057,2)+1)</f>
        <v/>
      </c>
      <c r="J1057" s="5">
        <f>IF(I1057="","",I1057+6)</f>
        <v/>
      </c>
      <c r="K1057" s="6">
        <f>IF(OR(A1057="",B1057=""),"",DATE(YEAR(B1057),MONTH(B1057),1))</f>
        <v/>
      </c>
      <c r="L1057" s="7">
        <f>IF(COUNTA(A1057,B1057)=0,"",IF(OR(A1057="",B1057=""),"Preencher CPF e entrada",IF(COUNTIFS($A$12:$A$5011,A1057,$B$12:$B$5011,B1057)&gt;1,"CPF + dia duplicado",IF(OR(AND(E1057&lt;&gt;"",E1057&lt;B1057),AND(F1057&lt;&gt;"",F1057&lt;B1057)),"Evento anterior à entrada",IF(AND(F1057&lt;&gt;"",E1057=""),"Conversa sem agendamento",IF(OR(E1057&gt;TODAY(),F1057&gt;TODAY()),"Verificar evento futuro","OK"))))))</f>
        <v/>
      </c>
    </row>
    <row r="1058" spans="9:12">
      <c r="I1058" s="5">
        <f>IF(OR(A1058="",B1058=""),"",B1058-WEEKDAY(B1058,2)+1)</f>
        <v/>
      </c>
      <c r="J1058" s="5">
        <f>IF(I1058="","",I1058+6)</f>
        <v/>
      </c>
      <c r="K1058" s="6">
        <f>IF(OR(A1058="",B1058=""),"",DATE(YEAR(B1058),MONTH(B1058),1))</f>
        <v/>
      </c>
      <c r="L1058" s="7">
        <f>IF(COUNTA(A1058,B1058)=0,"",IF(OR(A1058="",B1058=""),"Preencher CPF e entrada",IF(COUNTIFS($A$12:$A$5011,A1058,$B$12:$B$5011,B1058)&gt;1,"CPF + dia duplicado",IF(OR(AND(E1058&lt;&gt;"",E1058&lt;B1058),AND(F1058&lt;&gt;"",F1058&lt;B1058)),"Evento anterior à entrada",IF(AND(F1058&lt;&gt;"",E1058=""),"Conversa sem agendamento",IF(OR(E1058&gt;TODAY(),F1058&gt;TODAY()),"Verificar evento futuro","OK"))))))</f>
        <v/>
      </c>
    </row>
    <row r="1059" spans="9:12">
      <c r="I1059" s="5">
        <f>IF(OR(A1059="",B1059=""),"",B1059-WEEKDAY(B1059,2)+1)</f>
        <v/>
      </c>
      <c r="J1059" s="5">
        <f>IF(I1059="","",I1059+6)</f>
        <v/>
      </c>
      <c r="K1059" s="6">
        <f>IF(OR(A1059="",B1059=""),"",DATE(YEAR(B1059),MONTH(B1059),1))</f>
        <v/>
      </c>
      <c r="L1059" s="7">
        <f>IF(COUNTA(A1059,B1059)=0,"",IF(OR(A1059="",B1059=""),"Preencher CPF e entrada",IF(COUNTIFS($A$12:$A$5011,A1059,$B$12:$B$5011,B1059)&gt;1,"CPF + dia duplicado",IF(OR(AND(E1059&lt;&gt;"",E1059&lt;B1059),AND(F1059&lt;&gt;"",F1059&lt;B1059)),"Evento anterior à entrada",IF(AND(F1059&lt;&gt;"",E1059=""),"Conversa sem agendamento",IF(OR(E1059&gt;TODAY(),F1059&gt;TODAY()),"Verificar evento futuro","OK"))))))</f>
        <v/>
      </c>
    </row>
    <row r="1060" spans="9:12">
      <c r="I1060" s="5">
        <f>IF(OR(A1060="",B1060=""),"",B1060-WEEKDAY(B1060,2)+1)</f>
        <v/>
      </c>
      <c r="J1060" s="5">
        <f>IF(I1060="","",I1060+6)</f>
        <v/>
      </c>
      <c r="K1060" s="6">
        <f>IF(OR(A1060="",B1060=""),"",DATE(YEAR(B1060),MONTH(B1060),1))</f>
        <v/>
      </c>
      <c r="L1060" s="7">
        <f>IF(COUNTA(A1060,B1060)=0,"",IF(OR(A1060="",B1060=""),"Preencher CPF e entrada",IF(COUNTIFS($A$12:$A$5011,A1060,$B$12:$B$5011,B1060)&gt;1,"CPF + dia duplicado",IF(OR(AND(E1060&lt;&gt;"",E1060&lt;B1060),AND(F1060&lt;&gt;"",F1060&lt;B1060)),"Evento anterior à entrada",IF(AND(F1060&lt;&gt;"",E1060=""),"Conversa sem agendamento",IF(OR(E1060&gt;TODAY(),F1060&gt;TODAY()),"Verificar evento futuro","OK"))))))</f>
        <v/>
      </c>
    </row>
    <row r="1061" spans="9:12">
      <c r="I1061" s="5">
        <f>IF(OR(A1061="",B1061=""),"",B1061-WEEKDAY(B1061,2)+1)</f>
        <v/>
      </c>
      <c r="J1061" s="5">
        <f>IF(I1061="","",I1061+6)</f>
        <v/>
      </c>
      <c r="K1061" s="6">
        <f>IF(OR(A1061="",B1061=""),"",DATE(YEAR(B1061),MONTH(B1061),1))</f>
        <v/>
      </c>
      <c r="L1061" s="7">
        <f>IF(COUNTA(A1061,B1061)=0,"",IF(OR(A1061="",B1061=""),"Preencher CPF e entrada",IF(COUNTIFS($A$12:$A$5011,A1061,$B$12:$B$5011,B1061)&gt;1,"CPF + dia duplicado",IF(OR(AND(E1061&lt;&gt;"",E1061&lt;B1061),AND(F1061&lt;&gt;"",F1061&lt;B1061)),"Evento anterior à entrada",IF(AND(F1061&lt;&gt;"",E1061=""),"Conversa sem agendamento",IF(OR(E1061&gt;TODAY(),F1061&gt;TODAY()),"Verificar evento futuro","OK"))))))</f>
        <v/>
      </c>
    </row>
    <row r="1062" spans="9:12">
      <c r="I1062" s="5">
        <f>IF(OR(A1062="",B1062=""),"",B1062-WEEKDAY(B1062,2)+1)</f>
        <v/>
      </c>
      <c r="J1062" s="5">
        <f>IF(I1062="","",I1062+6)</f>
        <v/>
      </c>
      <c r="K1062" s="6">
        <f>IF(OR(A1062="",B1062=""),"",DATE(YEAR(B1062),MONTH(B1062),1))</f>
        <v/>
      </c>
      <c r="L1062" s="7">
        <f>IF(COUNTA(A1062,B1062)=0,"",IF(OR(A1062="",B1062=""),"Preencher CPF e entrada",IF(COUNTIFS($A$12:$A$5011,A1062,$B$12:$B$5011,B1062)&gt;1,"CPF + dia duplicado",IF(OR(AND(E1062&lt;&gt;"",E1062&lt;B1062),AND(F1062&lt;&gt;"",F1062&lt;B1062)),"Evento anterior à entrada",IF(AND(F1062&lt;&gt;"",E1062=""),"Conversa sem agendamento",IF(OR(E1062&gt;TODAY(),F1062&gt;TODAY()),"Verificar evento futuro","OK"))))))</f>
        <v/>
      </c>
    </row>
    <row r="1063" spans="9:12">
      <c r="I1063" s="5">
        <f>IF(OR(A1063="",B1063=""),"",B1063-WEEKDAY(B1063,2)+1)</f>
        <v/>
      </c>
      <c r="J1063" s="5">
        <f>IF(I1063="","",I1063+6)</f>
        <v/>
      </c>
      <c r="K1063" s="6">
        <f>IF(OR(A1063="",B1063=""),"",DATE(YEAR(B1063),MONTH(B1063),1))</f>
        <v/>
      </c>
      <c r="L1063" s="7">
        <f>IF(COUNTA(A1063,B1063)=0,"",IF(OR(A1063="",B1063=""),"Preencher CPF e entrada",IF(COUNTIFS($A$12:$A$5011,A1063,$B$12:$B$5011,B1063)&gt;1,"CPF + dia duplicado",IF(OR(AND(E1063&lt;&gt;"",E1063&lt;B1063),AND(F1063&lt;&gt;"",F1063&lt;B1063)),"Evento anterior à entrada",IF(AND(F1063&lt;&gt;"",E1063=""),"Conversa sem agendamento",IF(OR(E1063&gt;TODAY(),F1063&gt;TODAY()),"Verificar evento futuro","OK"))))))</f>
        <v/>
      </c>
    </row>
    <row r="1064" spans="9:12">
      <c r="I1064" s="5">
        <f>IF(OR(A1064="",B1064=""),"",B1064-WEEKDAY(B1064,2)+1)</f>
        <v/>
      </c>
      <c r="J1064" s="5">
        <f>IF(I1064="","",I1064+6)</f>
        <v/>
      </c>
      <c r="K1064" s="6">
        <f>IF(OR(A1064="",B1064=""),"",DATE(YEAR(B1064),MONTH(B1064),1))</f>
        <v/>
      </c>
      <c r="L1064" s="7">
        <f>IF(COUNTA(A1064,B1064)=0,"",IF(OR(A1064="",B1064=""),"Preencher CPF e entrada",IF(COUNTIFS($A$12:$A$5011,A1064,$B$12:$B$5011,B1064)&gt;1,"CPF + dia duplicado",IF(OR(AND(E1064&lt;&gt;"",E1064&lt;B1064),AND(F1064&lt;&gt;"",F1064&lt;B1064)),"Evento anterior à entrada",IF(AND(F1064&lt;&gt;"",E1064=""),"Conversa sem agendamento",IF(OR(E1064&gt;TODAY(),F1064&gt;TODAY()),"Verificar evento futuro","OK"))))))</f>
        <v/>
      </c>
    </row>
    <row r="1065" spans="9:12">
      <c r="I1065" s="5">
        <f>IF(OR(A1065="",B1065=""),"",B1065-WEEKDAY(B1065,2)+1)</f>
        <v/>
      </c>
      <c r="J1065" s="5">
        <f>IF(I1065="","",I1065+6)</f>
        <v/>
      </c>
      <c r="K1065" s="6">
        <f>IF(OR(A1065="",B1065=""),"",DATE(YEAR(B1065),MONTH(B1065),1))</f>
        <v/>
      </c>
      <c r="L1065" s="7">
        <f>IF(COUNTA(A1065,B1065)=0,"",IF(OR(A1065="",B1065=""),"Preencher CPF e entrada",IF(COUNTIFS($A$12:$A$5011,A1065,$B$12:$B$5011,B1065)&gt;1,"CPF + dia duplicado",IF(OR(AND(E1065&lt;&gt;"",E1065&lt;B1065),AND(F1065&lt;&gt;"",F1065&lt;B1065)),"Evento anterior à entrada",IF(AND(F1065&lt;&gt;"",E1065=""),"Conversa sem agendamento",IF(OR(E1065&gt;TODAY(),F1065&gt;TODAY()),"Verificar evento futuro","OK"))))))</f>
        <v/>
      </c>
    </row>
    <row r="1066" spans="9:12">
      <c r="I1066" s="5">
        <f>IF(OR(A1066="",B1066=""),"",B1066-WEEKDAY(B1066,2)+1)</f>
        <v/>
      </c>
      <c r="J1066" s="5">
        <f>IF(I1066="","",I1066+6)</f>
        <v/>
      </c>
      <c r="K1066" s="6">
        <f>IF(OR(A1066="",B1066=""),"",DATE(YEAR(B1066),MONTH(B1066),1))</f>
        <v/>
      </c>
      <c r="L1066" s="7">
        <f>IF(COUNTA(A1066,B1066)=0,"",IF(OR(A1066="",B1066=""),"Preencher CPF e entrada",IF(COUNTIFS($A$12:$A$5011,A1066,$B$12:$B$5011,B1066)&gt;1,"CPF + dia duplicado",IF(OR(AND(E1066&lt;&gt;"",E1066&lt;B1066),AND(F1066&lt;&gt;"",F1066&lt;B1066)),"Evento anterior à entrada",IF(AND(F1066&lt;&gt;"",E1066=""),"Conversa sem agendamento",IF(OR(E1066&gt;TODAY(),F1066&gt;TODAY()),"Verificar evento futuro","OK"))))))</f>
        <v/>
      </c>
    </row>
    <row r="1067" spans="9:12">
      <c r="I1067" s="5">
        <f>IF(OR(A1067="",B1067=""),"",B1067-WEEKDAY(B1067,2)+1)</f>
        <v/>
      </c>
      <c r="J1067" s="5">
        <f>IF(I1067="","",I1067+6)</f>
        <v/>
      </c>
      <c r="K1067" s="6">
        <f>IF(OR(A1067="",B1067=""),"",DATE(YEAR(B1067),MONTH(B1067),1))</f>
        <v/>
      </c>
      <c r="L1067" s="7">
        <f>IF(COUNTA(A1067,B1067)=0,"",IF(OR(A1067="",B1067=""),"Preencher CPF e entrada",IF(COUNTIFS($A$12:$A$5011,A1067,$B$12:$B$5011,B1067)&gt;1,"CPF + dia duplicado",IF(OR(AND(E1067&lt;&gt;"",E1067&lt;B1067),AND(F1067&lt;&gt;"",F1067&lt;B1067)),"Evento anterior à entrada",IF(AND(F1067&lt;&gt;"",E1067=""),"Conversa sem agendamento",IF(OR(E1067&gt;TODAY(),F1067&gt;TODAY()),"Verificar evento futuro","OK"))))))</f>
        <v/>
      </c>
    </row>
    <row r="1068" spans="9:12">
      <c r="I1068" s="5">
        <f>IF(OR(A1068="",B1068=""),"",B1068-WEEKDAY(B1068,2)+1)</f>
        <v/>
      </c>
      <c r="J1068" s="5">
        <f>IF(I1068="","",I1068+6)</f>
        <v/>
      </c>
      <c r="K1068" s="6">
        <f>IF(OR(A1068="",B1068=""),"",DATE(YEAR(B1068),MONTH(B1068),1))</f>
        <v/>
      </c>
      <c r="L1068" s="7">
        <f>IF(COUNTA(A1068,B1068)=0,"",IF(OR(A1068="",B1068=""),"Preencher CPF e entrada",IF(COUNTIFS($A$12:$A$5011,A1068,$B$12:$B$5011,B1068)&gt;1,"CPF + dia duplicado",IF(OR(AND(E1068&lt;&gt;"",E1068&lt;B1068),AND(F1068&lt;&gt;"",F1068&lt;B1068)),"Evento anterior à entrada",IF(AND(F1068&lt;&gt;"",E1068=""),"Conversa sem agendamento",IF(OR(E1068&gt;TODAY(),F1068&gt;TODAY()),"Verificar evento futuro","OK"))))))</f>
        <v/>
      </c>
    </row>
    <row r="1069" spans="9:12">
      <c r="I1069" s="5">
        <f>IF(OR(A1069="",B1069=""),"",B1069-WEEKDAY(B1069,2)+1)</f>
        <v/>
      </c>
      <c r="J1069" s="5">
        <f>IF(I1069="","",I1069+6)</f>
        <v/>
      </c>
      <c r="K1069" s="6">
        <f>IF(OR(A1069="",B1069=""),"",DATE(YEAR(B1069),MONTH(B1069),1))</f>
        <v/>
      </c>
      <c r="L1069" s="7">
        <f>IF(COUNTA(A1069,B1069)=0,"",IF(OR(A1069="",B1069=""),"Preencher CPF e entrada",IF(COUNTIFS($A$12:$A$5011,A1069,$B$12:$B$5011,B1069)&gt;1,"CPF + dia duplicado",IF(OR(AND(E1069&lt;&gt;"",E1069&lt;B1069),AND(F1069&lt;&gt;"",F1069&lt;B1069)),"Evento anterior à entrada",IF(AND(F1069&lt;&gt;"",E1069=""),"Conversa sem agendamento",IF(OR(E1069&gt;TODAY(),F1069&gt;TODAY()),"Verificar evento futuro","OK"))))))</f>
        <v/>
      </c>
    </row>
    <row r="1070" spans="9:12">
      <c r="I1070" s="5">
        <f>IF(OR(A1070="",B1070=""),"",B1070-WEEKDAY(B1070,2)+1)</f>
        <v/>
      </c>
      <c r="J1070" s="5">
        <f>IF(I1070="","",I1070+6)</f>
        <v/>
      </c>
      <c r="K1070" s="6">
        <f>IF(OR(A1070="",B1070=""),"",DATE(YEAR(B1070),MONTH(B1070),1))</f>
        <v/>
      </c>
      <c r="L1070" s="7">
        <f>IF(COUNTA(A1070,B1070)=0,"",IF(OR(A1070="",B1070=""),"Preencher CPF e entrada",IF(COUNTIFS($A$12:$A$5011,A1070,$B$12:$B$5011,B1070)&gt;1,"CPF + dia duplicado",IF(OR(AND(E1070&lt;&gt;"",E1070&lt;B1070),AND(F1070&lt;&gt;"",F1070&lt;B1070)),"Evento anterior à entrada",IF(AND(F1070&lt;&gt;"",E1070=""),"Conversa sem agendamento",IF(OR(E1070&gt;TODAY(),F1070&gt;TODAY()),"Verificar evento futuro","OK"))))))</f>
        <v/>
      </c>
    </row>
    <row r="1071" spans="9:12">
      <c r="I1071" s="5">
        <f>IF(OR(A1071="",B1071=""),"",B1071-WEEKDAY(B1071,2)+1)</f>
        <v/>
      </c>
      <c r="J1071" s="5">
        <f>IF(I1071="","",I1071+6)</f>
        <v/>
      </c>
      <c r="K1071" s="6">
        <f>IF(OR(A1071="",B1071=""),"",DATE(YEAR(B1071),MONTH(B1071),1))</f>
        <v/>
      </c>
      <c r="L1071" s="7">
        <f>IF(COUNTA(A1071,B1071)=0,"",IF(OR(A1071="",B1071=""),"Preencher CPF e entrada",IF(COUNTIFS($A$12:$A$5011,A1071,$B$12:$B$5011,B1071)&gt;1,"CPF + dia duplicado",IF(OR(AND(E1071&lt;&gt;"",E1071&lt;B1071),AND(F1071&lt;&gt;"",F1071&lt;B1071)),"Evento anterior à entrada",IF(AND(F1071&lt;&gt;"",E1071=""),"Conversa sem agendamento",IF(OR(E1071&gt;TODAY(),F1071&gt;TODAY()),"Verificar evento futuro","OK"))))))</f>
        <v/>
      </c>
    </row>
    <row r="1072" spans="9:12">
      <c r="I1072" s="5">
        <f>IF(OR(A1072="",B1072=""),"",B1072-WEEKDAY(B1072,2)+1)</f>
        <v/>
      </c>
      <c r="J1072" s="5">
        <f>IF(I1072="","",I1072+6)</f>
        <v/>
      </c>
      <c r="K1072" s="6">
        <f>IF(OR(A1072="",B1072=""),"",DATE(YEAR(B1072),MONTH(B1072),1))</f>
        <v/>
      </c>
      <c r="L1072" s="7">
        <f>IF(COUNTA(A1072,B1072)=0,"",IF(OR(A1072="",B1072=""),"Preencher CPF e entrada",IF(COUNTIFS($A$12:$A$5011,A1072,$B$12:$B$5011,B1072)&gt;1,"CPF + dia duplicado",IF(OR(AND(E1072&lt;&gt;"",E1072&lt;B1072),AND(F1072&lt;&gt;"",F1072&lt;B1072)),"Evento anterior à entrada",IF(AND(F1072&lt;&gt;"",E1072=""),"Conversa sem agendamento",IF(OR(E1072&gt;TODAY(),F1072&gt;TODAY()),"Verificar evento futuro","OK"))))))</f>
        <v/>
      </c>
    </row>
    <row r="1073" spans="9:12">
      <c r="I1073" s="5">
        <f>IF(OR(A1073="",B1073=""),"",B1073-WEEKDAY(B1073,2)+1)</f>
        <v/>
      </c>
      <c r="J1073" s="5">
        <f>IF(I1073="","",I1073+6)</f>
        <v/>
      </c>
      <c r="K1073" s="6">
        <f>IF(OR(A1073="",B1073=""),"",DATE(YEAR(B1073),MONTH(B1073),1))</f>
        <v/>
      </c>
      <c r="L1073" s="7">
        <f>IF(COUNTA(A1073,B1073)=0,"",IF(OR(A1073="",B1073=""),"Preencher CPF e entrada",IF(COUNTIFS($A$12:$A$5011,A1073,$B$12:$B$5011,B1073)&gt;1,"CPF + dia duplicado",IF(OR(AND(E1073&lt;&gt;"",E1073&lt;B1073),AND(F1073&lt;&gt;"",F1073&lt;B1073)),"Evento anterior à entrada",IF(AND(F1073&lt;&gt;"",E1073=""),"Conversa sem agendamento",IF(OR(E1073&gt;TODAY(),F1073&gt;TODAY()),"Verificar evento futuro","OK"))))))</f>
        <v/>
      </c>
    </row>
    <row r="1074" spans="9:12">
      <c r="I1074" s="5">
        <f>IF(OR(A1074="",B1074=""),"",B1074-WEEKDAY(B1074,2)+1)</f>
        <v/>
      </c>
      <c r="J1074" s="5">
        <f>IF(I1074="","",I1074+6)</f>
        <v/>
      </c>
      <c r="K1074" s="6">
        <f>IF(OR(A1074="",B1074=""),"",DATE(YEAR(B1074),MONTH(B1074),1))</f>
        <v/>
      </c>
      <c r="L1074" s="7">
        <f>IF(COUNTA(A1074,B1074)=0,"",IF(OR(A1074="",B1074=""),"Preencher CPF e entrada",IF(COUNTIFS($A$12:$A$5011,A1074,$B$12:$B$5011,B1074)&gt;1,"CPF + dia duplicado",IF(OR(AND(E1074&lt;&gt;"",E1074&lt;B1074),AND(F1074&lt;&gt;"",F1074&lt;B1074)),"Evento anterior à entrada",IF(AND(F1074&lt;&gt;"",E1074=""),"Conversa sem agendamento",IF(OR(E1074&gt;TODAY(),F1074&gt;TODAY()),"Verificar evento futuro","OK"))))))</f>
        <v/>
      </c>
    </row>
    <row r="1075" spans="9:12">
      <c r="I1075" s="5">
        <f>IF(OR(A1075="",B1075=""),"",B1075-WEEKDAY(B1075,2)+1)</f>
        <v/>
      </c>
      <c r="J1075" s="5">
        <f>IF(I1075="","",I1075+6)</f>
        <v/>
      </c>
      <c r="K1075" s="6">
        <f>IF(OR(A1075="",B1075=""),"",DATE(YEAR(B1075),MONTH(B1075),1))</f>
        <v/>
      </c>
      <c r="L1075" s="7">
        <f>IF(COUNTA(A1075,B1075)=0,"",IF(OR(A1075="",B1075=""),"Preencher CPF e entrada",IF(COUNTIFS($A$12:$A$5011,A1075,$B$12:$B$5011,B1075)&gt;1,"CPF + dia duplicado",IF(OR(AND(E1075&lt;&gt;"",E1075&lt;B1075),AND(F1075&lt;&gt;"",F1075&lt;B1075)),"Evento anterior à entrada",IF(AND(F1075&lt;&gt;"",E1075=""),"Conversa sem agendamento",IF(OR(E1075&gt;TODAY(),F1075&gt;TODAY()),"Verificar evento futuro","OK"))))))</f>
        <v/>
      </c>
    </row>
    <row r="1076" spans="9:12">
      <c r="I1076" s="5">
        <f>IF(OR(A1076="",B1076=""),"",B1076-WEEKDAY(B1076,2)+1)</f>
        <v/>
      </c>
      <c r="J1076" s="5">
        <f>IF(I1076="","",I1076+6)</f>
        <v/>
      </c>
      <c r="K1076" s="6">
        <f>IF(OR(A1076="",B1076=""),"",DATE(YEAR(B1076),MONTH(B1076),1))</f>
        <v/>
      </c>
      <c r="L1076" s="7">
        <f>IF(COUNTA(A1076,B1076)=0,"",IF(OR(A1076="",B1076=""),"Preencher CPF e entrada",IF(COUNTIFS($A$12:$A$5011,A1076,$B$12:$B$5011,B1076)&gt;1,"CPF + dia duplicado",IF(OR(AND(E1076&lt;&gt;"",E1076&lt;B1076),AND(F1076&lt;&gt;"",F1076&lt;B1076)),"Evento anterior à entrada",IF(AND(F1076&lt;&gt;"",E1076=""),"Conversa sem agendamento",IF(OR(E1076&gt;TODAY(),F1076&gt;TODAY()),"Verificar evento futuro","OK"))))))</f>
        <v/>
      </c>
    </row>
    <row r="1077" spans="9:12">
      <c r="I1077" s="5">
        <f>IF(OR(A1077="",B1077=""),"",B1077-WEEKDAY(B1077,2)+1)</f>
        <v/>
      </c>
      <c r="J1077" s="5">
        <f>IF(I1077="","",I1077+6)</f>
        <v/>
      </c>
      <c r="K1077" s="6">
        <f>IF(OR(A1077="",B1077=""),"",DATE(YEAR(B1077),MONTH(B1077),1))</f>
        <v/>
      </c>
      <c r="L1077" s="7">
        <f>IF(COUNTA(A1077,B1077)=0,"",IF(OR(A1077="",B1077=""),"Preencher CPF e entrada",IF(COUNTIFS($A$12:$A$5011,A1077,$B$12:$B$5011,B1077)&gt;1,"CPF + dia duplicado",IF(OR(AND(E1077&lt;&gt;"",E1077&lt;B1077),AND(F1077&lt;&gt;"",F1077&lt;B1077)),"Evento anterior à entrada",IF(AND(F1077&lt;&gt;"",E1077=""),"Conversa sem agendamento",IF(OR(E1077&gt;TODAY(),F1077&gt;TODAY()),"Verificar evento futuro","OK"))))))</f>
        <v/>
      </c>
    </row>
    <row r="1078" spans="9:12">
      <c r="I1078" s="5">
        <f>IF(OR(A1078="",B1078=""),"",B1078-WEEKDAY(B1078,2)+1)</f>
        <v/>
      </c>
      <c r="J1078" s="5">
        <f>IF(I1078="","",I1078+6)</f>
        <v/>
      </c>
      <c r="K1078" s="6">
        <f>IF(OR(A1078="",B1078=""),"",DATE(YEAR(B1078),MONTH(B1078),1))</f>
        <v/>
      </c>
      <c r="L1078" s="7">
        <f>IF(COUNTA(A1078,B1078)=0,"",IF(OR(A1078="",B1078=""),"Preencher CPF e entrada",IF(COUNTIFS($A$12:$A$5011,A1078,$B$12:$B$5011,B1078)&gt;1,"CPF + dia duplicado",IF(OR(AND(E1078&lt;&gt;"",E1078&lt;B1078),AND(F1078&lt;&gt;"",F1078&lt;B1078)),"Evento anterior à entrada",IF(AND(F1078&lt;&gt;"",E1078=""),"Conversa sem agendamento",IF(OR(E1078&gt;TODAY(),F1078&gt;TODAY()),"Verificar evento futuro","OK"))))))</f>
        <v/>
      </c>
    </row>
    <row r="1079" spans="9:12">
      <c r="I1079" s="5">
        <f>IF(OR(A1079="",B1079=""),"",B1079-WEEKDAY(B1079,2)+1)</f>
        <v/>
      </c>
      <c r="J1079" s="5">
        <f>IF(I1079="","",I1079+6)</f>
        <v/>
      </c>
      <c r="K1079" s="6">
        <f>IF(OR(A1079="",B1079=""),"",DATE(YEAR(B1079),MONTH(B1079),1))</f>
        <v/>
      </c>
      <c r="L1079" s="7">
        <f>IF(COUNTA(A1079,B1079)=0,"",IF(OR(A1079="",B1079=""),"Preencher CPF e entrada",IF(COUNTIFS($A$12:$A$5011,A1079,$B$12:$B$5011,B1079)&gt;1,"CPF + dia duplicado",IF(OR(AND(E1079&lt;&gt;"",E1079&lt;B1079),AND(F1079&lt;&gt;"",F1079&lt;B1079)),"Evento anterior à entrada",IF(AND(F1079&lt;&gt;"",E1079=""),"Conversa sem agendamento",IF(OR(E1079&gt;TODAY(),F1079&gt;TODAY()),"Verificar evento futuro","OK"))))))</f>
        <v/>
      </c>
    </row>
    <row r="1080" spans="9:12">
      <c r="I1080" s="5">
        <f>IF(OR(A1080="",B1080=""),"",B1080-WEEKDAY(B1080,2)+1)</f>
        <v/>
      </c>
      <c r="J1080" s="5">
        <f>IF(I1080="","",I1080+6)</f>
        <v/>
      </c>
      <c r="K1080" s="6">
        <f>IF(OR(A1080="",B1080=""),"",DATE(YEAR(B1080),MONTH(B1080),1))</f>
        <v/>
      </c>
      <c r="L1080" s="7">
        <f>IF(COUNTA(A1080,B1080)=0,"",IF(OR(A1080="",B1080=""),"Preencher CPF e entrada",IF(COUNTIFS($A$12:$A$5011,A1080,$B$12:$B$5011,B1080)&gt;1,"CPF + dia duplicado",IF(OR(AND(E1080&lt;&gt;"",E1080&lt;B1080),AND(F1080&lt;&gt;"",F1080&lt;B1080)),"Evento anterior à entrada",IF(AND(F1080&lt;&gt;"",E1080=""),"Conversa sem agendamento",IF(OR(E1080&gt;TODAY(),F1080&gt;TODAY()),"Verificar evento futuro","OK"))))))</f>
        <v/>
      </c>
    </row>
    <row r="1081" spans="9:12">
      <c r="I1081" s="5">
        <f>IF(OR(A1081="",B1081=""),"",B1081-WEEKDAY(B1081,2)+1)</f>
        <v/>
      </c>
      <c r="J1081" s="5">
        <f>IF(I1081="","",I1081+6)</f>
        <v/>
      </c>
      <c r="K1081" s="6">
        <f>IF(OR(A1081="",B1081=""),"",DATE(YEAR(B1081),MONTH(B1081),1))</f>
        <v/>
      </c>
      <c r="L1081" s="7">
        <f>IF(COUNTA(A1081,B1081)=0,"",IF(OR(A1081="",B1081=""),"Preencher CPF e entrada",IF(COUNTIFS($A$12:$A$5011,A1081,$B$12:$B$5011,B1081)&gt;1,"CPF + dia duplicado",IF(OR(AND(E1081&lt;&gt;"",E1081&lt;B1081),AND(F1081&lt;&gt;"",F1081&lt;B1081)),"Evento anterior à entrada",IF(AND(F1081&lt;&gt;"",E1081=""),"Conversa sem agendamento",IF(OR(E1081&gt;TODAY(),F1081&gt;TODAY()),"Verificar evento futuro","OK"))))))</f>
        <v/>
      </c>
    </row>
    <row r="1082" spans="9:12">
      <c r="I1082" s="5">
        <f>IF(OR(A1082="",B1082=""),"",B1082-WEEKDAY(B1082,2)+1)</f>
        <v/>
      </c>
      <c r="J1082" s="5">
        <f>IF(I1082="","",I1082+6)</f>
        <v/>
      </c>
      <c r="K1082" s="6">
        <f>IF(OR(A1082="",B1082=""),"",DATE(YEAR(B1082),MONTH(B1082),1))</f>
        <v/>
      </c>
      <c r="L1082" s="7">
        <f>IF(COUNTA(A1082,B1082)=0,"",IF(OR(A1082="",B1082=""),"Preencher CPF e entrada",IF(COUNTIFS($A$12:$A$5011,A1082,$B$12:$B$5011,B1082)&gt;1,"CPF + dia duplicado",IF(OR(AND(E1082&lt;&gt;"",E1082&lt;B1082),AND(F1082&lt;&gt;"",F1082&lt;B1082)),"Evento anterior à entrada",IF(AND(F1082&lt;&gt;"",E1082=""),"Conversa sem agendamento",IF(OR(E1082&gt;TODAY(),F1082&gt;TODAY()),"Verificar evento futuro","OK"))))))</f>
        <v/>
      </c>
    </row>
    <row r="1083" spans="9:12">
      <c r="I1083" s="5">
        <f>IF(OR(A1083="",B1083=""),"",B1083-WEEKDAY(B1083,2)+1)</f>
        <v/>
      </c>
      <c r="J1083" s="5">
        <f>IF(I1083="","",I1083+6)</f>
        <v/>
      </c>
      <c r="K1083" s="6">
        <f>IF(OR(A1083="",B1083=""),"",DATE(YEAR(B1083),MONTH(B1083),1))</f>
        <v/>
      </c>
      <c r="L1083" s="7">
        <f>IF(COUNTA(A1083,B1083)=0,"",IF(OR(A1083="",B1083=""),"Preencher CPF e entrada",IF(COUNTIFS($A$12:$A$5011,A1083,$B$12:$B$5011,B1083)&gt;1,"CPF + dia duplicado",IF(OR(AND(E1083&lt;&gt;"",E1083&lt;B1083),AND(F1083&lt;&gt;"",F1083&lt;B1083)),"Evento anterior à entrada",IF(AND(F1083&lt;&gt;"",E1083=""),"Conversa sem agendamento",IF(OR(E1083&gt;TODAY(),F1083&gt;TODAY()),"Verificar evento futuro","OK"))))))</f>
        <v/>
      </c>
    </row>
    <row r="1084" spans="9:12">
      <c r="I1084" s="5">
        <f>IF(OR(A1084="",B1084=""),"",B1084-WEEKDAY(B1084,2)+1)</f>
        <v/>
      </c>
      <c r="J1084" s="5">
        <f>IF(I1084="","",I1084+6)</f>
        <v/>
      </c>
      <c r="K1084" s="6">
        <f>IF(OR(A1084="",B1084=""),"",DATE(YEAR(B1084),MONTH(B1084),1))</f>
        <v/>
      </c>
      <c r="L1084" s="7">
        <f>IF(COUNTA(A1084,B1084)=0,"",IF(OR(A1084="",B1084=""),"Preencher CPF e entrada",IF(COUNTIFS($A$12:$A$5011,A1084,$B$12:$B$5011,B1084)&gt;1,"CPF + dia duplicado",IF(OR(AND(E1084&lt;&gt;"",E1084&lt;B1084),AND(F1084&lt;&gt;"",F1084&lt;B1084)),"Evento anterior à entrada",IF(AND(F1084&lt;&gt;"",E1084=""),"Conversa sem agendamento",IF(OR(E1084&gt;TODAY(),F1084&gt;TODAY()),"Verificar evento futuro","OK"))))))</f>
        <v/>
      </c>
    </row>
    <row r="1085" spans="9:12">
      <c r="I1085" s="5">
        <f>IF(OR(A1085="",B1085=""),"",B1085-WEEKDAY(B1085,2)+1)</f>
        <v/>
      </c>
      <c r="J1085" s="5">
        <f>IF(I1085="","",I1085+6)</f>
        <v/>
      </c>
      <c r="K1085" s="6">
        <f>IF(OR(A1085="",B1085=""),"",DATE(YEAR(B1085),MONTH(B1085),1))</f>
        <v/>
      </c>
      <c r="L1085" s="7">
        <f>IF(COUNTA(A1085,B1085)=0,"",IF(OR(A1085="",B1085=""),"Preencher CPF e entrada",IF(COUNTIFS($A$12:$A$5011,A1085,$B$12:$B$5011,B1085)&gt;1,"CPF + dia duplicado",IF(OR(AND(E1085&lt;&gt;"",E1085&lt;B1085),AND(F1085&lt;&gt;"",F1085&lt;B1085)),"Evento anterior à entrada",IF(AND(F1085&lt;&gt;"",E1085=""),"Conversa sem agendamento",IF(OR(E1085&gt;TODAY(),F1085&gt;TODAY()),"Verificar evento futuro","OK"))))))</f>
        <v/>
      </c>
    </row>
    <row r="1086" spans="9:12">
      <c r="I1086" s="5">
        <f>IF(OR(A1086="",B1086=""),"",B1086-WEEKDAY(B1086,2)+1)</f>
        <v/>
      </c>
      <c r="J1086" s="5">
        <f>IF(I1086="","",I1086+6)</f>
        <v/>
      </c>
      <c r="K1086" s="6">
        <f>IF(OR(A1086="",B1086=""),"",DATE(YEAR(B1086),MONTH(B1086),1))</f>
        <v/>
      </c>
      <c r="L1086" s="7">
        <f>IF(COUNTA(A1086,B1086)=0,"",IF(OR(A1086="",B1086=""),"Preencher CPF e entrada",IF(COUNTIFS($A$12:$A$5011,A1086,$B$12:$B$5011,B1086)&gt;1,"CPF + dia duplicado",IF(OR(AND(E1086&lt;&gt;"",E1086&lt;B1086),AND(F1086&lt;&gt;"",F1086&lt;B1086)),"Evento anterior à entrada",IF(AND(F1086&lt;&gt;"",E1086=""),"Conversa sem agendamento",IF(OR(E1086&gt;TODAY(),F1086&gt;TODAY()),"Verificar evento futuro","OK"))))))</f>
        <v/>
      </c>
    </row>
    <row r="1087" spans="9:12">
      <c r="I1087" s="5">
        <f>IF(OR(A1087="",B1087=""),"",B1087-WEEKDAY(B1087,2)+1)</f>
        <v/>
      </c>
      <c r="J1087" s="5">
        <f>IF(I1087="","",I1087+6)</f>
        <v/>
      </c>
      <c r="K1087" s="6">
        <f>IF(OR(A1087="",B1087=""),"",DATE(YEAR(B1087),MONTH(B1087),1))</f>
        <v/>
      </c>
      <c r="L1087" s="7">
        <f>IF(COUNTA(A1087,B1087)=0,"",IF(OR(A1087="",B1087=""),"Preencher CPF e entrada",IF(COUNTIFS($A$12:$A$5011,A1087,$B$12:$B$5011,B1087)&gt;1,"CPF + dia duplicado",IF(OR(AND(E1087&lt;&gt;"",E1087&lt;B1087),AND(F1087&lt;&gt;"",F1087&lt;B1087)),"Evento anterior à entrada",IF(AND(F1087&lt;&gt;"",E1087=""),"Conversa sem agendamento",IF(OR(E1087&gt;TODAY(),F1087&gt;TODAY()),"Verificar evento futuro","OK"))))))</f>
        <v/>
      </c>
    </row>
    <row r="1088" spans="9:12">
      <c r="I1088" s="5">
        <f>IF(OR(A1088="",B1088=""),"",B1088-WEEKDAY(B1088,2)+1)</f>
        <v/>
      </c>
      <c r="J1088" s="5">
        <f>IF(I1088="","",I1088+6)</f>
        <v/>
      </c>
      <c r="K1088" s="6">
        <f>IF(OR(A1088="",B1088=""),"",DATE(YEAR(B1088),MONTH(B1088),1))</f>
        <v/>
      </c>
      <c r="L1088" s="7">
        <f>IF(COUNTA(A1088,B1088)=0,"",IF(OR(A1088="",B1088=""),"Preencher CPF e entrada",IF(COUNTIFS($A$12:$A$5011,A1088,$B$12:$B$5011,B1088)&gt;1,"CPF + dia duplicado",IF(OR(AND(E1088&lt;&gt;"",E1088&lt;B1088),AND(F1088&lt;&gt;"",F1088&lt;B1088)),"Evento anterior à entrada",IF(AND(F1088&lt;&gt;"",E1088=""),"Conversa sem agendamento",IF(OR(E1088&gt;TODAY(),F1088&gt;TODAY()),"Verificar evento futuro","OK"))))))</f>
        <v/>
      </c>
    </row>
    <row r="1089" spans="9:12">
      <c r="I1089" s="5">
        <f>IF(OR(A1089="",B1089=""),"",B1089-WEEKDAY(B1089,2)+1)</f>
        <v/>
      </c>
      <c r="J1089" s="5">
        <f>IF(I1089="","",I1089+6)</f>
        <v/>
      </c>
      <c r="K1089" s="6">
        <f>IF(OR(A1089="",B1089=""),"",DATE(YEAR(B1089),MONTH(B1089),1))</f>
        <v/>
      </c>
      <c r="L1089" s="7">
        <f>IF(COUNTA(A1089,B1089)=0,"",IF(OR(A1089="",B1089=""),"Preencher CPF e entrada",IF(COUNTIFS($A$12:$A$5011,A1089,$B$12:$B$5011,B1089)&gt;1,"CPF + dia duplicado",IF(OR(AND(E1089&lt;&gt;"",E1089&lt;B1089),AND(F1089&lt;&gt;"",F1089&lt;B1089)),"Evento anterior à entrada",IF(AND(F1089&lt;&gt;"",E1089=""),"Conversa sem agendamento",IF(OR(E1089&gt;TODAY(),F1089&gt;TODAY()),"Verificar evento futuro","OK"))))))</f>
        <v/>
      </c>
    </row>
    <row r="1090" spans="9:12">
      <c r="I1090" s="5">
        <f>IF(OR(A1090="",B1090=""),"",B1090-WEEKDAY(B1090,2)+1)</f>
        <v/>
      </c>
      <c r="J1090" s="5">
        <f>IF(I1090="","",I1090+6)</f>
        <v/>
      </c>
      <c r="K1090" s="6">
        <f>IF(OR(A1090="",B1090=""),"",DATE(YEAR(B1090),MONTH(B1090),1))</f>
        <v/>
      </c>
      <c r="L1090" s="7">
        <f>IF(COUNTA(A1090,B1090)=0,"",IF(OR(A1090="",B1090=""),"Preencher CPF e entrada",IF(COUNTIFS($A$12:$A$5011,A1090,$B$12:$B$5011,B1090)&gt;1,"CPF + dia duplicado",IF(OR(AND(E1090&lt;&gt;"",E1090&lt;B1090),AND(F1090&lt;&gt;"",F1090&lt;B1090)),"Evento anterior à entrada",IF(AND(F1090&lt;&gt;"",E1090=""),"Conversa sem agendamento",IF(OR(E1090&gt;TODAY(),F1090&gt;TODAY()),"Verificar evento futuro","OK"))))))</f>
        <v/>
      </c>
    </row>
    <row r="1091" spans="9:12">
      <c r="I1091" s="5">
        <f>IF(OR(A1091="",B1091=""),"",B1091-WEEKDAY(B1091,2)+1)</f>
        <v/>
      </c>
      <c r="J1091" s="5">
        <f>IF(I1091="","",I1091+6)</f>
        <v/>
      </c>
      <c r="K1091" s="6">
        <f>IF(OR(A1091="",B1091=""),"",DATE(YEAR(B1091),MONTH(B1091),1))</f>
        <v/>
      </c>
      <c r="L1091" s="7">
        <f>IF(COUNTA(A1091,B1091)=0,"",IF(OR(A1091="",B1091=""),"Preencher CPF e entrada",IF(COUNTIFS($A$12:$A$5011,A1091,$B$12:$B$5011,B1091)&gt;1,"CPF + dia duplicado",IF(OR(AND(E1091&lt;&gt;"",E1091&lt;B1091),AND(F1091&lt;&gt;"",F1091&lt;B1091)),"Evento anterior à entrada",IF(AND(F1091&lt;&gt;"",E1091=""),"Conversa sem agendamento",IF(OR(E1091&gt;TODAY(),F1091&gt;TODAY()),"Verificar evento futuro","OK"))))))</f>
        <v/>
      </c>
    </row>
    <row r="1092" spans="9:12">
      <c r="I1092" s="5">
        <f>IF(OR(A1092="",B1092=""),"",B1092-WEEKDAY(B1092,2)+1)</f>
        <v/>
      </c>
      <c r="J1092" s="5">
        <f>IF(I1092="","",I1092+6)</f>
        <v/>
      </c>
      <c r="K1092" s="6">
        <f>IF(OR(A1092="",B1092=""),"",DATE(YEAR(B1092),MONTH(B1092),1))</f>
        <v/>
      </c>
      <c r="L1092" s="7">
        <f>IF(COUNTA(A1092,B1092)=0,"",IF(OR(A1092="",B1092=""),"Preencher CPF e entrada",IF(COUNTIFS($A$12:$A$5011,A1092,$B$12:$B$5011,B1092)&gt;1,"CPF + dia duplicado",IF(OR(AND(E1092&lt;&gt;"",E1092&lt;B1092),AND(F1092&lt;&gt;"",F1092&lt;B1092)),"Evento anterior à entrada",IF(AND(F1092&lt;&gt;"",E1092=""),"Conversa sem agendamento",IF(OR(E1092&gt;TODAY(),F1092&gt;TODAY()),"Verificar evento futuro","OK"))))))</f>
        <v/>
      </c>
    </row>
    <row r="1093" spans="9:12">
      <c r="I1093" s="5">
        <f>IF(OR(A1093="",B1093=""),"",B1093-WEEKDAY(B1093,2)+1)</f>
        <v/>
      </c>
      <c r="J1093" s="5">
        <f>IF(I1093="","",I1093+6)</f>
        <v/>
      </c>
      <c r="K1093" s="6">
        <f>IF(OR(A1093="",B1093=""),"",DATE(YEAR(B1093),MONTH(B1093),1))</f>
        <v/>
      </c>
      <c r="L1093" s="7">
        <f>IF(COUNTA(A1093,B1093)=0,"",IF(OR(A1093="",B1093=""),"Preencher CPF e entrada",IF(COUNTIFS($A$12:$A$5011,A1093,$B$12:$B$5011,B1093)&gt;1,"CPF + dia duplicado",IF(OR(AND(E1093&lt;&gt;"",E1093&lt;B1093),AND(F1093&lt;&gt;"",F1093&lt;B1093)),"Evento anterior à entrada",IF(AND(F1093&lt;&gt;"",E1093=""),"Conversa sem agendamento",IF(OR(E1093&gt;TODAY(),F1093&gt;TODAY()),"Verificar evento futuro","OK"))))))</f>
        <v/>
      </c>
    </row>
    <row r="1094" spans="9:12">
      <c r="I1094" s="5">
        <f>IF(OR(A1094="",B1094=""),"",B1094-WEEKDAY(B1094,2)+1)</f>
        <v/>
      </c>
      <c r="J1094" s="5">
        <f>IF(I1094="","",I1094+6)</f>
        <v/>
      </c>
      <c r="K1094" s="6">
        <f>IF(OR(A1094="",B1094=""),"",DATE(YEAR(B1094),MONTH(B1094),1))</f>
        <v/>
      </c>
      <c r="L1094" s="7">
        <f>IF(COUNTA(A1094,B1094)=0,"",IF(OR(A1094="",B1094=""),"Preencher CPF e entrada",IF(COUNTIFS($A$12:$A$5011,A1094,$B$12:$B$5011,B1094)&gt;1,"CPF + dia duplicado",IF(OR(AND(E1094&lt;&gt;"",E1094&lt;B1094),AND(F1094&lt;&gt;"",F1094&lt;B1094)),"Evento anterior à entrada",IF(AND(F1094&lt;&gt;"",E1094=""),"Conversa sem agendamento",IF(OR(E1094&gt;TODAY(),F1094&gt;TODAY()),"Verificar evento futuro","OK"))))))</f>
        <v/>
      </c>
    </row>
    <row r="1095" spans="9:12">
      <c r="I1095" s="5">
        <f>IF(OR(A1095="",B1095=""),"",B1095-WEEKDAY(B1095,2)+1)</f>
        <v/>
      </c>
      <c r="J1095" s="5">
        <f>IF(I1095="","",I1095+6)</f>
        <v/>
      </c>
      <c r="K1095" s="6">
        <f>IF(OR(A1095="",B1095=""),"",DATE(YEAR(B1095),MONTH(B1095),1))</f>
        <v/>
      </c>
      <c r="L1095" s="7">
        <f>IF(COUNTA(A1095,B1095)=0,"",IF(OR(A1095="",B1095=""),"Preencher CPF e entrada",IF(COUNTIFS($A$12:$A$5011,A1095,$B$12:$B$5011,B1095)&gt;1,"CPF + dia duplicado",IF(OR(AND(E1095&lt;&gt;"",E1095&lt;B1095),AND(F1095&lt;&gt;"",F1095&lt;B1095)),"Evento anterior à entrada",IF(AND(F1095&lt;&gt;"",E1095=""),"Conversa sem agendamento",IF(OR(E1095&gt;TODAY(),F1095&gt;TODAY()),"Verificar evento futuro","OK"))))))</f>
        <v/>
      </c>
    </row>
    <row r="1096" spans="9:12">
      <c r="I1096" s="5">
        <f>IF(OR(A1096="",B1096=""),"",B1096-WEEKDAY(B1096,2)+1)</f>
        <v/>
      </c>
      <c r="J1096" s="5">
        <f>IF(I1096="","",I1096+6)</f>
        <v/>
      </c>
      <c r="K1096" s="6">
        <f>IF(OR(A1096="",B1096=""),"",DATE(YEAR(B1096),MONTH(B1096),1))</f>
        <v/>
      </c>
      <c r="L1096" s="7">
        <f>IF(COUNTA(A1096,B1096)=0,"",IF(OR(A1096="",B1096=""),"Preencher CPF e entrada",IF(COUNTIFS($A$12:$A$5011,A1096,$B$12:$B$5011,B1096)&gt;1,"CPF + dia duplicado",IF(OR(AND(E1096&lt;&gt;"",E1096&lt;B1096),AND(F1096&lt;&gt;"",F1096&lt;B1096)),"Evento anterior à entrada",IF(AND(F1096&lt;&gt;"",E1096=""),"Conversa sem agendamento",IF(OR(E1096&gt;TODAY(),F1096&gt;TODAY()),"Verificar evento futuro","OK"))))))</f>
        <v/>
      </c>
    </row>
    <row r="1097" spans="9:12">
      <c r="I1097" s="5">
        <f>IF(OR(A1097="",B1097=""),"",B1097-WEEKDAY(B1097,2)+1)</f>
        <v/>
      </c>
      <c r="J1097" s="5">
        <f>IF(I1097="","",I1097+6)</f>
        <v/>
      </c>
      <c r="K1097" s="6">
        <f>IF(OR(A1097="",B1097=""),"",DATE(YEAR(B1097),MONTH(B1097),1))</f>
        <v/>
      </c>
      <c r="L1097" s="7">
        <f>IF(COUNTA(A1097,B1097)=0,"",IF(OR(A1097="",B1097=""),"Preencher CPF e entrada",IF(COUNTIFS($A$12:$A$5011,A1097,$B$12:$B$5011,B1097)&gt;1,"CPF + dia duplicado",IF(OR(AND(E1097&lt;&gt;"",E1097&lt;B1097),AND(F1097&lt;&gt;"",F1097&lt;B1097)),"Evento anterior à entrada",IF(AND(F1097&lt;&gt;"",E1097=""),"Conversa sem agendamento",IF(OR(E1097&gt;TODAY(),F1097&gt;TODAY()),"Verificar evento futuro","OK"))))))</f>
        <v/>
      </c>
    </row>
    <row r="1098" spans="9:12">
      <c r="I1098" s="5">
        <f>IF(OR(A1098="",B1098=""),"",B1098-WEEKDAY(B1098,2)+1)</f>
        <v/>
      </c>
      <c r="J1098" s="5">
        <f>IF(I1098="","",I1098+6)</f>
        <v/>
      </c>
      <c r="K1098" s="6">
        <f>IF(OR(A1098="",B1098=""),"",DATE(YEAR(B1098),MONTH(B1098),1))</f>
        <v/>
      </c>
      <c r="L1098" s="7">
        <f>IF(COUNTA(A1098,B1098)=0,"",IF(OR(A1098="",B1098=""),"Preencher CPF e entrada",IF(COUNTIFS($A$12:$A$5011,A1098,$B$12:$B$5011,B1098)&gt;1,"CPF + dia duplicado",IF(OR(AND(E1098&lt;&gt;"",E1098&lt;B1098),AND(F1098&lt;&gt;"",F1098&lt;B1098)),"Evento anterior à entrada",IF(AND(F1098&lt;&gt;"",E1098=""),"Conversa sem agendamento",IF(OR(E1098&gt;TODAY(),F1098&gt;TODAY()),"Verificar evento futuro","OK"))))))</f>
        <v/>
      </c>
    </row>
    <row r="1099" spans="9:12">
      <c r="I1099" s="5">
        <f>IF(OR(A1099="",B1099=""),"",B1099-WEEKDAY(B1099,2)+1)</f>
        <v/>
      </c>
      <c r="J1099" s="5">
        <f>IF(I1099="","",I1099+6)</f>
        <v/>
      </c>
      <c r="K1099" s="6">
        <f>IF(OR(A1099="",B1099=""),"",DATE(YEAR(B1099),MONTH(B1099),1))</f>
        <v/>
      </c>
      <c r="L1099" s="7">
        <f>IF(COUNTA(A1099,B1099)=0,"",IF(OR(A1099="",B1099=""),"Preencher CPF e entrada",IF(COUNTIFS($A$12:$A$5011,A1099,$B$12:$B$5011,B1099)&gt;1,"CPF + dia duplicado",IF(OR(AND(E1099&lt;&gt;"",E1099&lt;B1099),AND(F1099&lt;&gt;"",F1099&lt;B1099)),"Evento anterior à entrada",IF(AND(F1099&lt;&gt;"",E1099=""),"Conversa sem agendamento",IF(OR(E1099&gt;TODAY(),F1099&gt;TODAY()),"Verificar evento futuro","OK"))))))</f>
        <v/>
      </c>
    </row>
    <row r="1100" spans="9:12">
      <c r="I1100" s="5">
        <f>IF(OR(A1100="",B1100=""),"",B1100-WEEKDAY(B1100,2)+1)</f>
        <v/>
      </c>
      <c r="J1100" s="5">
        <f>IF(I1100="","",I1100+6)</f>
        <v/>
      </c>
      <c r="K1100" s="6">
        <f>IF(OR(A1100="",B1100=""),"",DATE(YEAR(B1100),MONTH(B1100),1))</f>
        <v/>
      </c>
      <c r="L1100" s="7">
        <f>IF(COUNTA(A1100,B1100)=0,"",IF(OR(A1100="",B1100=""),"Preencher CPF e entrada",IF(COUNTIFS($A$12:$A$5011,A1100,$B$12:$B$5011,B1100)&gt;1,"CPF + dia duplicado",IF(OR(AND(E1100&lt;&gt;"",E1100&lt;B1100),AND(F1100&lt;&gt;"",F1100&lt;B1100)),"Evento anterior à entrada",IF(AND(F1100&lt;&gt;"",E1100=""),"Conversa sem agendamento",IF(OR(E1100&gt;TODAY(),F1100&gt;TODAY()),"Verificar evento futuro","OK"))))))</f>
        <v/>
      </c>
    </row>
    <row r="1101" spans="9:12">
      <c r="I1101" s="5">
        <f>IF(OR(A1101="",B1101=""),"",B1101-WEEKDAY(B1101,2)+1)</f>
        <v/>
      </c>
      <c r="J1101" s="5">
        <f>IF(I1101="","",I1101+6)</f>
        <v/>
      </c>
      <c r="K1101" s="6">
        <f>IF(OR(A1101="",B1101=""),"",DATE(YEAR(B1101),MONTH(B1101),1))</f>
        <v/>
      </c>
      <c r="L1101" s="7">
        <f>IF(COUNTA(A1101,B1101)=0,"",IF(OR(A1101="",B1101=""),"Preencher CPF e entrada",IF(COUNTIFS($A$12:$A$5011,A1101,$B$12:$B$5011,B1101)&gt;1,"CPF + dia duplicado",IF(OR(AND(E1101&lt;&gt;"",E1101&lt;B1101),AND(F1101&lt;&gt;"",F1101&lt;B1101)),"Evento anterior à entrada",IF(AND(F1101&lt;&gt;"",E1101=""),"Conversa sem agendamento",IF(OR(E1101&gt;TODAY(),F1101&gt;TODAY()),"Verificar evento futuro","OK"))))))</f>
        <v/>
      </c>
    </row>
    <row r="1102" spans="9:12">
      <c r="I1102" s="5">
        <f>IF(OR(A1102="",B1102=""),"",B1102-WEEKDAY(B1102,2)+1)</f>
        <v/>
      </c>
      <c r="J1102" s="5">
        <f>IF(I1102="","",I1102+6)</f>
        <v/>
      </c>
      <c r="K1102" s="6">
        <f>IF(OR(A1102="",B1102=""),"",DATE(YEAR(B1102),MONTH(B1102),1))</f>
        <v/>
      </c>
      <c r="L1102" s="7">
        <f>IF(COUNTA(A1102,B1102)=0,"",IF(OR(A1102="",B1102=""),"Preencher CPF e entrada",IF(COUNTIFS($A$12:$A$5011,A1102,$B$12:$B$5011,B1102)&gt;1,"CPF + dia duplicado",IF(OR(AND(E1102&lt;&gt;"",E1102&lt;B1102),AND(F1102&lt;&gt;"",F1102&lt;B1102)),"Evento anterior à entrada",IF(AND(F1102&lt;&gt;"",E1102=""),"Conversa sem agendamento",IF(OR(E1102&gt;TODAY(),F1102&gt;TODAY()),"Verificar evento futuro","OK"))))))</f>
        <v/>
      </c>
    </row>
    <row r="1103" spans="9:12">
      <c r="I1103" s="5">
        <f>IF(OR(A1103="",B1103=""),"",B1103-WEEKDAY(B1103,2)+1)</f>
        <v/>
      </c>
      <c r="J1103" s="5">
        <f>IF(I1103="","",I1103+6)</f>
        <v/>
      </c>
      <c r="K1103" s="6">
        <f>IF(OR(A1103="",B1103=""),"",DATE(YEAR(B1103),MONTH(B1103),1))</f>
        <v/>
      </c>
      <c r="L1103" s="7">
        <f>IF(COUNTA(A1103,B1103)=0,"",IF(OR(A1103="",B1103=""),"Preencher CPF e entrada",IF(COUNTIFS($A$12:$A$5011,A1103,$B$12:$B$5011,B1103)&gt;1,"CPF + dia duplicado",IF(OR(AND(E1103&lt;&gt;"",E1103&lt;B1103),AND(F1103&lt;&gt;"",F1103&lt;B1103)),"Evento anterior à entrada",IF(AND(F1103&lt;&gt;"",E1103=""),"Conversa sem agendamento",IF(OR(E1103&gt;TODAY(),F1103&gt;TODAY()),"Verificar evento futuro","OK"))))))</f>
        <v/>
      </c>
    </row>
    <row r="1104" spans="9:12">
      <c r="I1104" s="5">
        <f>IF(OR(A1104="",B1104=""),"",B1104-WEEKDAY(B1104,2)+1)</f>
        <v/>
      </c>
      <c r="J1104" s="5">
        <f>IF(I1104="","",I1104+6)</f>
        <v/>
      </c>
      <c r="K1104" s="6">
        <f>IF(OR(A1104="",B1104=""),"",DATE(YEAR(B1104),MONTH(B1104),1))</f>
        <v/>
      </c>
      <c r="L1104" s="7">
        <f>IF(COUNTA(A1104,B1104)=0,"",IF(OR(A1104="",B1104=""),"Preencher CPF e entrada",IF(COUNTIFS($A$12:$A$5011,A1104,$B$12:$B$5011,B1104)&gt;1,"CPF + dia duplicado",IF(OR(AND(E1104&lt;&gt;"",E1104&lt;B1104),AND(F1104&lt;&gt;"",F1104&lt;B1104)),"Evento anterior à entrada",IF(AND(F1104&lt;&gt;"",E1104=""),"Conversa sem agendamento",IF(OR(E1104&gt;TODAY(),F1104&gt;TODAY()),"Verificar evento futuro","OK"))))))</f>
        <v/>
      </c>
    </row>
    <row r="1105" spans="9:12">
      <c r="I1105" s="5">
        <f>IF(OR(A1105="",B1105=""),"",B1105-WEEKDAY(B1105,2)+1)</f>
        <v/>
      </c>
      <c r="J1105" s="5">
        <f>IF(I1105="","",I1105+6)</f>
        <v/>
      </c>
      <c r="K1105" s="6">
        <f>IF(OR(A1105="",B1105=""),"",DATE(YEAR(B1105),MONTH(B1105),1))</f>
        <v/>
      </c>
      <c r="L1105" s="7">
        <f>IF(COUNTA(A1105,B1105)=0,"",IF(OR(A1105="",B1105=""),"Preencher CPF e entrada",IF(COUNTIFS($A$12:$A$5011,A1105,$B$12:$B$5011,B1105)&gt;1,"CPF + dia duplicado",IF(OR(AND(E1105&lt;&gt;"",E1105&lt;B1105),AND(F1105&lt;&gt;"",F1105&lt;B1105)),"Evento anterior à entrada",IF(AND(F1105&lt;&gt;"",E1105=""),"Conversa sem agendamento",IF(OR(E1105&gt;TODAY(),F1105&gt;TODAY()),"Verificar evento futuro","OK"))))))</f>
        <v/>
      </c>
    </row>
    <row r="1106" spans="9:12">
      <c r="I1106" s="5">
        <f>IF(OR(A1106="",B1106=""),"",B1106-WEEKDAY(B1106,2)+1)</f>
        <v/>
      </c>
      <c r="J1106" s="5">
        <f>IF(I1106="","",I1106+6)</f>
        <v/>
      </c>
      <c r="K1106" s="6">
        <f>IF(OR(A1106="",B1106=""),"",DATE(YEAR(B1106),MONTH(B1106),1))</f>
        <v/>
      </c>
      <c r="L1106" s="7">
        <f>IF(COUNTA(A1106,B1106)=0,"",IF(OR(A1106="",B1106=""),"Preencher CPF e entrada",IF(COUNTIFS($A$12:$A$5011,A1106,$B$12:$B$5011,B1106)&gt;1,"CPF + dia duplicado",IF(OR(AND(E1106&lt;&gt;"",E1106&lt;B1106),AND(F1106&lt;&gt;"",F1106&lt;B1106)),"Evento anterior à entrada",IF(AND(F1106&lt;&gt;"",E1106=""),"Conversa sem agendamento",IF(OR(E1106&gt;TODAY(),F1106&gt;TODAY()),"Verificar evento futuro","OK"))))))</f>
        <v/>
      </c>
    </row>
    <row r="1107" spans="9:12">
      <c r="I1107" s="5">
        <f>IF(OR(A1107="",B1107=""),"",B1107-WEEKDAY(B1107,2)+1)</f>
        <v/>
      </c>
      <c r="J1107" s="5">
        <f>IF(I1107="","",I1107+6)</f>
        <v/>
      </c>
      <c r="K1107" s="6">
        <f>IF(OR(A1107="",B1107=""),"",DATE(YEAR(B1107),MONTH(B1107),1))</f>
        <v/>
      </c>
      <c r="L1107" s="7">
        <f>IF(COUNTA(A1107,B1107)=0,"",IF(OR(A1107="",B1107=""),"Preencher CPF e entrada",IF(COUNTIFS($A$12:$A$5011,A1107,$B$12:$B$5011,B1107)&gt;1,"CPF + dia duplicado",IF(OR(AND(E1107&lt;&gt;"",E1107&lt;B1107),AND(F1107&lt;&gt;"",F1107&lt;B1107)),"Evento anterior à entrada",IF(AND(F1107&lt;&gt;"",E1107=""),"Conversa sem agendamento",IF(OR(E1107&gt;TODAY(),F1107&gt;TODAY()),"Verificar evento futuro","OK"))))))</f>
        <v/>
      </c>
    </row>
    <row r="1108" spans="9:12">
      <c r="I1108" s="5">
        <f>IF(OR(A1108="",B1108=""),"",B1108-WEEKDAY(B1108,2)+1)</f>
        <v/>
      </c>
      <c r="J1108" s="5">
        <f>IF(I1108="","",I1108+6)</f>
        <v/>
      </c>
      <c r="K1108" s="6">
        <f>IF(OR(A1108="",B1108=""),"",DATE(YEAR(B1108),MONTH(B1108),1))</f>
        <v/>
      </c>
      <c r="L1108" s="7">
        <f>IF(COUNTA(A1108,B1108)=0,"",IF(OR(A1108="",B1108=""),"Preencher CPF e entrada",IF(COUNTIFS($A$12:$A$5011,A1108,$B$12:$B$5011,B1108)&gt;1,"CPF + dia duplicado",IF(OR(AND(E1108&lt;&gt;"",E1108&lt;B1108),AND(F1108&lt;&gt;"",F1108&lt;B1108)),"Evento anterior à entrada",IF(AND(F1108&lt;&gt;"",E1108=""),"Conversa sem agendamento",IF(OR(E1108&gt;TODAY(),F1108&gt;TODAY()),"Verificar evento futuro","OK"))))))</f>
        <v/>
      </c>
    </row>
    <row r="1109" spans="9:12">
      <c r="I1109" s="5">
        <f>IF(OR(A1109="",B1109=""),"",B1109-WEEKDAY(B1109,2)+1)</f>
        <v/>
      </c>
      <c r="J1109" s="5">
        <f>IF(I1109="","",I1109+6)</f>
        <v/>
      </c>
      <c r="K1109" s="6">
        <f>IF(OR(A1109="",B1109=""),"",DATE(YEAR(B1109),MONTH(B1109),1))</f>
        <v/>
      </c>
      <c r="L1109" s="7">
        <f>IF(COUNTA(A1109,B1109)=0,"",IF(OR(A1109="",B1109=""),"Preencher CPF e entrada",IF(COUNTIFS($A$12:$A$5011,A1109,$B$12:$B$5011,B1109)&gt;1,"CPF + dia duplicado",IF(OR(AND(E1109&lt;&gt;"",E1109&lt;B1109),AND(F1109&lt;&gt;"",F1109&lt;B1109)),"Evento anterior à entrada",IF(AND(F1109&lt;&gt;"",E1109=""),"Conversa sem agendamento",IF(OR(E1109&gt;TODAY(),F1109&gt;TODAY()),"Verificar evento futuro","OK"))))))</f>
        <v/>
      </c>
    </row>
    <row r="1110" spans="9:12">
      <c r="I1110" s="5">
        <f>IF(OR(A1110="",B1110=""),"",B1110-WEEKDAY(B1110,2)+1)</f>
        <v/>
      </c>
      <c r="J1110" s="5">
        <f>IF(I1110="","",I1110+6)</f>
        <v/>
      </c>
      <c r="K1110" s="6">
        <f>IF(OR(A1110="",B1110=""),"",DATE(YEAR(B1110),MONTH(B1110),1))</f>
        <v/>
      </c>
      <c r="L1110" s="7">
        <f>IF(COUNTA(A1110,B1110)=0,"",IF(OR(A1110="",B1110=""),"Preencher CPF e entrada",IF(COUNTIFS($A$12:$A$5011,A1110,$B$12:$B$5011,B1110)&gt;1,"CPF + dia duplicado",IF(OR(AND(E1110&lt;&gt;"",E1110&lt;B1110),AND(F1110&lt;&gt;"",F1110&lt;B1110)),"Evento anterior à entrada",IF(AND(F1110&lt;&gt;"",E1110=""),"Conversa sem agendamento",IF(OR(E1110&gt;TODAY(),F1110&gt;TODAY()),"Verificar evento futuro","OK"))))))</f>
        <v/>
      </c>
    </row>
    <row r="1111" spans="9:12">
      <c r="I1111" s="5">
        <f>IF(OR(A1111="",B1111=""),"",B1111-WEEKDAY(B1111,2)+1)</f>
        <v/>
      </c>
      <c r="J1111" s="5">
        <f>IF(I1111="","",I1111+6)</f>
        <v/>
      </c>
      <c r="K1111" s="6">
        <f>IF(OR(A1111="",B1111=""),"",DATE(YEAR(B1111),MONTH(B1111),1))</f>
        <v/>
      </c>
      <c r="L1111" s="7">
        <f>IF(COUNTA(A1111,B1111)=0,"",IF(OR(A1111="",B1111=""),"Preencher CPF e entrada",IF(COUNTIFS($A$12:$A$5011,A1111,$B$12:$B$5011,B1111)&gt;1,"CPF + dia duplicado",IF(OR(AND(E1111&lt;&gt;"",E1111&lt;B1111),AND(F1111&lt;&gt;"",F1111&lt;B1111)),"Evento anterior à entrada",IF(AND(F1111&lt;&gt;"",E1111=""),"Conversa sem agendamento",IF(OR(E1111&gt;TODAY(),F1111&gt;TODAY()),"Verificar evento futuro","OK"))))))</f>
        <v/>
      </c>
    </row>
    <row r="1112" spans="9:12">
      <c r="I1112" s="5">
        <f>IF(OR(A1112="",B1112=""),"",B1112-WEEKDAY(B1112,2)+1)</f>
        <v/>
      </c>
      <c r="J1112" s="5">
        <f>IF(I1112="","",I1112+6)</f>
        <v/>
      </c>
      <c r="K1112" s="6">
        <f>IF(OR(A1112="",B1112=""),"",DATE(YEAR(B1112),MONTH(B1112),1))</f>
        <v/>
      </c>
      <c r="L1112" s="7">
        <f>IF(COUNTA(A1112,B1112)=0,"",IF(OR(A1112="",B1112=""),"Preencher CPF e entrada",IF(COUNTIFS($A$12:$A$5011,A1112,$B$12:$B$5011,B1112)&gt;1,"CPF + dia duplicado",IF(OR(AND(E1112&lt;&gt;"",E1112&lt;B1112),AND(F1112&lt;&gt;"",F1112&lt;B1112)),"Evento anterior à entrada",IF(AND(F1112&lt;&gt;"",E1112=""),"Conversa sem agendamento",IF(OR(E1112&gt;TODAY(),F1112&gt;TODAY()),"Verificar evento futuro","OK"))))))</f>
        <v/>
      </c>
    </row>
    <row r="1113" spans="9:12">
      <c r="I1113" s="5">
        <f>IF(OR(A1113="",B1113=""),"",B1113-WEEKDAY(B1113,2)+1)</f>
        <v/>
      </c>
      <c r="J1113" s="5">
        <f>IF(I1113="","",I1113+6)</f>
        <v/>
      </c>
      <c r="K1113" s="6">
        <f>IF(OR(A1113="",B1113=""),"",DATE(YEAR(B1113),MONTH(B1113),1))</f>
        <v/>
      </c>
      <c r="L1113" s="7">
        <f>IF(COUNTA(A1113,B1113)=0,"",IF(OR(A1113="",B1113=""),"Preencher CPF e entrada",IF(COUNTIFS($A$12:$A$5011,A1113,$B$12:$B$5011,B1113)&gt;1,"CPF + dia duplicado",IF(OR(AND(E1113&lt;&gt;"",E1113&lt;B1113),AND(F1113&lt;&gt;"",F1113&lt;B1113)),"Evento anterior à entrada",IF(AND(F1113&lt;&gt;"",E1113=""),"Conversa sem agendamento",IF(OR(E1113&gt;TODAY(),F1113&gt;TODAY()),"Verificar evento futuro","OK"))))))</f>
        <v/>
      </c>
    </row>
    <row r="1114" spans="9:12">
      <c r="I1114" s="5">
        <f>IF(OR(A1114="",B1114=""),"",B1114-WEEKDAY(B1114,2)+1)</f>
        <v/>
      </c>
      <c r="J1114" s="5">
        <f>IF(I1114="","",I1114+6)</f>
        <v/>
      </c>
      <c r="K1114" s="6">
        <f>IF(OR(A1114="",B1114=""),"",DATE(YEAR(B1114),MONTH(B1114),1))</f>
        <v/>
      </c>
      <c r="L1114" s="7">
        <f>IF(COUNTA(A1114,B1114)=0,"",IF(OR(A1114="",B1114=""),"Preencher CPF e entrada",IF(COUNTIFS($A$12:$A$5011,A1114,$B$12:$B$5011,B1114)&gt;1,"CPF + dia duplicado",IF(OR(AND(E1114&lt;&gt;"",E1114&lt;B1114),AND(F1114&lt;&gt;"",F1114&lt;B1114)),"Evento anterior à entrada",IF(AND(F1114&lt;&gt;"",E1114=""),"Conversa sem agendamento",IF(OR(E1114&gt;TODAY(),F1114&gt;TODAY()),"Verificar evento futuro","OK"))))))</f>
        <v/>
      </c>
    </row>
    <row r="1115" spans="9:12">
      <c r="I1115" s="5">
        <f>IF(OR(A1115="",B1115=""),"",B1115-WEEKDAY(B1115,2)+1)</f>
        <v/>
      </c>
      <c r="J1115" s="5">
        <f>IF(I1115="","",I1115+6)</f>
        <v/>
      </c>
      <c r="K1115" s="6">
        <f>IF(OR(A1115="",B1115=""),"",DATE(YEAR(B1115),MONTH(B1115),1))</f>
        <v/>
      </c>
      <c r="L1115" s="7">
        <f>IF(COUNTA(A1115,B1115)=0,"",IF(OR(A1115="",B1115=""),"Preencher CPF e entrada",IF(COUNTIFS($A$12:$A$5011,A1115,$B$12:$B$5011,B1115)&gt;1,"CPF + dia duplicado",IF(OR(AND(E1115&lt;&gt;"",E1115&lt;B1115),AND(F1115&lt;&gt;"",F1115&lt;B1115)),"Evento anterior à entrada",IF(AND(F1115&lt;&gt;"",E1115=""),"Conversa sem agendamento",IF(OR(E1115&gt;TODAY(),F1115&gt;TODAY()),"Verificar evento futuro","OK"))))))</f>
        <v/>
      </c>
    </row>
    <row r="1116" spans="9:12">
      <c r="I1116" s="5">
        <f>IF(OR(A1116="",B1116=""),"",B1116-WEEKDAY(B1116,2)+1)</f>
        <v/>
      </c>
      <c r="J1116" s="5">
        <f>IF(I1116="","",I1116+6)</f>
        <v/>
      </c>
      <c r="K1116" s="6">
        <f>IF(OR(A1116="",B1116=""),"",DATE(YEAR(B1116),MONTH(B1116),1))</f>
        <v/>
      </c>
      <c r="L1116" s="7">
        <f>IF(COUNTA(A1116,B1116)=0,"",IF(OR(A1116="",B1116=""),"Preencher CPF e entrada",IF(COUNTIFS($A$12:$A$5011,A1116,$B$12:$B$5011,B1116)&gt;1,"CPF + dia duplicado",IF(OR(AND(E1116&lt;&gt;"",E1116&lt;B1116),AND(F1116&lt;&gt;"",F1116&lt;B1116)),"Evento anterior à entrada",IF(AND(F1116&lt;&gt;"",E1116=""),"Conversa sem agendamento",IF(OR(E1116&gt;TODAY(),F1116&gt;TODAY()),"Verificar evento futuro","OK"))))))</f>
        <v/>
      </c>
    </row>
    <row r="1117" spans="9:12">
      <c r="I1117" s="5">
        <f>IF(OR(A1117="",B1117=""),"",B1117-WEEKDAY(B1117,2)+1)</f>
        <v/>
      </c>
      <c r="J1117" s="5">
        <f>IF(I1117="","",I1117+6)</f>
        <v/>
      </c>
      <c r="K1117" s="6">
        <f>IF(OR(A1117="",B1117=""),"",DATE(YEAR(B1117),MONTH(B1117),1))</f>
        <v/>
      </c>
      <c r="L1117" s="7">
        <f>IF(COUNTA(A1117,B1117)=0,"",IF(OR(A1117="",B1117=""),"Preencher CPF e entrada",IF(COUNTIFS($A$12:$A$5011,A1117,$B$12:$B$5011,B1117)&gt;1,"CPF + dia duplicado",IF(OR(AND(E1117&lt;&gt;"",E1117&lt;B1117),AND(F1117&lt;&gt;"",F1117&lt;B1117)),"Evento anterior à entrada",IF(AND(F1117&lt;&gt;"",E1117=""),"Conversa sem agendamento",IF(OR(E1117&gt;TODAY(),F1117&gt;TODAY()),"Verificar evento futuro","OK"))))))</f>
        <v/>
      </c>
    </row>
    <row r="1118" spans="9:12">
      <c r="I1118" s="5">
        <f>IF(OR(A1118="",B1118=""),"",B1118-WEEKDAY(B1118,2)+1)</f>
        <v/>
      </c>
      <c r="J1118" s="5">
        <f>IF(I1118="","",I1118+6)</f>
        <v/>
      </c>
      <c r="K1118" s="6">
        <f>IF(OR(A1118="",B1118=""),"",DATE(YEAR(B1118),MONTH(B1118),1))</f>
        <v/>
      </c>
      <c r="L1118" s="7">
        <f>IF(COUNTA(A1118,B1118)=0,"",IF(OR(A1118="",B1118=""),"Preencher CPF e entrada",IF(COUNTIFS($A$12:$A$5011,A1118,$B$12:$B$5011,B1118)&gt;1,"CPF + dia duplicado",IF(OR(AND(E1118&lt;&gt;"",E1118&lt;B1118),AND(F1118&lt;&gt;"",F1118&lt;B1118)),"Evento anterior à entrada",IF(AND(F1118&lt;&gt;"",E1118=""),"Conversa sem agendamento",IF(OR(E1118&gt;TODAY(),F1118&gt;TODAY()),"Verificar evento futuro","OK"))))))</f>
        <v/>
      </c>
    </row>
    <row r="1119" spans="9:12">
      <c r="I1119" s="5">
        <f>IF(OR(A1119="",B1119=""),"",B1119-WEEKDAY(B1119,2)+1)</f>
        <v/>
      </c>
      <c r="J1119" s="5">
        <f>IF(I1119="","",I1119+6)</f>
        <v/>
      </c>
      <c r="K1119" s="6">
        <f>IF(OR(A1119="",B1119=""),"",DATE(YEAR(B1119),MONTH(B1119),1))</f>
        <v/>
      </c>
      <c r="L1119" s="7">
        <f>IF(COUNTA(A1119,B1119)=0,"",IF(OR(A1119="",B1119=""),"Preencher CPF e entrada",IF(COUNTIFS($A$12:$A$5011,A1119,$B$12:$B$5011,B1119)&gt;1,"CPF + dia duplicado",IF(OR(AND(E1119&lt;&gt;"",E1119&lt;B1119),AND(F1119&lt;&gt;"",F1119&lt;B1119)),"Evento anterior à entrada",IF(AND(F1119&lt;&gt;"",E1119=""),"Conversa sem agendamento",IF(OR(E1119&gt;TODAY(),F1119&gt;TODAY()),"Verificar evento futuro","OK"))))))</f>
        <v/>
      </c>
    </row>
    <row r="1120" spans="9:12">
      <c r="I1120" s="5">
        <f>IF(OR(A1120="",B1120=""),"",B1120-WEEKDAY(B1120,2)+1)</f>
        <v/>
      </c>
      <c r="J1120" s="5">
        <f>IF(I1120="","",I1120+6)</f>
        <v/>
      </c>
      <c r="K1120" s="6">
        <f>IF(OR(A1120="",B1120=""),"",DATE(YEAR(B1120),MONTH(B1120),1))</f>
        <v/>
      </c>
      <c r="L1120" s="7">
        <f>IF(COUNTA(A1120,B1120)=0,"",IF(OR(A1120="",B1120=""),"Preencher CPF e entrada",IF(COUNTIFS($A$12:$A$5011,A1120,$B$12:$B$5011,B1120)&gt;1,"CPF + dia duplicado",IF(OR(AND(E1120&lt;&gt;"",E1120&lt;B1120),AND(F1120&lt;&gt;"",F1120&lt;B1120)),"Evento anterior à entrada",IF(AND(F1120&lt;&gt;"",E1120=""),"Conversa sem agendamento",IF(OR(E1120&gt;TODAY(),F1120&gt;TODAY()),"Verificar evento futuro","OK"))))))</f>
        <v/>
      </c>
    </row>
    <row r="1121" spans="9:12">
      <c r="I1121" s="5">
        <f>IF(OR(A1121="",B1121=""),"",B1121-WEEKDAY(B1121,2)+1)</f>
        <v/>
      </c>
      <c r="J1121" s="5">
        <f>IF(I1121="","",I1121+6)</f>
        <v/>
      </c>
      <c r="K1121" s="6">
        <f>IF(OR(A1121="",B1121=""),"",DATE(YEAR(B1121),MONTH(B1121),1))</f>
        <v/>
      </c>
      <c r="L1121" s="7">
        <f>IF(COUNTA(A1121,B1121)=0,"",IF(OR(A1121="",B1121=""),"Preencher CPF e entrada",IF(COUNTIFS($A$12:$A$5011,A1121,$B$12:$B$5011,B1121)&gt;1,"CPF + dia duplicado",IF(OR(AND(E1121&lt;&gt;"",E1121&lt;B1121),AND(F1121&lt;&gt;"",F1121&lt;B1121)),"Evento anterior à entrada",IF(AND(F1121&lt;&gt;"",E1121=""),"Conversa sem agendamento",IF(OR(E1121&gt;TODAY(),F1121&gt;TODAY()),"Verificar evento futuro","OK"))))))</f>
        <v/>
      </c>
    </row>
    <row r="1122" spans="9:12">
      <c r="I1122" s="5">
        <f>IF(OR(A1122="",B1122=""),"",B1122-WEEKDAY(B1122,2)+1)</f>
        <v/>
      </c>
      <c r="J1122" s="5">
        <f>IF(I1122="","",I1122+6)</f>
        <v/>
      </c>
      <c r="K1122" s="6">
        <f>IF(OR(A1122="",B1122=""),"",DATE(YEAR(B1122),MONTH(B1122),1))</f>
        <v/>
      </c>
      <c r="L1122" s="7">
        <f>IF(COUNTA(A1122,B1122)=0,"",IF(OR(A1122="",B1122=""),"Preencher CPF e entrada",IF(COUNTIFS($A$12:$A$5011,A1122,$B$12:$B$5011,B1122)&gt;1,"CPF + dia duplicado",IF(OR(AND(E1122&lt;&gt;"",E1122&lt;B1122),AND(F1122&lt;&gt;"",F1122&lt;B1122)),"Evento anterior à entrada",IF(AND(F1122&lt;&gt;"",E1122=""),"Conversa sem agendamento",IF(OR(E1122&gt;TODAY(),F1122&gt;TODAY()),"Verificar evento futuro","OK"))))))</f>
        <v/>
      </c>
    </row>
    <row r="1123" spans="9:12">
      <c r="I1123" s="5">
        <f>IF(OR(A1123="",B1123=""),"",B1123-WEEKDAY(B1123,2)+1)</f>
        <v/>
      </c>
      <c r="J1123" s="5">
        <f>IF(I1123="","",I1123+6)</f>
        <v/>
      </c>
      <c r="K1123" s="6">
        <f>IF(OR(A1123="",B1123=""),"",DATE(YEAR(B1123),MONTH(B1123),1))</f>
        <v/>
      </c>
      <c r="L1123" s="7">
        <f>IF(COUNTA(A1123,B1123)=0,"",IF(OR(A1123="",B1123=""),"Preencher CPF e entrada",IF(COUNTIFS($A$12:$A$5011,A1123,$B$12:$B$5011,B1123)&gt;1,"CPF + dia duplicado",IF(OR(AND(E1123&lt;&gt;"",E1123&lt;B1123),AND(F1123&lt;&gt;"",F1123&lt;B1123)),"Evento anterior à entrada",IF(AND(F1123&lt;&gt;"",E1123=""),"Conversa sem agendamento",IF(OR(E1123&gt;TODAY(),F1123&gt;TODAY()),"Verificar evento futuro","OK"))))))</f>
        <v/>
      </c>
    </row>
    <row r="1124" spans="9:12">
      <c r="I1124" s="5">
        <f>IF(OR(A1124="",B1124=""),"",B1124-WEEKDAY(B1124,2)+1)</f>
        <v/>
      </c>
      <c r="J1124" s="5">
        <f>IF(I1124="","",I1124+6)</f>
        <v/>
      </c>
      <c r="K1124" s="6">
        <f>IF(OR(A1124="",B1124=""),"",DATE(YEAR(B1124),MONTH(B1124),1))</f>
        <v/>
      </c>
      <c r="L1124" s="7">
        <f>IF(COUNTA(A1124,B1124)=0,"",IF(OR(A1124="",B1124=""),"Preencher CPF e entrada",IF(COUNTIFS($A$12:$A$5011,A1124,$B$12:$B$5011,B1124)&gt;1,"CPF + dia duplicado",IF(OR(AND(E1124&lt;&gt;"",E1124&lt;B1124),AND(F1124&lt;&gt;"",F1124&lt;B1124)),"Evento anterior à entrada",IF(AND(F1124&lt;&gt;"",E1124=""),"Conversa sem agendamento",IF(OR(E1124&gt;TODAY(),F1124&gt;TODAY()),"Verificar evento futuro","OK"))))))</f>
        <v/>
      </c>
    </row>
    <row r="1125" spans="9:12">
      <c r="I1125" s="5">
        <f>IF(OR(A1125="",B1125=""),"",B1125-WEEKDAY(B1125,2)+1)</f>
        <v/>
      </c>
      <c r="J1125" s="5">
        <f>IF(I1125="","",I1125+6)</f>
        <v/>
      </c>
      <c r="K1125" s="6">
        <f>IF(OR(A1125="",B1125=""),"",DATE(YEAR(B1125),MONTH(B1125),1))</f>
        <v/>
      </c>
      <c r="L1125" s="7">
        <f>IF(COUNTA(A1125,B1125)=0,"",IF(OR(A1125="",B1125=""),"Preencher CPF e entrada",IF(COUNTIFS($A$12:$A$5011,A1125,$B$12:$B$5011,B1125)&gt;1,"CPF + dia duplicado",IF(OR(AND(E1125&lt;&gt;"",E1125&lt;B1125),AND(F1125&lt;&gt;"",F1125&lt;B1125)),"Evento anterior à entrada",IF(AND(F1125&lt;&gt;"",E1125=""),"Conversa sem agendamento",IF(OR(E1125&gt;TODAY(),F1125&gt;TODAY()),"Verificar evento futuro","OK"))))))</f>
        <v/>
      </c>
    </row>
    <row r="1126" spans="9:12">
      <c r="I1126" s="5">
        <f>IF(OR(A1126="",B1126=""),"",B1126-WEEKDAY(B1126,2)+1)</f>
        <v/>
      </c>
      <c r="J1126" s="5">
        <f>IF(I1126="","",I1126+6)</f>
        <v/>
      </c>
      <c r="K1126" s="6">
        <f>IF(OR(A1126="",B1126=""),"",DATE(YEAR(B1126),MONTH(B1126),1))</f>
        <v/>
      </c>
      <c r="L1126" s="7">
        <f>IF(COUNTA(A1126,B1126)=0,"",IF(OR(A1126="",B1126=""),"Preencher CPF e entrada",IF(COUNTIFS($A$12:$A$5011,A1126,$B$12:$B$5011,B1126)&gt;1,"CPF + dia duplicado",IF(OR(AND(E1126&lt;&gt;"",E1126&lt;B1126),AND(F1126&lt;&gt;"",F1126&lt;B1126)),"Evento anterior à entrada",IF(AND(F1126&lt;&gt;"",E1126=""),"Conversa sem agendamento",IF(OR(E1126&gt;TODAY(),F1126&gt;TODAY()),"Verificar evento futuro","OK"))))))</f>
        <v/>
      </c>
    </row>
    <row r="1127" spans="9:12">
      <c r="I1127" s="5">
        <f>IF(OR(A1127="",B1127=""),"",B1127-WEEKDAY(B1127,2)+1)</f>
        <v/>
      </c>
      <c r="J1127" s="5">
        <f>IF(I1127="","",I1127+6)</f>
        <v/>
      </c>
      <c r="K1127" s="6">
        <f>IF(OR(A1127="",B1127=""),"",DATE(YEAR(B1127),MONTH(B1127),1))</f>
        <v/>
      </c>
      <c r="L1127" s="7">
        <f>IF(COUNTA(A1127,B1127)=0,"",IF(OR(A1127="",B1127=""),"Preencher CPF e entrada",IF(COUNTIFS($A$12:$A$5011,A1127,$B$12:$B$5011,B1127)&gt;1,"CPF + dia duplicado",IF(OR(AND(E1127&lt;&gt;"",E1127&lt;B1127),AND(F1127&lt;&gt;"",F1127&lt;B1127)),"Evento anterior à entrada",IF(AND(F1127&lt;&gt;"",E1127=""),"Conversa sem agendamento",IF(OR(E1127&gt;TODAY(),F1127&gt;TODAY()),"Verificar evento futuro","OK"))))))</f>
        <v/>
      </c>
    </row>
    <row r="1128" spans="9:12">
      <c r="I1128" s="5">
        <f>IF(OR(A1128="",B1128=""),"",B1128-WEEKDAY(B1128,2)+1)</f>
        <v/>
      </c>
      <c r="J1128" s="5">
        <f>IF(I1128="","",I1128+6)</f>
        <v/>
      </c>
      <c r="K1128" s="6">
        <f>IF(OR(A1128="",B1128=""),"",DATE(YEAR(B1128),MONTH(B1128),1))</f>
        <v/>
      </c>
      <c r="L1128" s="7">
        <f>IF(COUNTA(A1128,B1128)=0,"",IF(OR(A1128="",B1128=""),"Preencher CPF e entrada",IF(COUNTIFS($A$12:$A$5011,A1128,$B$12:$B$5011,B1128)&gt;1,"CPF + dia duplicado",IF(OR(AND(E1128&lt;&gt;"",E1128&lt;B1128),AND(F1128&lt;&gt;"",F1128&lt;B1128)),"Evento anterior à entrada",IF(AND(F1128&lt;&gt;"",E1128=""),"Conversa sem agendamento",IF(OR(E1128&gt;TODAY(),F1128&gt;TODAY()),"Verificar evento futuro","OK"))))))</f>
        <v/>
      </c>
    </row>
    <row r="1129" spans="9:12">
      <c r="I1129" s="5">
        <f>IF(OR(A1129="",B1129=""),"",B1129-WEEKDAY(B1129,2)+1)</f>
        <v/>
      </c>
      <c r="J1129" s="5">
        <f>IF(I1129="","",I1129+6)</f>
        <v/>
      </c>
      <c r="K1129" s="6">
        <f>IF(OR(A1129="",B1129=""),"",DATE(YEAR(B1129),MONTH(B1129),1))</f>
        <v/>
      </c>
      <c r="L1129" s="7">
        <f>IF(COUNTA(A1129,B1129)=0,"",IF(OR(A1129="",B1129=""),"Preencher CPF e entrada",IF(COUNTIFS($A$12:$A$5011,A1129,$B$12:$B$5011,B1129)&gt;1,"CPF + dia duplicado",IF(OR(AND(E1129&lt;&gt;"",E1129&lt;B1129),AND(F1129&lt;&gt;"",F1129&lt;B1129)),"Evento anterior à entrada",IF(AND(F1129&lt;&gt;"",E1129=""),"Conversa sem agendamento",IF(OR(E1129&gt;TODAY(),F1129&gt;TODAY()),"Verificar evento futuro","OK"))))))</f>
        <v/>
      </c>
    </row>
    <row r="1130" spans="9:12">
      <c r="I1130" s="5">
        <f>IF(OR(A1130="",B1130=""),"",B1130-WEEKDAY(B1130,2)+1)</f>
        <v/>
      </c>
      <c r="J1130" s="5">
        <f>IF(I1130="","",I1130+6)</f>
        <v/>
      </c>
      <c r="K1130" s="6">
        <f>IF(OR(A1130="",B1130=""),"",DATE(YEAR(B1130),MONTH(B1130),1))</f>
        <v/>
      </c>
      <c r="L1130" s="7">
        <f>IF(COUNTA(A1130,B1130)=0,"",IF(OR(A1130="",B1130=""),"Preencher CPF e entrada",IF(COUNTIFS($A$12:$A$5011,A1130,$B$12:$B$5011,B1130)&gt;1,"CPF + dia duplicado",IF(OR(AND(E1130&lt;&gt;"",E1130&lt;B1130),AND(F1130&lt;&gt;"",F1130&lt;B1130)),"Evento anterior à entrada",IF(AND(F1130&lt;&gt;"",E1130=""),"Conversa sem agendamento",IF(OR(E1130&gt;TODAY(),F1130&gt;TODAY()),"Verificar evento futuro","OK"))))))</f>
        <v/>
      </c>
    </row>
    <row r="1131" spans="9:12">
      <c r="I1131" s="5">
        <f>IF(OR(A1131="",B1131=""),"",B1131-WEEKDAY(B1131,2)+1)</f>
        <v/>
      </c>
      <c r="J1131" s="5">
        <f>IF(I1131="","",I1131+6)</f>
        <v/>
      </c>
      <c r="K1131" s="6">
        <f>IF(OR(A1131="",B1131=""),"",DATE(YEAR(B1131),MONTH(B1131),1))</f>
        <v/>
      </c>
      <c r="L1131" s="7">
        <f>IF(COUNTA(A1131,B1131)=0,"",IF(OR(A1131="",B1131=""),"Preencher CPF e entrada",IF(COUNTIFS($A$12:$A$5011,A1131,$B$12:$B$5011,B1131)&gt;1,"CPF + dia duplicado",IF(OR(AND(E1131&lt;&gt;"",E1131&lt;B1131),AND(F1131&lt;&gt;"",F1131&lt;B1131)),"Evento anterior à entrada",IF(AND(F1131&lt;&gt;"",E1131=""),"Conversa sem agendamento",IF(OR(E1131&gt;TODAY(),F1131&gt;TODAY()),"Verificar evento futuro","OK"))))))</f>
        <v/>
      </c>
    </row>
    <row r="1132" spans="9:12">
      <c r="I1132" s="5">
        <f>IF(OR(A1132="",B1132=""),"",B1132-WEEKDAY(B1132,2)+1)</f>
        <v/>
      </c>
      <c r="J1132" s="5">
        <f>IF(I1132="","",I1132+6)</f>
        <v/>
      </c>
      <c r="K1132" s="6">
        <f>IF(OR(A1132="",B1132=""),"",DATE(YEAR(B1132),MONTH(B1132),1))</f>
        <v/>
      </c>
      <c r="L1132" s="7">
        <f>IF(COUNTA(A1132,B1132)=0,"",IF(OR(A1132="",B1132=""),"Preencher CPF e entrada",IF(COUNTIFS($A$12:$A$5011,A1132,$B$12:$B$5011,B1132)&gt;1,"CPF + dia duplicado",IF(OR(AND(E1132&lt;&gt;"",E1132&lt;B1132),AND(F1132&lt;&gt;"",F1132&lt;B1132)),"Evento anterior à entrada",IF(AND(F1132&lt;&gt;"",E1132=""),"Conversa sem agendamento",IF(OR(E1132&gt;TODAY(),F1132&gt;TODAY()),"Verificar evento futuro","OK"))))))</f>
        <v/>
      </c>
    </row>
    <row r="1133" spans="9:12">
      <c r="I1133" s="5">
        <f>IF(OR(A1133="",B1133=""),"",B1133-WEEKDAY(B1133,2)+1)</f>
        <v/>
      </c>
      <c r="J1133" s="5">
        <f>IF(I1133="","",I1133+6)</f>
        <v/>
      </c>
      <c r="K1133" s="6">
        <f>IF(OR(A1133="",B1133=""),"",DATE(YEAR(B1133),MONTH(B1133),1))</f>
        <v/>
      </c>
      <c r="L1133" s="7">
        <f>IF(COUNTA(A1133,B1133)=0,"",IF(OR(A1133="",B1133=""),"Preencher CPF e entrada",IF(COUNTIFS($A$12:$A$5011,A1133,$B$12:$B$5011,B1133)&gt;1,"CPF + dia duplicado",IF(OR(AND(E1133&lt;&gt;"",E1133&lt;B1133),AND(F1133&lt;&gt;"",F1133&lt;B1133)),"Evento anterior à entrada",IF(AND(F1133&lt;&gt;"",E1133=""),"Conversa sem agendamento",IF(OR(E1133&gt;TODAY(),F1133&gt;TODAY()),"Verificar evento futuro","OK"))))))</f>
        <v/>
      </c>
    </row>
    <row r="1134" spans="9:12">
      <c r="I1134" s="5">
        <f>IF(OR(A1134="",B1134=""),"",B1134-WEEKDAY(B1134,2)+1)</f>
        <v/>
      </c>
      <c r="J1134" s="5">
        <f>IF(I1134="","",I1134+6)</f>
        <v/>
      </c>
      <c r="K1134" s="6">
        <f>IF(OR(A1134="",B1134=""),"",DATE(YEAR(B1134),MONTH(B1134),1))</f>
        <v/>
      </c>
      <c r="L1134" s="7">
        <f>IF(COUNTA(A1134,B1134)=0,"",IF(OR(A1134="",B1134=""),"Preencher CPF e entrada",IF(COUNTIFS($A$12:$A$5011,A1134,$B$12:$B$5011,B1134)&gt;1,"CPF + dia duplicado",IF(OR(AND(E1134&lt;&gt;"",E1134&lt;B1134),AND(F1134&lt;&gt;"",F1134&lt;B1134)),"Evento anterior à entrada",IF(AND(F1134&lt;&gt;"",E1134=""),"Conversa sem agendamento",IF(OR(E1134&gt;TODAY(),F1134&gt;TODAY()),"Verificar evento futuro","OK"))))))</f>
        <v/>
      </c>
    </row>
    <row r="1135" spans="9:12">
      <c r="I1135" s="5">
        <f>IF(OR(A1135="",B1135=""),"",B1135-WEEKDAY(B1135,2)+1)</f>
        <v/>
      </c>
      <c r="J1135" s="5">
        <f>IF(I1135="","",I1135+6)</f>
        <v/>
      </c>
      <c r="K1135" s="6">
        <f>IF(OR(A1135="",B1135=""),"",DATE(YEAR(B1135),MONTH(B1135),1))</f>
        <v/>
      </c>
      <c r="L1135" s="7">
        <f>IF(COUNTA(A1135,B1135)=0,"",IF(OR(A1135="",B1135=""),"Preencher CPF e entrada",IF(COUNTIFS($A$12:$A$5011,A1135,$B$12:$B$5011,B1135)&gt;1,"CPF + dia duplicado",IF(OR(AND(E1135&lt;&gt;"",E1135&lt;B1135),AND(F1135&lt;&gt;"",F1135&lt;B1135)),"Evento anterior à entrada",IF(AND(F1135&lt;&gt;"",E1135=""),"Conversa sem agendamento",IF(OR(E1135&gt;TODAY(),F1135&gt;TODAY()),"Verificar evento futuro","OK"))))))</f>
        <v/>
      </c>
    </row>
    <row r="1136" spans="9:12">
      <c r="I1136" s="5">
        <f>IF(OR(A1136="",B1136=""),"",B1136-WEEKDAY(B1136,2)+1)</f>
        <v/>
      </c>
      <c r="J1136" s="5">
        <f>IF(I1136="","",I1136+6)</f>
        <v/>
      </c>
      <c r="K1136" s="6">
        <f>IF(OR(A1136="",B1136=""),"",DATE(YEAR(B1136),MONTH(B1136),1))</f>
        <v/>
      </c>
      <c r="L1136" s="7">
        <f>IF(COUNTA(A1136,B1136)=0,"",IF(OR(A1136="",B1136=""),"Preencher CPF e entrada",IF(COUNTIFS($A$12:$A$5011,A1136,$B$12:$B$5011,B1136)&gt;1,"CPF + dia duplicado",IF(OR(AND(E1136&lt;&gt;"",E1136&lt;B1136),AND(F1136&lt;&gt;"",F1136&lt;B1136)),"Evento anterior à entrada",IF(AND(F1136&lt;&gt;"",E1136=""),"Conversa sem agendamento",IF(OR(E1136&gt;TODAY(),F1136&gt;TODAY()),"Verificar evento futuro","OK"))))))</f>
        <v/>
      </c>
    </row>
    <row r="1137" spans="9:12">
      <c r="I1137" s="5">
        <f>IF(OR(A1137="",B1137=""),"",B1137-WEEKDAY(B1137,2)+1)</f>
        <v/>
      </c>
      <c r="J1137" s="5">
        <f>IF(I1137="","",I1137+6)</f>
        <v/>
      </c>
      <c r="K1137" s="6">
        <f>IF(OR(A1137="",B1137=""),"",DATE(YEAR(B1137),MONTH(B1137),1))</f>
        <v/>
      </c>
      <c r="L1137" s="7">
        <f>IF(COUNTA(A1137,B1137)=0,"",IF(OR(A1137="",B1137=""),"Preencher CPF e entrada",IF(COUNTIFS($A$12:$A$5011,A1137,$B$12:$B$5011,B1137)&gt;1,"CPF + dia duplicado",IF(OR(AND(E1137&lt;&gt;"",E1137&lt;B1137),AND(F1137&lt;&gt;"",F1137&lt;B1137)),"Evento anterior à entrada",IF(AND(F1137&lt;&gt;"",E1137=""),"Conversa sem agendamento",IF(OR(E1137&gt;TODAY(),F1137&gt;TODAY()),"Verificar evento futuro","OK"))))))</f>
        <v/>
      </c>
    </row>
    <row r="1138" spans="9:12">
      <c r="I1138" s="5">
        <f>IF(OR(A1138="",B1138=""),"",B1138-WEEKDAY(B1138,2)+1)</f>
        <v/>
      </c>
      <c r="J1138" s="5">
        <f>IF(I1138="","",I1138+6)</f>
        <v/>
      </c>
      <c r="K1138" s="6">
        <f>IF(OR(A1138="",B1138=""),"",DATE(YEAR(B1138),MONTH(B1138),1))</f>
        <v/>
      </c>
      <c r="L1138" s="7">
        <f>IF(COUNTA(A1138,B1138)=0,"",IF(OR(A1138="",B1138=""),"Preencher CPF e entrada",IF(COUNTIFS($A$12:$A$5011,A1138,$B$12:$B$5011,B1138)&gt;1,"CPF + dia duplicado",IF(OR(AND(E1138&lt;&gt;"",E1138&lt;B1138),AND(F1138&lt;&gt;"",F1138&lt;B1138)),"Evento anterior à entrada",IF(AND(F1138&lt;&gt;"",E1138=""),"Conversa sem agendamento",IF(OR(E1138&gt;TODAY(),F1138&gt;TODAY()),"Verificar evento futuro","OK"))))))</f>
        <v/>
      </c>
    </row>
    <row r="1139" spans="9:12">
      <c r="I1139" s="5">
        <f>IF(OR(A1139="",B1139=""),"",B1139-WEEKDAY(B1139,2)+1)</f>
        <v/>
      </c>
      <c r="J1139" s="5">
        <f>IF(I1139="","",I1139+6)</f>
        <v/>
      </c>
      <c r="K1139" s="6">
        <f>IF(OR(A1139="",B1139=""),"",DATE(YEAR(B1139),MONTH(B1139),1))</f>
        <v/>
      </c>
      <c r="L1139" s="7">
        <f>IF(COUNTA(A1139,B1139)=0,"",IF(OR(A1139="",B1139=""),"Preencher CPF e entrada",IF(COUNTIFS($A$12:$A$5011,A1139,$B$12:$B$5011,B1139)&gt;1,"CPF + dia duplicado",IF(OR(AND(E1139&lt;&gt;"",E1139&lt;B1139),AND(F1139&lt;&gt;"",F1139&lt;B1139)),"Evento anterior à entrada",IF(AND(F1139&lt;&gt;"",E1139=""),"Conversa sem agendamento",IF(OR(E1139&gt;TODAY(),F1139&gt;TODAY()),"Verificar evento futuro","OK"))))))</f>
        <v/>
      </c>
    </row>
    <row r="1140" spans="9:12">
      <c r="I1140" s="5">
        <f>IF(OR(A1140="",B1140=""),"",B1140-WEEKDAY(B1140,2)+1)</f>
        <v/>
      </c>
      <c r="J1140" s="5">
        <f>IF(I1140="","",I1140+6)</f>
        <v/>
      </c>
      <c r="K1140" s="6">
        <f>IF(OR(A1140="",B1140=""),"",DATE(YEAR(B1140),MONTH(B1140),1))</f>
        <v/>
      </c>
      <c r="L1140" s="7">
        <f>IF(COUNTA(A1140,B1140)=0,"",IF(OR(A1140="",B1140=""),"Preencher CPF e entrada",IF(COUNTIFS($A$12:$A$5011,A1140,$B$12:$B$5011,B1140)&gt;1,"CPF + dia duplicado",IF(OR(AND(E1140&lt;&gt;"",E1140&lt;B1140),AND(F1140&lt;&gt;"",F1140&lt;B1140)),"Evento anterior à entrada",IF(AND(F1140&lt;&gt;"",E1140=""),"Conversa sem agendamento",IF(OR(E1140&gt;TODAY(),F1140&gt;TODAY()),"Verificar evento futuro","OK"))))))</f>
        <v/>
      </c>
    </row>
    <row r="1141" spans="9:12">
      <c r="I1141" s="5">
        <f>IF(OR(A1141="",B1141=""),"",B1141-WEEKDAY(B1141,2)+1)</f>
        <v/>
      </c>
      <c r="J1141" s="5">
        <f>IF(I1141="","",I1141+6)</f>
        <v/>
      </c>
      <c r="K1141" s="6">
        <f>IF(OR(A1141="",B1141=""),"",DATE(YEAR(B1141),MONTH(B1141),1))</f>
        <v/>
      </c>
      <c r="L1141" s="7">
        <f>IF(COUNTA(A1141,B1141)=0,"",IF(OR(A1141="",B1141=""),"Preencher CPF e entrada",IF(COUNTIFS($A$12:$A$5011,A1141,$B$12:$B$5011,B1141)&gt;1,"CPF + dia duplicado",IF(OR(AND(E1141&lt;&gt;"",E1141&lt;B1141),AND(F1141&lt;&gt;"",F1141&lt;B1141)),"Evento anterior à entrada",IF(AND(F1141&lt;&gt;"",E1141=""),"Conversa sem agendamento",IF(OR(E1141&gt;TODAY(),F1141&gt;TODAY()),"Verificar evento futuro","OK"))))))</f>
        <v/>
      </c>
    </row>
    <row r="1142" spans="9:12">
      <c r="I1142" s="5">
        <f>IF(OR(A1142="",B1142=""),"",B1142-WEEKDAY(B1142,2)+1)</f>
        <v/>
      </c>
      <c r="J1142" s="5">
        <f>IF(I1142="","",I1142+6)</f>
        <v/>
      </c>
      <c r="K1142" s="6">
        <f>IF(OR(A1142="",B1142=""),"",DATE(YEAR(B1142),MONTH(B1142),1))</f>
        <v/>
      </c>
      <c r="L1142" s="7">
        <f>IF(COUNTA(A1142,B1142)=0,"",IF(OR(A1142="",B1142=""),"Preencher CPF e entrada",IF(COUNTIFS($A$12:$A$5011,A1142,$B$12:$B$5011,B1142)&gt;1,"CPF + dia duplicado",IF(OR(AND(E1142&lt;&gt;"",E1142&lt;B1142),AND(F1142&lt;&gt;"",F1142&lt;B1142)),"Evento anterior à entrada",IF(AND(F1142&lt;&gt;"",E1142=""),"Conversa sem agendamento",IF(OR(E1142&gt;TODAY(),F1142&gt;TODAY()),"Verificar evento futuro","OK"))))))</f>
        <v/>
      </c>
    </row>
    <row r="1143" spans="9:12">
      <c r="I1143" s="5">
        <f>IF(OR(A1143="",B1143=""),"",B1143-WEEKDAY(B1143,2)+1)</f>
        <v/>
      </c>
      <c r="J1143" s="5">
        <f>IF(I1143="","",I1143+6)</f>
        <v/>
      </c>
      <c r="K1143" s="6">
        <f>IF(OR(A1143="",B1143=""),"",DATE(YEAR(B1143),MONTH(B1143),1))</f>
        <v/>
      </c>
      <c r="L1143" s="7">
        <f>IF(COUNTA(A1143,B1143)=0,"",IF(OR(A1143="",B1143=""),"Preencher CPF e entrada",IF(COUNTIFS($A$12:$A$5011,A1143,$B$12:$B$5011,B1143)&gt;1,"CPF + dia duplicado",IF(OR(AND(E1143&lt;&gt;"",E1143&lt;B1143),AND(F1143&lt;&gt;"",F1143&lt;B1143)),"Evento anterior à entrada",IF(AND(F1143&lt;&gt;"",E1143=""),"Conversa sem agendamento",IF(OR(E1143&gt;TODAY(),F1143&gt;TODAY()),"Verificar evento futuro","OK"))))))</f>
        <v/>
      </c>
    </row>
    <row r="1144" spans="9:12">
      <c r="I1144" s="5">
        <f>IF(OR(A1144="",B1144=""),"",B1144-WEEKDAY(B1144,2)+1)</f>
        <v/>
      </c>
      <c r="J1144" s="5">
        <f>IF(I1144="","",I1144+6)</f>
        <v/>
      </c>
      <c r="K1144" s="6">
        <f>IF(OR(A1144="",B1144=""),"",DATE(YEAR(B1144),MONTH(B1144),1))</f>
        <v/>
      </c>
      <c r="L1144" s="7">
        <f>IF(COUNTA(A1144,B1144)=0,"",IF(OR(A1144="",B1144=""),"Preencher CPF e entrada",IF(COUNTIFS($A$12:$A$5011,A1144,$B$12:$B$5011,B1144)&gt;1,"CPF + dia duplicado",IF(OR(AND(E1144&lt;&gt;"",E1144&lt;B1144),AND(F1144&lt;&gt;"",F1144&lt;B1144)),"Evento anterior à entrada",IF(AND(F1144&lt;&gt;"",E1144=""),"Conversa sem agendamento",IF(OR(E1144&gt;TODAY(),F1144&gt;TODAY()),"Verificar evento futuro","OK"))))))</f>
        <v/>
      </c>
    </row>
    <row r="1145" spans="9:12">
      <c r="I1145" s="5">
        <f>IF(OR(A1145="",B1145=""),"",B1145-WEEKDAY(B1145,2)+1)</f>
        <v/>
      </c>
      <c r="J1145" s="5">
        <f>IF(I1145="","",I1145+6)</f>
        <v/>
      </c>
      <c r="K1145" s="6">
        <f>IF(OR(A1145="",B1145=""),"",DATE(YEAR(B1145),MONTH(B1145),1))</f>
        <v/>
      </c>
      <c r="L1145" s="7">
        <f>IF(COUNTA(A1145,B1145)=0,"",IF(OR(A1145="",B1145=""),"Preencher CPF e entrada",IF(COUNTIFS($A$12:$A$5011,A1145,$B$12:$B$5011,B1145)&gt;1,"CPF + dia duplicado",IF(OR(AND(E1145&lt;&gt;"",E1145&lt;B1145),AND(F1145&lt;&gt;"",F1145&lt;B1145)),"Evento anterior à entrada",IF(AND(F1145&lt;&gt;"",E1145=""),"Conversa sem agendamento",IF(OR(E1145&gt;TODAY(),F1145&gt;TODAY()),"Verificar evento futuro","OK"))))))</f>
        <v/>
      </c>
    </row>
    <row r="1146" spans="9:12">
      <c r="I1146" s="5">
        <f>IF(OR(A1146="",B1146=""),"",B1146-WEEKDAY(B1146,2)+1)</f>
        <v/>
      </c>
      <c r="J1146" s="5">
        <f>IF(I1146="","",I1146+6)</f>
        <v/>
      </c>
      <c r="K1146" s="6">
        <f>IF(OR(A1146="",B1146=""),"",DATE(YEAR(B1146),MONTH(B1146),1))</f>
        <v/>
      </c>
      <c r="L1146" s="7">
        <f>IF(COUNTA(A1146,B1146)=0,"",IF(OR(A1146="",B1146=""),"Preencher CPF e entrada",IF(COUNTIFS($A$12:$A$5011,A1146,$B$12:$B$5011,B1146)&gt;1,"CPF + dia duplicado",IF(OR(AND(E1146&lt;&gt;"",E1146&lt;B1146),AND(F1146&lt;&gt;"",F1146&lt;B1146)),"Evento anterior à entrada",IF(AND(F1146&lt;&gt;"",E1146=""),"Conversa sem agendamento",IF(OR(E1146&gt;TODAY(),F1146&gt;TODAY()),"Verificar evento futuro","OK"))))))</f>
        <v/>
      </c>
    </row>
    <row r="1147" spans="9:12">
      <c r="I1147" s="5">
        <f>IF(OR(A1147="",B1147=""),"",B1147-WEEKDAY(B1147,2)+1)</f>
        <v/>
      </c>
      <c r="J1147" s="5">
        <f>IF(I1147="","",I1147+6)</f>
        <v/>
      </c>
      <c r="K1147" s="6">
        <f>IF(OR(A1147="",B1147=""),"",DATE(YEAR(B1147),MONTH(B1147),1))</f>
        <v/>
      </c>
      <c r="L1147" s="7">
        <f>IF(COUNTA(A1147,B1147)=0,"",IF(OR(A1147="",B1147=""),"Preencher CPF e entrada",IF(COUNTIFS($A$12:$A$5011,A1147,$B$12:$B$5011,B1147)&gt;1,"CPF + dia duplicado",IF(OR(AND(E1147&lt;&gt;"",E1147&lt;B1147),AND(F1147&lt;&gt;"",F1147&lt;B1147)),"Evento anterior à entrada",IF(AND(F1147&lt;&gt;"",E1147=""),"Conversa sem agendamento",IF(OR(E1147&gt;TODAY(),F1147&gt;TODAY()),"Verificar evento futuro","OK"))))))</f>
        <v/>
      </c>
    </row>
    <row r="1148" spans="9:12">
      <c r="I1148" s="5">
        <f>IF(OR(A1148="",B1148=""),"",B1148-WEEKDAY(B1148,2)+1)</f>
        <v/>
      </c>
      <c r="J1148" s="5">
        <f>IF(I1148="","",I1148+6)</f>
        <v/>
      </c>
      <c r="K1148" s="6">
        <f>IF(OR(A1148="",B1148=""),"",DATE(YEAR(B1148),MONTH(B1148),1))</f>
        <v/>
      </c>
      <c r="L1148" s="7">
        <f>IF(COUNTA(A1148,B1148)=0,"",IF(OR(A1148="",B1148=""),"Preencher CPF e entrada",IF(COUNTIFS($A$12:$A$5011,A1148,$B$12:$B$5011,B1148)&gt;1,"CPF + dia duplicado",IF(OR(AND(E1148&lt;&gt;"",E1148&lt;B1148),AND(F1148&lt;&gt;"",F1148&lt;B1148)),"Evento anterior à entrada",IF(AND(F1148&lt;&gt;"",E1148=""),"Conversa sem agendamento",IF(OR(E1148&gt;TODAY(),F1148&gt;TODAY()),"Verificar evento futuro","OK"))))))</f>
        <v/>
      </c>
    </row>
    <row r="1149" spans="9:12">
      <c r="I1149" s="5">
        <f>IF(OR(A1149="",B1149=""),"",B1149-WEEKDAY(B1149,2)+1)</f>
        <v/>
      </c>
      <c r="J1149" s="5">
        <f>IF(I1149="","",I1149+6)</f>
        <v/>
      </c>
      <c r="K1149" s="6">
        <f>IF(OR(A1149="",B1149=""),"",DATE(YEAR(B1149),MONTH(B1149),1))</f>
        <v/>
      </c>
      <c r="L1149" s="7">
        <f>IF(COUNTA(A1149,B1149)=0,"",IF(OR(A1149="",B1149=""),"Preencher CPF e entrada",IF(COUNTIFS($A$12:$A$5011,A1149,$B$12:$B$5011,B1149)&gt;1,"CPF + dia duplicado",IF(OR(AND(E1149&lt;&gt;"",E1149&lt;B1149),AND(F1149&lt;&gt;"",F1149&lt;B1149)),"Evento anterior à entrada",IF(AND(F1149&lt;&gt;"",E1149=""),"Conversa sem agendamento",IF(OR(E1149&gt;TODAY(),F1149&gt;TODAY()),"Verificar evento futuro","OK"))))))</f>
        <v/>
      </c>
    </row>
    <row r="1150" spans="9:12">
      <c r="I1150" s="5">
        <f>IF(OR(A1150="",B1150=""),"",B1150-WEEKDAY(B1150,2)+1)</f>
        <v/>
      </c>
      <c r="J1150" s="5">
        <f>IF(I1150="","",I1150+6)</f>
        <v/>
      </c>
      <c r="K1150" s="6">
        <f>IF(OR(A1150="",B1150=""),"",DATE(YEAR(B1150),MONTH(B1150),1))</f>
        <v/>
      </c>
      <c r="L1150" s="7">
        <f>IF(COUNTA(A1150,B1150)=0,"",IF(OR(A1150="",B1150=""),"Preencher CPF e entrada",IF(COUNTIFS($A$12:$A$5011,A1150,$B$12:$B$5011,B1150)&gt;1,"CPF + dia duplicado",IF(OR(AND(E1150&lt;&gt;"",E1150&lt;B1150),AND(F1150&lt;&gt;"",F1150&lt;B1150)),"Evento anterior à entrada",IF(AND(F1150&lt;&gt;"",E1150=""),"Conversa sem agendamento",IF(OR(E1150&gt;TODAY(),F1150&gt;TODAY()),"Verificar evento futuro","OK"))))))</f>
        <v/>
      </c>
    </row>
    <row r="1151" spans="9:12">
      <c r="I1151" s="5">
        <f>IF(OR(A1151="",B1151=""),"",B1151-WEEKDAY(B1151,2)+1)</f>
        <v/>
      </c>
      <c r="J1151" s="5">
        <f>IF(I1151="","",I1151+6)</f>
        <v/>
      </c>
      <c r="K1151" s="6">
        <f>IF(OR(A1151="",B1151=""),"",DATE(YEAR(B1151),MONTH(B1151),1))</f>
        <v/>
      </c>
      <c r="L1151" s="7">
        <f>IF(COUNTA(A1151,B1151)=0,"",IF(OR(A1151="",B1151=""),"Preencher CPF e entrada",IF(COUNTIFS($A$12:$A$5011,A1151,$B$12:$B$5011,B1151)&gt;1,"CPF + dia duplicado",IF(OR(AND(E1151&lt;&gt;"",E1151&lt;B1151),AND(F1151&lt;&gt;"",F1151&lt;B1151)),"Evento anterior à entrada",IF(AND(F1151&lt;&gt;"",E1151=""),"Conversa sem agendamento",IF(OR(E1151&gt;TODAY(),F1151&gt;TODAY()),"Verificar evento futuro","OK"))))))</f>
        <v/>
      </c>
    </row>
    <row r="1152" spans="9:12">
      <c r="I1152" s="5">
        <f>IF(OR(A1152="",B1152=""),"",B1152-WEEKDAY(B1152,2)+1)</f>
        <v/>
      </c>
      <c r="J1152" s="5">
        <f>IF(I1152="","",I1152+6)</f>
        <v/>
      </c>
      <c r="K1152" s="6">
        <f>IF(OR(A1152="",B1152=""),"",DATE(YEAR(B1152),MONTH(B1152),1))</f>
        <v/>
      </c>
      <c r="L1152" s="7">
        <f>IF(COUNTA(A1152,B1152)=0,"",IF(OR(A1152="",B1152=""),"Preencher CPF e entrada",IF(COUNTIFS($A$12:$A$5011,A1152,$B$12:$B$5011,B1152)&gt;1,"CPF + dia duplicado",IF(OR(AND(E1152&lt;&gt;"",E1152&lt;B1152),AND(F1152&lt;&gt;"",F1152&lt;B1152)),"Evento anterior à entrada",IF(AND(F1152&lt;&gt;"",E1152=""),"Conversa sem agendamento",IF(OR(E1152&gt;TODAY(),F1152&gt;TODAY()),"Verificar evento futuro","OK"))))))</f>
        <v/>
      </c>
    </row>
    <row r="1153" spans="9:12">
      <c r="I1153" s="5">
        <f>IF(OR(A1153="",B1153=""),"",B1153-WEEKDAY(B1153,2)+1)</f>
        <v/>
      </c>
      <c r="J1153" s="5">
        <f>IF(I1153="","",I1153+6)</f>
        <v/>
      </c>
      <c r="K1153" s="6">
        <f>IF(OR(A1153="",B1153=""),"",DATE(YEAR(B1153),MONTH(B1153),1))</f>
        <v/>
      </c>
      <c r="L1153" s="7">
        <f>IF(COUNTA(A1153,B1153)=0,"",IF(OR(A1153="",B1153=""),"Preencher CPF e entrada",IF(COUNTIFS($A$12:$A$5011,A1153,$B$12:$B$5011,B1153)&gt;1,"CPF + dia duplicado",IF(OR(AND(E1153&lt;&gt;"",E1153&lt;B1153),AND(F1153&lt;&gt;"",F1153&lt;B1153)),"Evento anterior à entrada",IF(AND(F1153&lt;&gt;"",E1153=""),"Conversa sem agendamento",IF(OR(E1153&gt;TODAY(),F1153&gt;TODAY()),"Verificar evento futuro","OK"))))))</f>
        <v/>
      </c>
    </row>
    <row r="1154" spans="9:12">
      <c r="I1154" s="5">
        <f>IF(OR(A1154="",B1154=""),"",B1154-WEEKDAY(B1154,2)+1)</f>
        <v/>
      </c>
      <c r="J1154" s="5">
        <f>IF(I1154="","",I1154+6)</f>
        <v/>
      </c>
      <c r="K1154" s="6">
        <f>IF(OR(A1154="",B1154=""),"",DATE(YEAR(B1154),MONTH(B1154),1))</f>
        <v/>
      </c>
      <c r="L1154" s="7">
        <f>IF(COUNTA(A1154,B1154)=0,"",IF(OR(A1154="",B1154=""),"Preencher CPF e entrada",IF(COUNTIFS($A$12:$A$5011,A1154,$B$12:$B$5011,B1154)&gt;1,"CPF + dia duplicado",IF(OR(AND(E1154&lt;&gt;"",E1154&lt;B1154),AND(F1154&lt;&gt;"",F1154&lt;B1154)),"Evento anterior à entrada",IF(AND(F1154&lt;&gt;"",E1154=""),"Conversa sem agendamento",IF(OR(E1154&gt;TODAY(),F1154&gt;TODAY()),"Verificar evento futuro","OK"))))))</f>
        <v/>
      </c>
    </row>
    <row r="1155" spans="9:12">
      <c r="I1155" s="5">
        <f>IF(OR(A1155="",B1155=""),"",B1155-WEEKDAY(B1155,2)+1)</f>
        <v/>
      </c>
      <c r="J1155" s="5">
        <f>IF(I1155="","",I1155+6)</f>
        <v/>
      </c>
      <c r="K1155" s="6">
        <f>IF(OR(A1155="",B1155=""),"",DATE(YEAR(B1155),MONTH(B1155),1))</f>
        <v/>
      </c>
      <c r="L1155" s="7">
        <f>IF(COUNTA(A1155,B1155)=0,"",IF(OR(A1155="",B1155=""),"Preencher CPF e entrada",IF(COUNTIFS($A$12:$A$5011,A1155,$B$12:$B$5011,B1155)&gt;1,"CPF + dia duplicado",IF(OR(AND(E1155&lt;&gt;"",E1155&lt;B1155),AND(F1155&lt;&gt;"",F1155&lt;B1155)),"Evento anterior à entrada",IF(AND(F1155&lt;&gt;"",E1155=""),"Conversa sem agendamento",IF(OR(E1155&gt;TODAY(),F1155&gt;TODAY()),"Verificar evento futuro","OK"))))))</f>
        <v/>
      </c>
    </row>
    <row r="1156" spans="9:12">
      <c r="I1156" s="5">
        <f>IF(OR(A1156="",B1156=""),"",B1156-WEEKDAY(B1156,2)+1)</f>
        <v/>
      </c>
      <c r="J1156" s="5">
        <f>IF(I1156="","",I1156+6)</f>
        <v/>
      </c>
      <c r="K1156" s="6">
        <f>IF(OR(A1156="",B1156=""),"",DATE(YEAR(B1156),MONTH(B1156),1))</f>
        <v/>
      </c>
      <c r="L1156" s="7">
        <f>IF(COUNTA(A1156,B1156)=0,"",IF(OR(A1156="",B1156=""),"Preencher CPF e entrada",IF(COUNTIFS($A$12:$A$5011,A1156,$B$12:$B$5011,B1156)&gt;1,"CPF + dia duplicado",IF(OR(AND(E1156&lt;&gt;"",E1156&lt;B1156),AND(F1156&lt;&gt;"",F1156&lt;B1156)),"Evento anterior à entrada",IF(AND(F1156&lt;&gt;"",E1156=""),"Conversa sem agendamento",IF(OR(E1156&gt;TODAY(),F1156&gt;TODAY()),"Verificar evento futuro","OK"))))))</f>
        <v/>
      </c>
    </row>
    <row r="1157" spans="9:12">
      <c r="I1157" s="5">
        <f>IF(OR(A1157="",B1157=""),"",B1157-WEEKDAY(B1157,2)+1)</f>
        <v/>
      </c>
      <c r="J1157" s="5">
        <f>IF(I1157="","",I1157+6)</f>
        <v/>
      </c>
      <c r="K1157" s="6">
        <f>IF(OR(A1157="",B1157=""),"",DATE(YEAR(B1157),MONTH(B1157),1))</f>
        <v/>
      </c>
      <c r="L1157" s="7">
        <f>IF(COUNTA(A1157,B1157)=0,"",IF(OR(A1157="",B1157=""),"Preencher CPF e entrada",IF(COUNTIFS($A$12:$A$5011,A1157,$B$12:$B$5011,B1157)&gt;1,"CPF + dia duplicado",IF(OR(AND(E1157&lt;&gt;"",E1157&lt;B1157),AND(F1157&lt;&gt;"",F1157&lt;B1157)),"Evento anterior à entrada",IF(AND(F1157&lt;&gt;"",E1157=""),"Conversa sem agendamento",IF(OR(E1157&gt;TODAY(),F1157&gt;TODAY()),"Verificar evento futuro","OK"))))))</f>
        <v/>
      </c>
    </row>
    <row r="1158" spans="9:12">
      <c r="I1158" s="5">
        <f>IF(OR(A1158="",B1158=""),"",B1158-WEEKDAY(B1158,2)+1)</f>
        <v/>
      </c>
      <c r="J1158" s="5">
        <f>IF(I1158="","",I1158+6)</f>
        <v/>
      </c>
      <c r="K1158" s="6">
        <f>IF(OR(A1158="",B1158=""),"",DATE(YEAR(B1158),MONTH(B1158),1))</f>
        <v/>
      </c>
      <c r="L1158" s="7">
        <f>IF(COUNTA(A1158,B1158)=0,"",IF(OR(A1158="",B1158=""),"Preencher CPF e entrada",IF(COUNTIFS($A$12:$A$5011,A1158,$B$12:$B$5011,B1158)&gt;1,"CPF + dia duplicado",IF(OR(AND(E1158&lt;&gt;"",E1158&lt;B1158),AND(F1158&lt;&gt;"",F1158&lt;B1158)),"Evento anterior à entrada",IF(AND(F1158&lt;&gt;"",E1158=""),"Conversa sem agendamento",IF(OR(E1158&gt;TODAY(),F1158&gt;TODAY()),"Verificar evento futuro","OK"))))))</f>
        <v/>
      </c>
    </row>
    <row r="1159" spans="9:12">
      <c r="I1159" s="5">
        <f>IF(OR(A1159="",B1159=""),"",B1159-WEEKDAY(B1159,2)+1)</f>
        <v/>
      </c>
      <c r="J1159" s="5">
        <f>IF(I1159="","",I1159+6)</f>
        <v/>
      </c>
      <c r="K1159" s="6">
        <f>IF(OR(A1159="",B1159=""),"",DATE(YEAR(B1159),MONTH(B1159),1))</f>
        <v/>
      </c>
      <c r="L1159" s="7">
        <f>IF(COUNTA(A1159,B1159)=0,"",IF(OR(A1159="",B1159=""),"Preencher CPF e entrada",IF(COUNTIFS($A$12:$A$5011,A1159,$B$12:$B$5011,B1159)&gt;1,"CPF + dia duplicado",IF(OR(AND(E1159&lt;&gt;"",E1159&lt;B1159),AND(F1159&lt;&gt;"",F1159&lt;B1159)),"Evento anterior à entrada",IF(AND(F1159&lt;&gt;"",E1159=""),"Conversa sem agendamento",IF(OR(E1159&gt;TODAY(),F1159&gt;TODAY()),"Verificar evento futuro","OK"))))))</f>
        <v/>
      </c>
    </row>
    <row r="1160" spans="9:12">
      <c r="I1160" s="5">
        <f>IF(OR(A1160="",B1160=""),"",B1160-WEEKDAY(B1160,2)+1)</f>
        <v/>
      </c>
      <c r="J1160" s="5">
        <f>IF(I1160="","",I1160+6)</f>
        <v/>
      </c>
      <c r="K1160" s="6">
        <f>IF(OR(A1160="",B1160=""),"",DATE(YEAR(B1160),MONTH(B1160),1))</f>
        <v/>
      </c>
      <c r="L1160" s="7">
        <f>IF(COUNTA(A1160,B1160)=0,"",IF(OR(A1160="",B1160=""),"Preencher CPF e entrada",IF(COUNTIFS($A$12:$A$5011,A1160,$B$12:$B$5011,B1160)&gt;1,"CPF + dia duplicado",IF(OR(AND(E1160&lt;&gt;"",E1160&lt;B1160),AND(F1160&lt;&gt;"",F1160&lt;B1160)),"Evento anterior à entrada",IF(AND(F1160&lt;&gt;"",E1160=""),"Conversa sem agendamento",IF(OR(E1160&gt;TODAY(),F1160&gt;TODAY()),"Verificar evento futuro","OK"))))))</f>
        <v/>
      </c>
    </row>
    <row r="1161" spans="9:12">
      <c r="I1161" s="5">
        <f>IF(OR(A1161="",B1161=""),"",B1161-WEEKDAY(B1161,2)+1)</f>
        <v/>
      </c>
      <c r="J1161" s="5">
        <f>IF(I1161="","",I1161+6)</f>
        <v/>
      </c>
      <c r="K1161" s="6">
        <f>IF(OR(A1161="",B1161=""),"",DATE(YEAR(B1161),MONTH(B1161),1))</f>
        <v/>
      </c>
      <c r="L1161" s="7">
        <f>IF(COUNTA(A1161,B1161)=0,"",IF(OR(A1161="",B1161=""),"Preencher CPF e entrada",IF(COUNTIFS($A$12:$A$5011,A1161,$B$12:$B$5011,B1161)&gt;1,"CPF + dia duplicado",IF(OR(AND(E1161&lt;&gt;"",E1161&lt;B1161),AND(F1161&lt;&gt;"",F1161&lt;B1161)),"Evento anterior à entrada",IF(AND(F1161&lt;&gt;"",E1161=""),"Conversa sem agendamento",IF(OR(E1161&gt;TODAY(),F1161&gt;TODAY()),"Verificar evento futuro","OK"))))))</f>
        <v/>
      </c>
    </row>
    <row r="1162" spans="9:12">
      <c r="I1162" s="5">
        <f>IF(OR(A1162="",B1162=""),"",B1162-WEEKDAY(B1162,2)+1)</f>
        <v/>
      </c>
      <c r="J1162" s="5">
        <f>IF(I1162="","",I1162+6)</f>
        <v/>
      </c>
      <c r="K1162" s="6">
        <f>IF(OR(A1162="",B1162=""),"",DATE(YEAR(B1162),MONTH(B1162),1))</f>
        <v/>
      </c>
      <c r="L1162" s="7">
        <f>IF(COUNTA(A1162,B1162)=0,"",IF(OR(A1162="",B1162=""),"Preencher CPF e entrada",IF(COUNTIFS($A$12:$A$5011,A1162,$B$12:$B$5011,B1162)&gt;1,"CPF + dia duplicado",IF(OR(AND(E1162&lt;&gt;"",E1162&lt;B1162),AND(F1162&lt;&gt;"",F1162&lt;B1162)),"Evento anterior à entrada",IF(AND(F1162&lt;&gt;"",E1162=""),"Conversa sem agendamento",IF(OR(E1162&gt;TODAY(),F1162&gt;TODAY()),"Verificar evento futuro","OK"))))))</f>
        <v/>
      </c>
    </row>
    <row r="1163" spans="9:12">
      <c r="I1163" s="5">
        <f>IF(OR(A1163="",B1163=""),"",B1163-WEEKDAY(B1163,2)+1)</f>
        <v/>
      </c>
      <c r="J1163" s="5">
        <f>IF(I1163="","",I1163+6)</f>
        <v/>
      </c>
      <c r="K1163" s="6">
        <f>IF(OR(A1163="",B1163=""),"",DATE(YEAR(B1163),MONTH(B1163),1))</f>
        <v/>
      </c>
      <c r="L1163" s="7">
        <f>IF(COUNTA(A1163,B1163)=0,"",IF(OR(A1163="",B1163=""),"Preencher CPF e entrada",IF(COUNTIFS($A$12:$A$5011,A1163,$B$12:$B$5011,B1163)&gt;1,"CPF + dia duplicado",IF(OR(AND(E1163&lt;&gt;"",E1163&lt;B1163),AND(F1163&lt;&gt;"",F1163&lt;B1163)),"Evento anterior à entrada",IF(AND(F1163&lt;&gt;"",E1163=""),"Conversa sem agendamento",IF(OR(E1163&gt;TODAY(),F1163&gt;TODAY()),"Verificar evento futuro","OK"))))))</f>
        <v/>
      </c>
    </row>
    <row r="1164" spans="9:12">
      <c r="I1164" s="5">
        <f>IF(OR(A1164="",B1164=""),"",B1164-WEEKDAY(B1164,2)+1)</f>
        <v/>
      </c>
      <c r="J1164" s="5">
        <f>IF(I1164="","",I1164+6)</f>
        <v/>
      </c>
      <c r="K1164" s="6">
        <f>IF(OR(A1164="",B1164=""),"",DATE(YEAR(B1164),MONTH(B1164),1))</f>
        <v/>
      </c>
      <c r="L1164" s="7">
        <f>IF(COUNTA(A1164,B1164)=0,"",IF(OR(A1164="",B1164=""),"Preencher CPF e entrada",IF(COUNTIFS($A$12:$A$5011,A1164,$B$12:$B$5011,B1164)&gt;1,"CPF + dia duplicado",IF(OR(AND(E1164&lt;&gt;"",E1164&lt;B1164),AND(F1164&lt;&gt;"",F1164&lt;B1164)),"Evento anterior à entrada",IF(AND(F1164&lt;&gt;"",E1164=""),"Conversa sem agendamento",IF(OR(E1164&gt;TODAY(),F1164&gt;TODAY()),"Verificar evento futuro","OK"))))))</f>
        <v/>
      </c>
    </row>
    <row r="1165" spans="9:12">
      <c r="I1165" s="5">
        <f>IF(OR(A1165="",B1165=""),"",B1165-WEEKDAY(B1165,2)+1)</f>
        <v/>
      </c>
      <c r="J1165" s="5">
        <f>IF(I1165="","",I1165+6)</f>
        <v/>
      </c>
      <c r="K1165" s="6">
        <f>IF(OR(A1165="",B1165=""),"",DATE(YEAR(B1165),MONTH(B1165),1))</f>
        <v/>
      </c>
      <c r="L1165" s="7">
        <f>IF(COUNTA(A1165,B1165)=0,"",IF(OR(A1165="",B1165=""),"Preencher CPF e entrada",IF(COUNTIFS($A$12:$A$5011,A1165,$B$12:$B$5011,B1165)&gt;1,"CPF + dia duplicado",IF(OR(AND(E1165&lt;&gt;"",E1165&lt;B1165),AND(F1165&lt;&gt;"",F1165&lt;B1165)),"Evento anterior à entrada",IF(AND(F1165&lt;&gt;"",E1165=""),"Conversa sem agendamento",IF(OR(E1165&gt;TODAY(),F1165&gt;TODAY()),"Verificar evento futuro","OK"))))))</f>
        <v/>
      </c>
    </row>
    <row r="1166" spans="9:12">
      <c r="I1166" s="5">
        <f>IF(OR(A1166="",B1166=""),"",B1166-WEEKDAY(B1166,2)+1)</f>
        <v/>
      </c>
      <c r="J1166" s="5">
        <f>IF(I1166="","",I1166+6)</f>
        <v/>
      </c>
      <c r="K1166" s="6">
        <f>IF(OR(A1166="",B1166=""),"",DATE(YEAR(B1166),MONTH(B1166),1))</f>
        <v/>
      </c>
      <c r="L1166" s="7">
        <f>IF(COUNTA(A1166,B1166)=0,"",IF(OR(A1166="",B1166=""),"Preencher CPF e entrada",IF(COUNTIFS($A$12:$A$5011,A1166,$B$12:$B$5011,B1166)&gt;1,"CPF + dia duplicado",IF(OR(AND(E1166&lt;&gt;"",E1166&lt;B1166),AND(F1166&lt;&gt;"",F1166&lt;B1166)),"Evento anterior à entrada",IF(AND(F1166&lt;&gt;"",E1166=""),"Conversa sem agendamento",IF(OR(E1166&gt;TODAY(),F1166&gt;TODAY()),"Verificar evento futuro","OK"))))))</f>
        <v/>
      </c>
    </row>
    <row r="1167" spans="9:12">
      <c r="I1167" s="5">
        <f>IF(OR(A1167="",B1167=""),"",B1167-WEEKDAY(B1167,2)+1)</f>
        <v/>
      </c>
      <c r="J1167" s="5">
        <f>IF(I1167="","",I1167+6)</f>
        <v/>
      </c>
      <c r="K1167" s="6">
        <f>IF(OR(A1167="",B1167=""),"",DATE(YEAR(B1167),MONTH(B1167),1))</f>
        <v/>
      </c>
      <c r="L1167" s="7">
        <f>IF(COUNTA(A1167,B1167)=0,"",IF(OR(A1167="",B1167=""),"Preencher CPF e entrada",IF(COUNTIFS($A$12:$A$5011,A1167,$B$12:$B$5011,B1167)&gt;1,"CPF + dia duplicado",IF(OR(AND(E1167&lt;&gt;"",E1167&lt;B1167),AND(F1167&lt;&gt;"",F1167&lt;B1167)),"Evento anterior à entrada",IF(AND(F1167&lt;&gt;"",E1167=""),"Conversa sem agendamento",IF(OR(E1167&gt;TODAY(),F1167&gt;TODAY()),"Verificar evento futuro","OK"))))))</f>
        <v/>
      </c>
    </row>
    <row r="1168" spans="9:12">
      <c r="I1168" s="5">
        <f>IF(OR(A1168="",B1168=""),"",B1168-WEEKDAY(B1168,2)+1)</f>
        <v/>
      </c>
      <c r="J1168" s="5">
        <f>IF(I1168="","",I1168+6)</f>
        <v/>
      </c>
      <c r="K1168" s="6">
        <f>IF(OR(A1168="",B1168=""),"",DATE(YEAR(B1168),MONTH(B1168),1))</f>
        <v/>
      </c>
      <c r="L1168" s="7">
        <f>IF(COUNTA(A1168,B1168)=0,"",IF(OR(A1168="",B1168=""),"Preencher CPF e entrada",IF(COUNTIFS($A$12:$A$5011,A1168,$B$12:$B$5011,B1168)&gt;1,"CPF + dia duplicado",IF(OR(AND(E1168&lt;&gt;"",E1168&lt;B1168),AND(F1168&lt;&gt;"",F1168&lt;B1168)),"Evento anterior à entrada",IF(AND(F1168&lt;&gt;"",E1168=""),"Conversa sem agendamento",IF(OR(E1168&gt;TODAY(),F1168&gt;TODAY()),"Verificar evento futuro","OK"))))))</f>
        <v/>
      </c>
    </row>
    <row r="1169" spans="9:12">
      <c r="I1169" s="5">
        <f>IF(OR(A1169="",B1169=""),"",B1169-WEEKDAY(B1169,2)+1)</f>
        <v/>
      </c>
      <c r="J1169" s="5">
        <f>IF(I1169="","",I1169+6)</f>
        <v/>
      </c>
      <c r="K1169" s="6">
        <f>IF(OR(A1169="",B1169=""),"",DATE(YEAR(B1169),MONTH(B1169),1))</f>
        <v/>
      </c>
      <c r="L1169" s="7">
        <f>IF(COUNTA(A1169,B1169)=0,"",IF(OR(A1169="",B1169=""),"Preencher CPF e entrada",IF(COUNTIFS($A$12:$A$5011,A1169,$B$12:$B$5011,B1169)&gt;1,"CPF + dia duplicado",IF(OR(AND(E1169&lt;&gt;"",E1169&lt;B1169),AND(F1169&lt;&gt;"",F1169&lt;B1169)),"Evento anterior à entrada",IF(AND(F1169&lt;&gt;"",E1169=""),"Conversa sem agendamento",IF(OR(E1169&gt;TODAY(),F1169&gt;TODAY()),"Verificar evento futuro","OK"))))))</f>
        <v/>
      </c>
    </row>
    <row r="1170" spans="9:12">
      <c r="I1170" s="5">
        <f>IF(OR(A1170="",B1170=""),"",B1170-WEEKDAY(B1170,2)+1)</f>
        <v/>
      </c>
      <c r="J1170" s="5">
        <f>IF(I1170="","",I1170+6)</f>
        <v/>
      </c>
      <c r="K1170" s="6">
        <f>IF(OR(A1170="",B1170=""),"",DATE(YEAR(B1170),MONTH(B1170),1))</f>
        <v/>
      </c>
      <c r="L1170" s="7">
        <f>IF(COUNTA(A1170,B1170)=0,"",IF(OR(A1170="",B1170=""),"Preencher CPF e entrada",IF(COUNTIFS($A$12:$A$5011,A1170,$B$12:$B$5011,B1170)&gt;1,"CPF + dia duplicado",IF(OR(AND(E1170&lt;&gt;"",E1170&lt;B1170),AND(F1170&lt;&gt;"",F1170&lt;B1170)),"Evento anterior à entrada",IF(AND(F1170&lt;&gt;"",E1170=""),"Conversa sem agendamento",IF(OR(E1170&gt;TODAY(),F1170&gt;TODAY()),"Verificar evento futuro","OK"))))))</f>
        <v/>
      </c>
    </row>
    <row r="1171" spans="9:12">
      <c r="I1171" s="5">
        <f>IF(OR(A1171="",B1171=""),"",B1171-WEEKDAY(B1171,2)+1)</f>
        <v/>
      </c>
      <c r="J1171" s="5">
        <f>IF(I1171="","",I1171+6)</f>
        <v/>
      </c>
      <c r="K1171" s="6">
        <f>IF(OR(A1171="",B1171=""),"",DATE(YEAR(B1171),MONTH(B1171),1))</f>
        <v/>
      </c>
      <c r="L1171" s="7">
        <f>IF(COUNTA(A1171,B1171)=0,"",IF(OR(A1171="",B1171=""),"Preencher CPF e entrada",IF(COUNTIFS($A$12:$A$5011,A1171,$B$12:$B$5011,B1171)&gt;1,"CPF + dia duplicado",IF(OR(AND(E1171&lt;&gt;"",E1171&lt;B1171),AND(F1171&lt;&gt;"",F1171&lt;B1171)),"Evento anterior à entrada",IF(AND(F1171&lt;&gt;"",E1171=""),"Conversa sem agendamento",IF(OR(E1171&gt;TODAY(),F1171&gt;TODAY()),"Verificar evento futuro","OK"))))))</f>
        <v/>
      </c>
    </row>
    <row r="1172" spans="9:12">
      <c r="I1172" s="5">
        <f>IF(OR(A1172="",B1172=""),"",B1172-WEEKDAY(B1172,2)+1)</f>
        <v/>
      </c>
      <c r="J1172" s="5">
        <f>IF(I1172="","",I1172+6)</f>
        <v/>
      </c>
      <c r="K1172" s="6">
        <f>IF(OR(A1172="",B1172=""),"",DATE(YEAR(B1172),MONTH(B1172),1))</f>
        <v/>
      </c>
      <c r="L1172" s="7">
        <f>IF(COUNTA(A1172,B1172)=0,"",IF(OR(A1172="",B1172=""),"Preencher CPF e entrada",IF(COUNTIFS($A$12:$A$5011,A1172,$B$12:$B$5011,B1172)&gt;1,"CPF + dia duplicado",IF(OR(AND(E1172&lt;&gt;"",E1172&lt;B1172),AND(F1172&lt;&gt;"",F1172&lt;B1172)),"Evento anterior à entrada",IF(AND(F1172&lt;&gt;"",E1172=""),"Conversa sem agendamento",IF(OR(E1172&gt;TODAY(),F1172&gt;TODAY()),"Verificar evento futuro","OK"))))))</f>
        <v/>
      </c>
    </row>
    <row r="1173" spans="9:12">
      <c r="I1173" s="5">
        <f>IF(OR(A1173="",B1173=""),"",B1173-WEEKDAY(B1173,2)+1)</f>
        <v/>
      </c>
      <c r="J1173" s="5">
        <f>IF(I1173="","",I1173+6)</f>
        <v/>
      </c>
      <c r="K1173" s="6">
        <f>IF(OR(A1173="",B1173=""),"",DATE(YEAR(B1173),MONTH(B1173),1))</f>
        <v/>
      </c>
      <c r="L1173" s="7">
        <f>IF(COUNTA(A1173,B1173)=0,"",IF(OR(A1173="",B1173=""),"Preencher CPF e entrada",IF(COUNTIFS($A$12:$A$5011,A1173,$B$12:$B$5011,B1173)&gt;1,"CPF + dia duplicado",IF(OR(AND(E1173&lt;&gt;"",E1173&lt;B1173),AND(F1173&lt;&gt;"",F1173&lt;B1173)),"Evento anterior à entrada",IF(AND(F1173&lt;&gt;"",E1173=""),"Conversa sem agendamento",IF(OR(E1173&gt;TODAY(),F1173&gt;TODAY()),"Verificar evento futuro","OK"))))))</f>
        <v/>
      </c>
    </row>
    <row r="1174" spans="9:12">
      <c r="I1174" s="5">
        <f>IF(OR(A1174="",B1174=""),"",B1174-WEEKDAY(B1174,2)+1)</f>
        <v/>
      </c>
      <c r="J1174" s="5">
        <f>IF(I1174="","",I1174+6)</f>
        <v/>
      </c>
      <c r="K1174" s="6">
        <f>IF(OR(A1174="",B1174=""),"",DATE(YEAR(B1174),MONTH(B1174),1))</f>
        <v/>
      </c>
      <c r="L1174" s="7">
        <f>IF(COUNTA(A1174,B1174)=0,"",IF(OR(A1174="",B1174=""),"Preencher CPF e entrada",IF(COUNTIFS($A$12:$A$5011,A1174,$B$12:$B$5011,B1174)&gt;1,"CPF + dia duplicado",IF(OR(AND(E1174&lt;&gt;"",E1174&lt;B1174),AND(F1174&lt;&gt;"",F1174&lt;B1174)),"Evento anterior à entrada",IF(AND(F1174&lt;&gt;"",E1174=""),"Conversa sem agendamento",IF(OR(E1174&gt;TODAY(),F1174&gt;TODAY()),"Verificar evento futuro","OK"))))))</f>
        <v/>
      </c>
    </row>
    <row r="1175" spans="9:12">
      <c r="I1175" s="5">
        <f>IF(OR(A1175="",B1175=""),"",B1175-WEEKDAY(B1175,2)+1)</f>
        <v/>
      </c>
      <c r="J1175" s="5">
        <f>IF(I1175="","",I1175+6)</f>
        <v/>
      </c>
      <c r="K1175" s="6">
        <f>IF(OR(A1175="",B1175=""),"",DATE(YEAR(B1175),MONTH(B1175),1))</f>
        <v/>
      </c>
      <c r="L1175" s="7">
        <f>IF(COUNTA(A1175,B1175)=0,"",IF(OR(A1175="",B1175=""),"Preencher CPF e entrada",IF(COUNTIFS($A$12:$A$5011,A1175,$B$12:$B$5011,B1175)&gt;1,"CPF + dia duplicado",IF(OR(AND(E1175&lt;&gt;"",E1175&lt;B1175),AND(F1175&lt;&gt;"",F1175&lt;B1175)),"Evento anterior à entrada",IF(AND(F1175&lt;&gt;"",E1175=""),"Conversa sem agendamento",IF(OR(E1175&gt;TODAY(),F1175&gt;TODAY()),"Verificar evento futuro","OK"))))))</f>
        <v/>
      </c>
    </row>
    <row r="1176" spans="9:12">
      <c r="I1176" s="5">
        <f>IF(OR(A1176="",B1176=""),"",B1176-WEEKDAY(B1176,2)+1)</f>
        <v/>
      </c>
      <c r="J1176" s="5">
        <f>IF(I1176="","",I1176+6)</f>
        <v/>
      </c>
      <c r="K1176" s="6">
        <f>IF(OR(A1176="",B1176=""),"",DATE(YEAR(B1176),MONTH(B1176),1))</f>
        <v/>
      </c>
      <c r="L1176" s="7">
        <f>IF(COUNTA(A1176,B1176)=0,"",IF(OR(A1176="",B1176=""),"Preencher CPF e entrada",IF(COUNTIFS($A$12:$A$5011,A1176,$B$12:$B$5011,B1176)&gt;1,"CPF + dia duplicado",IF(OR(AND(E1176&lt;&gt;"",E1176&lt;B1176),AND(F1176&lt;&gt;"",F1176&lt;B1176)),"Evento anterior à entrada",IF(AND(F1176&lt;&gt;"",E1176=""),"Conversa sem agendamento",IF(OR(E1176&gt;TODAY(),F1176&gt;TODAY()),"Verificar evento futuro","OK"))))))</f>
        <v/>
      </c>
    </row>
    <row r="1177" spans="9:12">
      <c r="I1177" s="5">
        <f>IF(OR(A1177="",B1177=""),"",B1177-WEEKDAY(B1177,2)+1)</f>
        <v/>
      </c>
      <c r="J1177" s="5">
        <f>IF(I1177="","",I1177+6)</f>
        <v/>
      </c>
      <c r="K1177" s="6">
        <f>IF(OR(A1177="",B1177=""),"",DATE(YEAR(B1177),MONTH(B1177),1))</f>
        <v/>
      </c>
      <c r="L1177" s="7">
        <f>IF(COUNTA(A1177,B1177)=0,"",IF(OR(A1177="",B1177=""),"Preencher CPF e entrada",IF(COUNTIFS($A$12:$A$5011,A1177,$B$12:$B$5011,B1177)&gt;1,"CPF + dia duplicado",IF(OR(AND(E1177&lt;&gt;"",E1177&lt;B1177),AND(F1177&lt;&gt;"",F1177&lt;B1177)),"Evento anterior à entrada",IF(AND(F1177&lt;&gt;"",E1177=""),"Conversa sem agendamento",IF(OR(E1177&gt;TODAY(),F1177&gt;TODAY()),"Verificar evento futuro","OK"))))))</f>
        <v/>
      </c>
    </row>
    <row r="1178" spans="9:12">
      <c r="I1178" s="5">
        <f>IF(OR(A1178="",B1178=""),"",B1178-WEEKDAY(B1178,2)+1)</f>
        <v/>
      </c>
      <c r="J1178" s="5">
        <f>IF(I1178="","",I1178+6)</f>
        <v/>
      </c>
      <c r="K1178" s="6">
        <f>IF(OR(A1178="",B1178=""),"",DATE(YEAR(B1178),MONTH(B1178),1))</f>
        <v/>
      </c>
      <c r="L1178" s="7">
        <f>IF(COUNTA(A1178,B1178)=0,"",IF(OR(A1178="",B1178=""),"Preencher CPF e entrada",IF(COUNTIFS($A$12:$A$5011,A1178,$B$12:$B$5011,B1178)&gt;1,"CPF + dia duplicado",IF(OR(AND(E1178&lt;&gt;"",E1178&lt;B1178),AND(F1178&lt;&gt;"",F1178&lt;B1178)),"Evento anterior à entrada",IF(AND(F1178&lt;&gt;"",E1178=""),"Conversa sem agendamento",IF(OR(E1178&gt;TODAY(),F1178&gt;TODAY()),"Verificar evento futuro","OK"))))))</f>
        <v/>
      </c>
    </row>
    <row r="1179" spans="9:12">
      <c r="I1179" s="5">
        <f>IF(OR(A1179="",B1179=""),"",B1179-WEEKDAY(B1179,2)+1)</f>
        <v/>
      </c>
      <c r="J1179" s="5">
        <f>IF(I1179="","",I1179+6)</f>
        <v/>
      </c>
      <c r="K1179" s="6">
        <f>IF(OR(A1179="",B1179=""),"",DATE(YEAR(B1179),MONTH(B1179),1))</f>
        <v/>
      </c>
      <c r="L1179" s="7">
        <f>IF(COUNTA(A1179,B1179)=0,"",IF(OR(A1179="",B1179=""),"Preencher CPF e entrada",IF(COUNTIFS($A$12:$A$5011,A1179,$B$12:$B$5011,B1179)&gt;1,"CPF + dia duplicado",IF(OR(AND(E1179&lt;&gt;"",E1179&lt;B1179),AND(F1179&lt;&gt;"",F1179&lt;B1179)),"Evento anterior à entrada",IF(AND(F1179&lt;&gt;"",E1179=""),"Conversa sem agendamento",IF(OR(E1179&gt;TODAY(),F1179&gt;TODAY()),"Verificar evento futuro","OK"))))))</f>
        <v/>
      </c>
    </row>
    <row r="1180" spans="9:12">
      <c r="I1180" s="5">
        <f>IF(OR(A1180="",B1180=""),"",B1180-WEEKDAY(B1180,2)+1)</f>
        <v/>
      </c>
      <c r="J1180" s="5">
        <f>IF(I1180="","",I1180+6)</f>
        <v/>
      </c>
      <c r="K1180" s="6">
        <f>IF(OR(A1180="",B1180=""),"",DATE(YEAR(B1180),MONTH(B1180),1))</f>
        <v/>
      </c>
      <c r="L1180" s="7">
        <f>IF(COUNTA(A1180,B1180)=0,"",IF(OR(A1180="",B1180=""),"Preencher CPF e entrada",IF(COUNTIFS($A$12:$A$5011,A1180,$B$12:$B$5011,B1180)&gt;1,"CPF + dia duplicado",IF(OR(AND(E1180&lt;&gt;"",E1180&lt;B1180),AND(F1180&lt;&gt;"",F1180&lt;B1180)),"Evento anterior à entrada",IF(AND(F1180&lt;&gt;"",E1180=""),"Conversa sem agendamento",IF(OR(E1180&gt;TODAY(),F1180&gt;TODAY()),"Verificar evento futuro","OK"))))))</f>
        <v/>
      </c>
    </row>
    <row r="1181" spans="9:12">
      <c r="I1181" s="5">
        <f>IF(OR(A1181="",B1181=""),"",B1181-WEEKDAY(B1181,2)+1)</f>
        <v/>
      </c>
      <c r="J1181" s="5">
        <f>IF(I1181="","",I1181+6)</f>
        <v/>
      </c>
      <c r="K1181" s="6">
        <f>IF(OR(A1181="",B1181=""),"",DATE(YEAR(B1181),MONTH(B1181),1))</f>
        <v/>
      </c>
      <c r="L1181" s="7">
        <f>IF(COUNTA(A1181,B1181)=0,"",IF(OR(A1181="",B1181=""),"Preencher CPF e entrada",IF(COUNTIFS($A$12:$A$5011,A1181,$B$12:$B$5011,B1181)&gt;1,"CPF + dia duplicado",IF(OR(AND(E1181&lt;&gt;"",E1181&lt;B1181),AND(F1181&lt;&gt;"",F1181&lt;B1181)),"Evento anterior à entrada",IF(AND(F1181&lt;&gt;"",E1181=""),"Conversa sem agendamento",IF(OR(E1181&gt;TODAY(),F1181&gt;TODAY()),"Verificar evento futuro","OK"))))))</f>
        <v/>
      </c>
    </row>
    <row r="1182" spans="9:12">
      <c r="I1182" s="5">
        <f>IF(OR(A1182="",B1182=""),"",B1182-WEEKDAY(B1182,2)+1)</f>
        <v/>
      </c>
      <c r="J1182" s="5">
        <f>IF(I1182="","",I1182+6)</f>
        <v/>
      </c>
      <c r="K1182" s="6">
        <f>IF(OR(A1182="",B1182=""),"",DATE(YEAR(B1182),MONTH(B1182),1))</f>
        <v/>
      </c>
      <c r="L1182" s="7">
        <f>IF(COUNTA(A1182,B1182)=0,"",IF(OR(A1182="",B1182=""),"Preencher CPF e entrada",IF(COUNTIFS($A$12:$A$5011,A1182,$B$12:$B$5011,B1182)&gt;1,"CPF + dia duplicado",IF(OR(AND(E1182&lt;&gt;"",E1182&lt;B1182),AND(F1182&lt;&gt;"",F1182&lt;B1182)),"Evento anterior à entrada",IF(AND(F1182&lt;&gt;"",E1182=""),"Conversa sem agendamento",IF(OR(E1182&gt;TODAY(),F1182&gt;TODAY()),"Verificar evento futuro","OK"))))))</f>
        <v/>
      </c>
    </row>
    <row r="1183" spans="9:12">
      <c r="I1183" s="5">
        <f>IF(OR(A1183="",B1183=""),"",B1183-WEEKDAY(B1183,2)+1)</f>
        <v/>
      </c>
      <c r="J1183" s="5">
        <f>IF(I1183="","",I1183+6)</f>
        <v/>
      </c>
      <c r="K1183" s="6">
        <f>IF(OR(A1183="",B1183=""),"",DATE(YEAR(B1183),MONTH(B1183),1))</f>
        <v/>
      </c>
      <c r="L1183" s="7">
        <f>IF(COUNTA(A1183,B1183)=0,"",IF(OR(A1183="",B1183=""),"Preencher CPF e entrada",IF(COUNTIFS($A$12:$A$5011,A1183,$B$12:$B$5011,B1183)&gt;1,"CPF + dia duplicado",IF(OR(AND(E1183&lt;&gt;"",E1183&lt;B1183),AND(F1183&lt;&gt;"",F1183&lt;B1183)),"Evento anterior à entrada",IF(AND(F1183&lt;&gt;"",E1183=""),"Conversa sem agendamento",IF(OR(E1183&gt;TODAY(),F1183&gt;TODAY()),"Verificar evento futuro","OK"))))))</f>
        <v/>
      </c>
    </row>
    <row r="1184" spans="9:12">
      <c r="I1184" s="5">
        <f>IF(OR(A1184="",B1184=""),"",B1184-WEEKDAY(B1184,2)+1)</f>
        <v/>
      </c>
      <c r="J1184" s="5">
        <f>IF(I1184="","",I1184+6)</f>
        <v/>
      </c>
      <c r="K1184" s="6">
        <f>IF(OR(A1184="",B1184=""),"",DATE(YEAR(B1184),MONTH(B1184),1))</f>
        <v/>
      </c>
      <c r="L1184" s="7">
        <f>IF(COUNTA(A1184,B1184)=0,"",IF(OR(A1184="",B1184=""),"Preencher CPF e entrada",IF(COUNTIFS($A$12:$A$5011,A1184,$B$12:$B$5011,B1184)&gt;1,"CPF + dia duplicado",IF(OR(AND(E1184&lt;&gt;"",E1184&lt;B1184),AND(F1184&lt;&gt;"",F1184&lt;B1184)),"Evento anterior à entrada",IF(AND(F1184&lt;&gt;"",E1184=""),"Conversa sem agendamento",IF(OR(E1184&gt;TODAY(),F1184&gt;TODAY()),"Verificar evento futuro","OK"))))))</f>
        <v/>
      </c>
    </row>
    <row r="1185" spans="9:12">
      <c r="I1185" s="5">
        <f>IF(OR(A1185="",B1185=""),"",B1185-WEEKDAY(B1185,2)+1)</f>
        <v/>
      </c>
      <c r="J1185" s="5">
        <f>IF(I1185="","",I1185+6)</f>
        <v/>
      </c>
      <c r="K1185" s="6">
        <f>IF(OR(A1185="",B1185=""),"",DATE(YEAR(B1185),MONTH(B1185),1))</f>
        <v/>
      </c>
      <c r="L1185" s="7">
        <f>IF(COUNTA(A1185,B1185)=0,"",IF(OR(A1185="",B1185=""),"Preencher CPF e entrada",IF(COUNTIFS($A$12:$A$5011,A1185,$B$12:$B$5011,B1185)&gt;1,"CPF + dia duplicado",IF(OR(AND(E1185&lt;&gt;"",E1185&lt;B1185),AND(F1185&lt;&gt;"",F1185&lt;B1185)),"Evento anterior à entrada",IF(AND(F1185&lt;&gt;"",E1185=""),"Conversa sem agendamento",IF(OR(E1185&gt;TODAY(),F1185&gt;TODAY()),"Verificar evento futuro","OK"))))))</f>
        <v/>
      </c>
    </row>
    <row r="1186" spans="9:12">
      <c r="I1186" s="5">
        <f>IF(OR(A1186="",B1186=""),"",B1186-WEEKDAY(B1186,2)+1)</f>
        <v/>
      </c>
      <c r="J1186" s="5">
        <f>IF(I1186="","",I1186+6)</f>
        <v/>
      </c>
      <c r="K1186" s="6">
        <f>IF(OR(A1186="",B1186=""),"",DATE(YEAR(B1186),MONTH(B1186),1))</f>
        <v/>
      </c>
      <c r="L1186" s="7">
        <f>IF(COUNTA(A1186,B1186)=0,"",IF(OR(A1186="",B1186=""),"Preencher CPF e entrada",IF(COUNTIFS($A$12:$A$5011,A1186,$B$12:$B$5011,B1186)&gt;1,"CPF + dia duplicado",IF(OR(AND(E1186&lt;&gt;"",E1186&lt;B1186),AND(F1186&lt;&gt;"",F1186&lt;B1186)),"Evento anterior à entrada",IF(AND(F1186&lt;&gt;"",E1186=""),"Conversa sem agendamento",IF(OR(E1186&gt;TODAY(),F1186&gt;TODAY()),"Verificar evento futuro","OK"))))))</f>
        <v/>
      </c>
    </row>
    <row r="1187" spans="9:12">
      <c r="I1187" s="5">
        <f>IF(OR(A1187="",B1187=""),"",B1187-WEEKDAY(B1187,2)+1)</f>
        <v/>
      </c>
      <c r="J1187" s="5">
        <f>IF(I1187="","",I1187+6)</f>
        <v/>
      </c>
      <c r="K1187" s="6">
        <f>IF(OR(A1187="",B1187=""),"",DATE(YEAR(B1187),MONTH(B1187),1))</f>
        <v/>
      </c>
      <c r="L1187" s="7">
        <f>IF(COUNTA(A1187,B1187)=0,"",IF(OR(A1187="",B1187=""),"Preencher CPF e entrada",IF(COUNTIFS($A$12:$A$5011,A1187,$B$12:$B$5011,B1187)&gt;1,"CPF + dia duplicado",IF(OR(AND(E1187&lt;&gt;"",E1187&lt;B1187),AND(F1187&lt;&gt;"",F1187&lt;B1187)),"Evento anterior à entrada",IF(AND(F1187&lt;&gt;"",E1187=""),"Conversa sem agendamento",IF(OR(E1187&gt;TODAY(),F1187&gt;TODAY()),"Verificar evento futuro","OK"))))))</f>
        <v/>
      </c>
    </row>
    <row r="1188" spans="9:12">
      <c r="I1188" s="5">
        <f>IF(OR(A1188="",B1188=""),"",B1188-WEEKDAY(B1188,2)+1)</f>
        <v/>
      </c>
      <c r="J1188" s="5">
        <f>IF(I1188="","",I1188+6)</f>
        <v/>
      </c>
      <c r="K1188" s="6">
        <f>IF(OR(A1188="",B1188=""),"",DATE(YEAR(B1188),MONTH(B1188),1))</f>
        <v/>
      </c>
      <c r="L1188" s="7">
        <f>IF(COUNTA(A1188,B1188)=0,"",IF(OR(A1188="",B1188=""),"Preencher CPF e entrada",IF(COUNTIFS($A$12:$A$5011,A1188,$B$12:$B$5011,B1188)&gt;1,"CPF + dia duplicado",IF(OR(AND(E1188&lt;&gt;"",E1188&lt;B1188),AND(F1188&lt;&gt;"",F1188&lt;B1188)),"Evento anterior à entrada",IF(AND(F1188&lt;&gt;"",E1188=""),"Conversa sem agendamento",IF(OR(E1188&gt;TODAY(),F1188&gt;TODAY()),"Verificar evento futuro","OK"))))))</f>
        <v/>
      </c>
    </row>
    <row r="1189" spans="9:12">
      <c r="I1189" s="5">
        <f>IF(OR(A1189="",B1189=""),"",B1189-WEEKDAY(B1189,2)+1)</f>
        <v/>
      </c>
      <c r="J1189" s="5">
        <f>IF(I1189="","",I1189+6)</f>
        <v/>
      </c>
      <c r="K1189" s="6">
        <f>IF(OR(A1189="",B1189=""),"",DATE(YEAR(B1189),MONTH(B1189),1))</f>
        <v/>
      </c>
      <c r="L1189" s="7">
        <f>IF(COUNTA(A1189,B1189)=0,"",IF(OR(A1189="",B1189=""),"Preencher CPF e entrada",IF(COUNTIFS($A$12:$A$5011,A1189,$B$12:$B$5011,B1189)&gt;1,"CPF + dia duplicado",IF(OR(AND(E1189&lt;&gt;"",E1189&lt;B1189),AND(F1189&lt;&gt;"",F1189&lt;B1189)),"Evento anterior à entrada",IF(AND(F1189&lt;&gt;"",E1189=""),"Conversa sem agendamento",IF(OR(E1189&gt;TODAY(),F1189&gt;TODAY()),"Verificar evento futuro","OK"))))))</f>
        <v/>
      </c>
    </row>
    <row r="1190" spans="9:12">
      <c r="I1190" s="5">
        <f>IF(OR(A1190="",B1190=""),"",B1190-WEEKDAY(B1190,2)+1)</f>
        <v/>
      </c>
      <c r="J1190" s="5">
        <f>IF(I1190="","",I1190+6)</f>
        <v/>
      </c>
      <c r="K1190" s="6">
        <f>IF(OR(A1190="",B1190=""),"",DATE(YEAR(B1190),MONTH(B1190),1))</f>
        <v/>
      </c>
      <c r="L1190" s="7">
        <f>IF(COUNTA(A1190,B1190)=0,"",IF(OR(A1190="",B1190=""),"Preencher CPF e entrada",IF(COUNTIFS($A$12:$A$5011,A1190,$B$12:$B$5011,B1190)&gt;1,"CPF + dia duplicado",IF(OR(AND(E1190&lt;&gt;"",E1190&lt;B1190),AND(F1190&lt;&gt;"",F1190&lt;B1190)),"Evento anterior à entrada",IF(AND(F1190&lt;&gt;"",E1190=""),"Conversa sem agendamento",IF(OR(E1190&gt;TODAY(),F1190&gt;TODAY()),"Verificar evento futuro","OK"))))))</f>
        <v/>
      </c>
    </row>
    <row r="1191" spans="9:12">
      <c r="I1191" s="5">
        <f>IF(OR(A1191="",B1191=""),"",B1191-WEEKDAY(B1191,2)+1)</f>
        <v/>
      </c>
      <c r="J1191" s="5">
        <f>IF(I1191="","",I1191+6)</f>
        <v/>
      </c>
      <c r="K1191" s="6">
        <f>IF(OR(A1191="",B1191=""),"",DATE(YEAR(B1191),MONTH(B1191),1))</f>
        <v/>
      </c>
      <c r="L1191" s="7">
        <f>IF(COUNTA(A1191,B1191)=0,"",IF(OR(A1191="",B1191=""),"Preencher CPF e entrada",IF(COUNTIFS($A$12:$A$5011,A1191,$B$12:$B$5011,B1191)&gt;1,"CPF + dia duplicado",IF(OR(AND(E1191&lt;&gt;"",E1191&lt;B1191),AND(F1191&lt;&gt;"",F1191&lt;B1191)),"Evento anterior à entrada",IF(AND(F1191&lt;&gt;"",E1191=""),"Conversa sem agendamento",IF(OR(E1191&gt;TODAY(),F1191&gt;TODAY()),"Verificar evento futuro","OK"))))))</f>
        <v/>
      </c>
    </row>
    <row r="1192" spans="9:12">
      <c r="I1192" s="5">
        <f>IF(OR(A1192="",B1192=""),"",B1192-WEEKDAY(B1192,2)+1)</f>
        <v/>
      </c>
      <c r="J1192" s="5">
        <f>IF(I1192="","",I1192+6)</f>
        <v/>
      </c>
      <c r="K1192" s="6">
        <f>IF(OR(A1192="",B1192=""),"",DATE(YEAR(B1192),MONTH(B1192),1))</f>
        <v/>
      </c>
      <c r="L1192" s="7">
        <f>IF(COUNTA(A1192,B1192)=0,"",IF(OR(A1192="",B1192=""),"Preencher CPF e entrada",IF(COUNTIFS($A$12:$A$5011,A1192,$B$12:$B$5011,B1192)&gt;1,"CPF + dia duplicado",IF(OR(AND(E1192&lt;&gt;"",E1192&lt;B1192),AND(F1192&lt;&gt;"",F1192&lt;B1192)),"Evento anterior à entrada",IF(AND(F1192&lt;&gt;"",E1192=""),"Conversa sem agendamento",IF(OR(E1192&gt;TODAY(),F1192&gt;TODAY()),"Verificar evento futuro","OK"))))))</f>
        <v/>
      </c>
    </row>
    <row r="1193" spans="9:12">
      <c r="I1193" s="5">
        <f>IF(OR(A1193="",B1193=""),"",B1193-WEEKDAY(B1193,2)+1)</f>
        <v/>
      </c>
      <c r="J1193" s="5">
        <f>IF(I1193="","",I1193+6)</f>
        <v/>
      </c>
      <c r="K1193" s="6">
        <f>IF(OR(A1193="",B1193=""),"",DATE(YEAR(B1193),MONTH(B1193),1))</f>
        <v/>
      </c>
      <c r="L1193" s="7">
        <f>IF(COUNTA(A1193,B1193)=0,"",IF(OR(A1193="",B1193=""),"Preencher CPF e entrada",IF(COUNTIFS($A$12:$A$5011,A1193,$B$12:$B$5011,B1193)&gt;1,"CPF + dia duplicado",IF(OR(AND(E1193&lt;&gt;"",E1193&lt;B1193),AND(F1193&lt;&gt;"",F1193&lt;B1193)),"Evento anterior à entrada",IF(AND(F1193&lt;&gt;"",E1193=""),"Conversa sem agendamento",IF(OR(E1193&gt;TODAY(),F1193&gt;TODAY()),"Verificar evento futuro","OK"))))))</f>
        <v/>
      </c>
    </row>
    <row r="1194" spans="9:12">
      <c r="I1194" s="5">
        <f>IF(OR(A1194="",B1194=""),"",B1194-WEEKDAY(B1194,2)+1)</f>
        <v/>
      </c>
      <c r="J1194" s="5">
        <f>IF(I1194="","",I1194+6)</f>
        <v/>
      </c>
      <c r="K1194" s="6">
        <f>IF(OR(A1194="",B1194=""),"",DATE(YEAR(B1194),MONTH(B1194),1))</f>
        <v/>
      </c>
      <c r="L1194" s="7">
        <f>IF(COUNTA(A1194,B1194)=0,"",IF(OR(A1194="",B1194=""),"Preencher CPF e entrada",IF(COUNTIFS($A$12:$A$5011,A1194,$B$12:$B$5011,B1194)&gt;1,"CPF + dia duplicado",IF(OR(AND(E1194&lt;&gt;"",E1194&lt;B1194),AND(F1194&lt;&gt;"",F1194&lt;B1194)),"Evento anterior à entrada",IF(AND(F1194&lt;&gt;"",E1194=""),"Conversa sem agendamento",IF(OR(E1194&gt;TODAY(),F1194&gt;TODAY()),"Verificar evento futuro","OK"))))))</f>
        <v/>
      </c>
    </row>
    <row r="1195" spans="9:12">
      <c r="I1195" s="5">
        <f>IF(OR(A1195="",B1195=""),"",B1195-WEEKDAY(B1195,2)+1)</f>
        <v/>
      </c>
      <c r="J1195" s="5">
        <f>IF(I1195="","",I1195+6)</f>
        <v/>
      </c>
      <c r="K1195" s="6">
        <f>IF(OR(A1195="",B1195=""),"",DATE(YEAR(B1195),MONTH(B1195),1))</f>
        <v/>
      </c>
      <c r="L1195" s="7">
        <f>IF(COUNTA(A1195,B1195)=0,"",IF(OR(A1195="",B1195=""),"Preencher CPF e entrada",IF(COUNTIFS($A$12:$A$5011,A1195,$B$12:$B$5011,B1195)&gt;1,"CPF + dia duplicado",IF(OR(AND(E1195&lt;&gt;"",E1195&lt;B1195),AND(F1195&lt;&gt;"",F1195&lt;B1195)),"Evento anterior à entrada",IF(AND(F1195&lt;&gt;"",E1195=""),"Conversa sem agendamento",IF(OR(E1195&gt;TODAY(),F1195&gt;TODAY()),"Verificar evento futuro","OK"))))))</f>
        <v/>
      </c>
    </row>
    <row r="1196" spans="9:12">
      <c r="I1196" s="5">
        <f>IF(OR(A1196="",B1196=""),"",B1196-WEEKDAY(B1196,2)+1)</f>
        <v/>
      </c>
      <c r="J1196" s="5">
        <f>IF(I1196="","",I1196+6)</f>
        <v/>
      </c>
      <c r="K1196" s="6">
        <f>IF(OR(A1196="",B1196=""),"",DATE(YEAR(B1196),MONTH(B1196),1))</f>
        <v/>
      </c>
      <c r="L1196" s="7">
        <f>IF(COUNTA(A1196,B1196)=0,"",IF(OR(A1196="",B1196=""),"Preencher CPF e entrada",IF(COUNTIFS($A$12:$A$5011,A1196,$B$12:$B$5011,B1196)&gt;1,"CPF + dia duplicado",IF(OR(AND(E1196&lt;&gt;"",E1196&lt;B1196),AND(F1196&lt;&gt;"",F1196&lt;B1196)),"Evento anterior à entrada",IF(AND(F1196&lt;&gt;"",E1196=""),"Conversa sem agendamento",IF(OR(E1196&gt;TODAY(),F1196&gt;TODAY()),"Verificar evento futuro","OK"))))))</f>
        <v/>
      </c>
    </row>
    <row r="1197" spans="9:12">
      <c r="I1197" s="5">
        <f>IF(OR(A1197="",B1197=""),"",B1197-WEEKDAY(B1197,2)+1)</f>
        <v/>
      </c>
      <c r="J1197" s="5">
        <f>IF(I1197="","",I1197+6)</f>
        <v/>
      </c>
      <c r="K1197" s="6">
        <f>IF(OR(A1197="",B1197=""),"",DATE(YEAR(B1197),MONTH(B1197),1))</f>
        <v/>
      </c>
      <c r="L1197" s="7">
        <f>IF(COUNTA(A1197,B1197)=0,"",IF(OR(A1197="",B1197=""),"Preencher CPF e entrada",IF(COUNTIFS($A$12:$A$5011,A1197,$B$12:$B$5011,B1197)&gt;1,"CPF + dia duplicado",IF(OR(AND(E1197&lt;&gt;"",E1197&lt;B1197),AND(F1197&lt;&gt;"",F1197&lt;B1197)),"Evento anterior à entrada",IF(AND(F1197&lt;&gt;"",E1197=""),"Conversa sem agendamento",IF(OR(E1197&gt;TODAY(),F1197&gt;TODAY()),"Verificar evento futuro","OK"))))))</f>
        <v/>
      </c>
    </row>
    <row r="1198" spans="9:12">
      <c r="I1198" s="5">
        <f>IF(OR(A1198="",B1198=""),"",B1198-WEEKDAY(B1198,2)+1)</f>
        <v/>
      </c>
      <c r="J1198" s="5">
        <f>IF(I1198="","",I1198+6)</f>
        <v/>
      </c>
      <c r="K1198" s="6">
        <f>IF(OR(A1198="",B1198=""),"",DATE(YEAR(B1198),MONTH(B1198),1))</f>
        <v/>
      </c>
      <c r="L1198" s="7">
        <f>IF(COUNTA(A1198,B1198)=0,"",IF(OR(A1198="",B1198=""),"Preencher CPF e entrada",IF(COUNTIFS($A$12:$A$5011,A1198,$B$12:$B$5011,B1198)&gt;1,"CPF + dia duplicado",IF(OR(AND(E1198&lt;&gt;"",E1198&lt;B1198),AND(F1198&lt;&gt;"",F1198&lt;B1198)),"Evento anterior à entrada",IF(AND(F1198&lt;&gt;"",E1198=""),"Conversa sem agendamento",IF(OR(E1198&gt;TODAY(),F1198&gt;TODAY()),"Verificar evento futuro","OK"))))))</f>
        <v/>
      </c>
    </row>
    <row r="1199" spans="9:12">
      <c r="I1199" s="5">
        <f>IF(OR(A1199="",B1199=""),"",B1199-WEEKDAY(B1199,2)+1)</f>
        <v/>
      </c>
      <c r="J1199" s="5">
        <f>IF(I1199="","",I1199+6)</f>
        <v/>
      </c>
      <c r="K1199" s="6">
        <f>IF(OR(A1199="",B1199=""),"",DATE(YEAR(B1199),MONTH(B1199),1))</f>
        <v/>
      </c>
      <c r="L1199" s="7">
        <f>IF(COUNTA(A1199,B1199)=0,"",IF(OR(A1199="",B1199=""),"Preencher CPF e entrada",IF(COUNTIFS($A$12:$A$5011,A1199,$B$12:$B$5011,B1199)&gt;1,"CPF + dia duplicado",IF(OR(AND(E1199&lt;&gt;"",E1199&lt;B1199),AND(F1199&lt;&gt;"",F1199&lt;B1199)),"Evento anterior à entrada",IF(AND(F1199&lt;&gt;"",E1199=""),"Conversa sem agendamento",IF(OR(E1199&gt;TODAY(),F1199&gt;TODAY()),"Verificar evento futuro","OK"))))))</f>
        <v/>
      </c>
    </row>
    <row r="1200" spans="9:12">
      <c r="I1200" s="5">
        <f>IF(OR(A1200="",B1200=""),"",B1200-WEEKDAY(B1200,2)+1)</f>
        <v/>
      </c>
      <c r="J1200" s="5">
        <f>IF(I1200="","",I1200+6)</f>
        <v/>
      </c>
      <c r="K1200" s="6">
        <f>IF(OR(A1200="",B1200=""),"",DATE(YEAR(B1200),MONTH(B1200),1))</f>
        <v/>
      </c>
      <c r="L1200" s="7">
        <f>IF(COUNTA(A1200,B1200)=0,"",IF(OR(A1200="",B1200=""),"Preencher CPF e entrada",IF(COUNTIFS($A$12:$A$5011,A1200,$B$12:$B$5011,B1200)&gt;1,"CPF + dia duplicado",IF(OR(AND(E1200&lt;&gt;"",E1200&lt;B1200),AND(F1200&lt;&gt;"",F1200&lt;B1200)),"Evento anterior à entrada",IF(AND(F1200&lt;&gt;"",E1200=""),"Conversa sem agendamento",IF(OR(E1200&gt;TODAY(),F1200&gt;TODAY()),"Verificar evento futuro","OK"))))))</f>
        <v/>
      </c>
    </row>
    <row r="1201" spans="9:12">
      <c r="I1201" s="5">
        <f>IF(OR(A1201="",B1201=""),"",B1201-WEEKDAY(B1201,2)+1)</f>
        <v/>
      </c>
      <c r="J1201" s="5">
        <f>IF(I1201="","",I1201+6)</f>
        <v/>
      </c>
      <c r="K1201" s="6">
        <f>IF(OR(A1201="",B1201=""),"",DATE(YEAR(B1201),MONTH(B1201),1))</f>
        <v/>
      </c>
      <c r="L1201" s="7">
        <f>IF(COUNTA(A1201,B1201)=0,"",IF(OR(A1201="",B1201=""),"Preencher CPF e entrada",IF(COUNTIFS($A$12:$A$5011,A1201,$B$12:$B$5011,B1201)&gt;1,"CPF + dia duplicado",IF(OR(AND(E1201&lt;&gt;"",E1201&lt;B1201),AND(F1201&lt;&gt;"",F1201&lt;B1201)),"Evento anterior à entrada",IF(AND(F1201&lt;&gt;"",E1201=""),"Conversa sem agendamento",IF(OR(E1201&gt;TODAY(),F1201&gt;TODAY()),"Verificar evento futuro","OK"))))))</f>
        <v/>
      </c>
    </row>
    <row r="1202" spans="9:12">
      <c r="I1202" s="5">
        <f>IF(OR(A1202="",B1202=""),"",B1202-WEEKDAY(B1202,2)+1)</f>
        <v/>
      </c>
      <c r="J1202" s="5">
        <f>IF(I1202="","",I1202+6)</f>
        <v/>
      </c>
      <c r="K1202" s="6">
        <f>IF(OR(A1202="",B1202=""),"",DATE(YEAR(B1202),MONTH(B1202),1))</f>
        <v/>
      </c>
      <c r="L1202" s="7">
        <f>IF(COUNTA(A1202,B1202)=0,"",IF(OR(A1202="",B1202=""),"Preencher CPF e entrada",IF(COUNTIFS($A$12:$A$5011,A1202,$B$12:$B$5011,B1202)&gt;1,"CPF + dia duplicado",IF(OR(AND(E1202&lt;&gt;"",E1202&lt;B1202),AND(F1202&lt;&gt;"",F1202&lt;B1202)),"Evento anterior à entrada",IF(AND(F1202&lt;&gt;"",E1202=""),"Conversa sem agendamento",IF(OR(E1202&gt;TODAY(),F1202&gt;TODAY()),"Verificar evento futuro","OK"))))))</f>
        <v/>
      </c>
    </row>
    <row r="1203" spans="9:12">
      <c r="I1203" s="5">
        <f>IF(OR(A1203="",B1203=""),"",B1203-WEEKDAY(B1203,2)+1)</f>
        <v/>
      </c>
      <c r="J1203" s="5">
        <f>IF(I1203="","",I1203+6)</f>
        <v/>
      </c>
      <c r="K1203" s="6">
        <f>IF(OR(A1203="",B1203=""),"",DATE(YEAR(B1203),MONTH(B1203),1))</f>
        <v/>
      </c>
      <c r="L1203" s="7">
        <f>IF(COUNTA(A1203,B1203)=0,"",IF(OR(A1203="",B1203=""),"Preencher CPF e entrada",IF(COUNTIFS($A$12:$A$5011,A1203,$B$12:$B$5011,B1203)&gt;1,"CPF + dia duplicado",IF(OR(AND(E1203&lt;&gt;"",E1203&lt;B1203),AND(F1203&lt;&gt;"",F1203&lt;B1203)),"Evento anterior à entrada",IF(AND(F1203&lt;&gt;"",E1203=""),"Conversa sem agendamento",IF(OR(E1203&gt;TODAY(),F1203&gt;TODAY()),"Verificar evento futuro","OK"))))))</f>
        <v/>
      </c>
    </row>
    <row r="1204" spans="9:12">
      <c r="I1204" s="5">
        <f>IF(OR(A1204="",B1204=""),"",B1204-WEEKDAY(B1204,2)+1)</f>
        <v/>
      </c>
      <c r="J1204" s="5">
        <f>IF(I1204="","",I1204+6)</f>
        <v/>
      </c>
      <c r="K1204" s="6">
        <f>IF(OR(A1204="",B1204=""),"",DATE(YEAR(B1204),MONTH(B1204),1))</f>
        <v/>
      </c>
      <c r="L1204" s="7">
        <f>IF(COUNTA(A1204,B1204)=0,"",IF(OR(A1204="",B1204=""),"Preencher CPF e entrada",IF(COUNTIFS($A$12:$A$5011,A1204,$B$12:$B$5011,B1204)&gt;1,"CPF + dia duplicado",IF(OR(AND(E1204&lt;&gt;"",E1204&lt;B1204),AND(F1204&lt;&gt;"",F1204&lt;B1204)),"Evento anterior à entrada",IF(AND(F1204&lt;&gt;"",E1204=""),"Conversa sem agendamento",IF(OR(E1204&gt;TODAY(),F1204&gt;TODAY()),"Verificar evento futuro","OK"))))))</f>
        <v/>
      </c>
    </row>
    <row r="1205" spans="9:12">
      <c r="I1205" s="5">
        <f>IF(OR(A1205="",B1205=""),"",B1205-WEEKDAY(B1205,2)+1)</f>
        <v/>
      </c>
      <c r="J1205" s="5">
        <f>IF(I1205="","",I1205+6)</f>
        <v/>
      </c>
      <c r="K1205" s="6">
        <f>IF(OR(A1205="",B1205=""),"",DATE(YEAR(B1205),MONTH(B1205),1))</f>
        <v/>
      </c>
      <c r="L1205" s="7">
        <f>IF(COUNTA(A1205,B1205)=0,"",IF(OR(A1205="",B1205=""),"Preencher CPF e entrada",IF(COUNTIFS($A$12:$A$5011,A1205,$B$12:$B$5011,B1205)&gt;1,"CPF + dia duplicado",IF(OR(AND(E1205&lt;&gt;"",E1205&lt;B1205),AND(F1205&lt;&gt;"",F1205&lt;B1205)),"Evento anterior à entrada",IF(AND(F1205&lt;&gt;"",E1205=""),"Conversa sem agendamento",IF(OR(E1205&gt;TODAY(),F1205&gt;TODAY()),"Verificar evento futuro","OK"))))))</f>
        <v/>
      </c>
    </row>
    <row r="1206" spans="9:12">
      <c r="I1206" s="5">
        <f>IF(OR(A1206="",B1206=""),"",B1206-WEEKDAY(B1206,2)+1)</f>
        <v/>
      </c>
      <c r="J1206" s="5">
        <f>IF(I1206="","",I1206+6)</f>
        <v/>
      </c>
      <c r="K1206" s="6">
        <f>IF(OR(A1206="",B1206=""),"",DATE(YEAR(B1206),MONTH(B1206),1))</f>
        <v/>
      </c>
      <c r="L1206" s="7">
        <f>IF(COUNTA(A1206,B1206)=0,"",IF(OR(A1206="",B1206=""),"Preencher CPF e entrada",IF(COUNTIFS($A$12:$A$5011,A1206,$B$12:$B$5011,B1206)&gt;1,"CPF + dia duplicado",IF(OR(AND(E1206&lt;&gt;"",E1206&lt;B1206),AND(F1206&lt;&gt;"",F1206&lt;B1206)),"Evento anterior à entrada",IF(AND(F1206&lt;&gt;"",E1206=""),"Conversa sem agendamento",IF(OR(E1206&gt;TODAY(),F1206&gt;TODAY()),"Verificar evento futuro","OK"))))))</f>
        <v/>
      </c>
    </row>
    <row r="1207" spans="9:12">
      <c r="I1207" s="5">
        <f>IF(OR(A1207="",B1207=""),"",B1207-WEEKDAY(B1207,2)+1)</f>
        <v/>
      </c>
      <c r="J1207" s="5">
        <f>IF(I1207="","",I1207+6)</f>
        <v/>
      </c>
      <c r="K1207" s="6">
        <f>IF(OR(A1207="",B1207=""),"",DATE(YEAR(B1207),MONTH(B1207),1))</f>
        <v/>
      </c>
      <c r="L1207" s="7">
        <f>IF(COUNTA(A1207,B1207)=0,"",IF(OR(A1207="",B1207=""),"Preencher CPF e entrada",IF(COUNTIFS($A$12:$A$5011,A1207,$B$12:$B$5011,B1207)&gt;1,"CPF + dia duplicado",IF(OR(AND(E1207&lt;&gt;"",E1207&lt;B1207),AND(F1207&lt;&gt;"",F1207&lt;B1207)),"Evento anterior à entrada",IF(AND(F1207&lt;&gt;"",E1207=""),"Conversa sem agendamento",IF(OR(E1207&gt;TODAY(),F1207&gt;TODAY()),"Verificar evento futuro","OK"))))))</f>
        <v/>
      </c>
    </row>
    <row r="1208" spans="9:12">
      <c r="I1208" s="5">
        <f>IF(OR(A1208="",B1208=""),"",B1208-WEEKDAY(B1208,2)+1)</f>
        <v/>
      </c>
      <c r="J1208" s="5">
        <f>IF(I1208="","",I1208+6)</f>
        <v/>
      </c>
      <c r="K1208" s="6">
        <f>IF(OR(A1208="",B1208=""),"",DATE(YEAR(B1208),MONTH(B1208),1))</f>
        <v/>
      </c>
      <c r="L1208" s="7">
        <f>IF(COUNTA(A1208,B1208)=0,"",IF(OR(A1208="",B1208=""),"Preencher CPF e entrada",IF(COUNTIFS($A$12:$A$5011,A1208,$B$12:$B$5011,B1208)&gt;1,"CPF + dia duplicado",IF(OR(AND(E1208&lt;&gt;"",E1208&lt;B1208),AND(F1208&lt;&gt;"",F1208&lt;B1208)),"Evento anterior à entrada",IF(AND(F1208&lt;&gt;"",E1208=""),"Conversa sem agendamento",IF(OR(E1208&gt;TODAY(),F1208&gt;TODAY()),"Verificar evento futuro","OK"))))))</f>
        <v/>
      </c>
    </row>
    <row r="1209" spans="9:12">
      <c r="I1209" s="5">
        <f>IF(OR(A1209="",B1209=""),"",B1209-WEEKDAY(B1209,2)+1)</f>
        <v/>
      </c>
      <c r="J1209" s="5">
        <f>IF(I1209="","",I1209+6)</f>
        <v/>
      </c>
      <c r="K1209" s="6">
        <f>IF(OR(A1209="",B1209=""),"",DATE(YEAR(B1209),MONTH(B1209),1))</f>
        <v/>
      </c>
      <c r="L1209" s="7">
        <f>IF(COUNTA(A1209,B1209)=0,"",IF(OR(A1209="",B1209=""),"Preencher CPF e entrada",IF(COUNTIFS($A$12:$A$5011,A1209,$B$12:$B$5011,B1209)&gt;1,"CPF + dia duplicado",IF(OR(AND(E1209&lt;&gt;"",E1209&lt;B1209),AND(F1209&lt;&gt;"",F1209&lt;B1209)),"Evento anterior à entrada",IF(AND(F1209&lt;&gt;"",E1209=""),"Conversa sem agendamento",IF(OR(E1209&gt;TODAY(),F1209&gt;TODAY()),"Verificar evento futuro","OK"))))))</f>
        <v/>
      </c>
    </row>
    <row r="1210" spans="9:12">
      <c r="I1210" s="5">
        <f>IF(OR(A1210="",B1210=""),"",B1210-WEEKDAY(B1210,2)+1)</f>
        <v/>
      </c>
      <c r="J1210" s="5">
        <f>IF(I1210="","",I1210+6)</f>
        <v/>
      </c>
      <c r="K1210" s="6">
        <f>IF(OR(A1210="",B1210=""),"",DATE(YEAR(B1210),MONTH(B1210),1))</f>
        <v/>
      </c>
      <c r="L1210" s="7">
        <f>IF(COUNTA(A1210,B1210)=0,"",IF(OR(A1210="",B1210=""),"Preencher CPF e entrada",IF(COUNTIFS($A$12:$A$5011,A1210,$B$12:$B$5011,B1210)&gt;1,"CPF + dia duplicado",IF(OR(AND(E1210&lt;&gt;"",E1210&lt;B1210),AND(F1210&lt;&gt;"",F1210&lt;B1210)),"Evento anterior à entrada",IF(AND(F1210&lt;&gt;"",E1210=""),"Conversa sem agendamento",IF(OR(E1210&gt;TODAY(),F1210&gt;TODAY()),"Verificar evento futuro","OK"))))))</f>
        <v/>
      </c>
    </row>
    <row r="1211" spans="9:12">
      <c r="I1211" s="5">
        <f>IF(OR(A1211="",B1211=""),"",B1211-WEEKDAY(B1211,2)+1)</f>
        <v/>
      </c>
      <c r="J1211" s="5">
        <f>IF(I1211="","",I1211+6)</f>
        <v/>
      </c>
      <c r="K1211" s="6">
        <f>IF(OR(A1211="",B1211=""),"",DATE(YEAR(B1211),MONTH(B1211),1))</f>
        <v/>
      </c>
      <c r="L1211" s="7">
        <f>IF(COUNTA(A1211,B1211)=0,"",IF(OR(A1211="",B1211=""),"Preencher CPF e entrada",IF(COUNTIFS($A$12:$A$5011,A1211,$B$12:$B$5011,B1211)&gt;1,"CPF + dia duplicado",IF(OR(AND(E1211&lt;&gt;"",E1211&lt;B1211),AND(F1211&lt;&gt;"",F1211&lt;B1211)),"Evento anterior à entrada",IF(AND(F1211&lt;&gt;"",E1211=""),"Conversa sem agendamento",IF(OR(E1211&gt;TODAY(),F1211&gt;TODAY()),"Verificar evento futuro","OK"))))))</f>
        <v/>
      </c>
    </row>
    <row r="1212" spans="9:12">
      <c r="I1212" s="5">
        <f>IF(OR(A1212="",B1212=""),"",B1212-WEEKDAY(B1212,2)+1)</f>
        <v/>
      </c>
      <c r="J1212" s="5">
        <f>IF(I1212="","",I1212+6)</f>
        <v/>
      </c>
      <c r="K1212" s="6">
        <f>IF(OR(A1212="",B1212=""),"",DATE(YEAR(B1212),MONTH(B1212),1))</f>
        <v/>
      </c>
      <c r="L1212" s="7">
        <f>IF(COUNTA(A1212,B1212)=0,"",IF(OR(A1212="",B1212=""),"Preencher CPF e entrada",IF(COUNTIFS($A$12:$A$5011,A1212,$B$12:$B$5011,B1212)&gt;1,"CPF + dia duplicado",IF(OR(AND(E1212&lt;&gt;"",E1212&lt;B1212),AND(F1212&lt;&gt;"",F1212&lt;B1212)),"Evento anterior à entrada",IF(AND(F1212&lt;&gt;"",E1212=""),"Conversa sem agendamento",IF(OR(E1212&gt;TODAY(),F1212&gt;TODAY()),"Verificar evento futuro","OK"))))))</f>
        <v/>
      </c>
    </row>
    <row r="1213" spans="9:12">
      <c r="I1213" s="5">
        <f>IF(OR(A1213="",B1213=""),"",B1213-WEEKDAY(B1213,2)+1)</f>
        <v/>
      </c>
      <c r="J1213" s="5">
        <f>IF(I1213="","",I1213+6)</f>
        <v/>
      </c>
      <c r="K1213" s="6">
        <f>IF(OR(A1213="",B1213=""),"",DATE(YEAR(B1213),MONTH(B1213),1))</f>
        <v/>
      </c>
      <c r="L1213" s="7">
        <f>IF(COUNTA(A1213,B1213)=0,"",IF(OR(A1213="",B1213=""),"Preencher CPF e entrada",IF(COUNTIFS($A$12:$A$5011,A1213,$B$12:$B$5011,B1213)&gt;1,"CPF + dia duplicado",IF(OR(AND(E1213&lt;&gt;"",E1213&lt;B1213),AND(F1213&lt;&gt;"",F1213&lt;B1213)),"Evento anterior à entrada",IF(AND(F1213&lt;&gt;"",E1213=""),"Conversa sem agendamento",IF(OR(E1213&gt;TODAY(),F1213&gt;TODAY()),"Verificar evento futuro","OK"))))))</f>
        <v/>
      </c>
    </row>
    <row r="1214" spans="9:12">
      <c r="I1214" s="5">
        <f>IF(OR(A1214="",B1214=""),"",B1214-WEEKDAY(B1214,2)+1)</f>
        <v/>
      </c>
      <c r="J1214" s="5">
        <f>IF(I1214="","",I1214+6)</f>
        <v/>
      </c>
      <c r="K1214" s="6">
        <f>IF(OR(A1214="",B1214=""),"",DATE(YEAR(B1214),MONTH(B1214),1))</f>
        <v/>
      </c>
      <c r="L1214" s="7">
        <f>IF(COUNTA(A1214,B1214)=0,"",IF(OR(A1214="",B1214=""),"Preencher CPF e entrada",IF(COUNTIFS($A$12:$A$5011,A1214,$B$12:$B$5011,B1214)&gt;1,"CPF + dia duplicado",IF(OR(AND(E1214&lt;&gt;"",E1214&lt;B1214),AND(F1214&lt;&gt;"",F1214&lt;B1214)),"Evento anterior à entrada",IF(AND(F1214&lt;&gt;"",E1214=""),"Conversa sem agendamento",IF(OR(E1214&gt;TODAY(),F1214&gt;TODAY()),"Verificar evento futuro","OK"))))))</f>
        <v/>
      </c>
    </row>
    <row r="1215" spans="9:12">
      <c r="I1215" s="5">
        <f>IF(OR(A1215="",B1215=""),"",B1215-WEEKDAY(B1215,2)+1)</f>
        <v/>
      </c>
      <c r="J1215" s="5">
        <f>IF(I1215="","",I1215+6)</f>
        <v/>
      </c>
      <c r="K1215" s="6">
        <f>IF(OR(A1215="",B1215=""),"",DATE(YEAR(B1215),MONTH(B1215),1))</f>
        <v/>
      </c>
      <c r="L1215" s="7">
        <f>IF(COUNTA(A1215,B1215)=0,"",IF(OR(A1215="",B1215=""),"Preencher CPF e entrada",IF(COUNTIFS($A$12:$A$5011,A1215,$B$12:$B$5011,B1215)&gt;1,"CPF + dia duplicado",IF(OR(AND(E1215&lt;&gt;"",E1215&lt;B1215),AND(F1215&lt;&gt;"",F1215&lt;B1215)),"Evento anterior à entrada",IF(AND(F1215&lt;&gt;"",E1215=""),"Conversa sem agendamento",IF(OR(E1215&gt;TODAY(),F1215&gt;TODAY()),"Verificar evento futuro","OK"))))))</f>
        <v/>
      </c>
    </row>
    <row r="1216" spans="9:12">
      <c r="I1216" s="5">
        <f>IF(OR(A1216="",B1216=""),"",B1216-WEEKDAY(B1216,2)+1)</f>
        <v/>
      </c>
      <c r="J1216" s="5">
        <f>IF(I1216="","",I1216+6)</f>
        <v/>
      </c>
      <c r="K1216" s="6">
        <f>IF(OR(A1216="",B1216=""),"",DATE(YEAR(B1216),MONTH(B1216),1))</f>
        <v/>
      </c>
      <c r="L1216" s="7">
        <f>IF(COUNTA(A1216,B1216)=0,"",IF(OR(A1216="",B1216=""),"Preencher CPF e entrada",IF(COUNTIFS($A$12:$A$5011,A1216,$B$12:$B$5011,B1216)&gt;1,"CPF + dia duplicado",IF(OR(AND(E1216&lt;&gt;"",E1216&lt;B1216),AND(F1216&lt;&gt;"",F1216&lt;B1216)),"Evento anterior à entrada",IF(AND(F1216&lt;&gt;"",E1216=""),"Conversa sem agendamento",IF(OR(E1216&gt;TODAY(),F1216&gt;TODAY()),"Verificar evento futuro","OK"))))))</f>
        <v/>
      </c>
    </row>
    <row r="1217" spans="9:12">
      <c r="I1217" s="5">
        <f>IF(OR(A1217="",B1217=""),"",B1217-WEEKDAY(B1217,2)+1)</f>
        <v/>
      </c>
      <c r="J1217" s="5">
        <f>IF(I1217="","",I1217+6)</f>
        <v/>
      </c>
      <c r="K1217" s="6">
        <f>IF(OR(A1217="",B1217=""),"",DATE(YEAR(B1217),MONTH(B1217),1))</f>
        <v/>
      </c>
      <c r="L1217" s="7">
        <f>IF(COUNTA(A1217,B1217)=0,"",IF(OR(A1217="",B1217=""),"Preencher CPF e entrada",IF(COUNTIFS($A$12:$A$5011,A1217,$B$12:$B$5011,B1217)&gt;1,"CPF + dia duplicado",IF(OR(AND(E1217&lt;&gt;"",E1217&lt;B1217),AND(F1217&lt;&gt;"",F1217&lt;B1217)),"Evento anterior à entrada",IF(AND(F1217&lt;&gt;"",E1217=""),"Conversa sem agendamento",IF(OR(E1217&gt;TODAY(),F1217&gt;TODAY()),"Verificar evento futuro","OK"))))))</f>
        <v/>
      </c>
    </row>
    <row r="1218" spans="9:12">
      <c r="I1218" s="5">
        <f>IF(OR(A1218="",B1218=""),"",B1218-WEEKDAY(B1218,2)+1)</f>
        <v/>
      </c>
      <c r="J1218" s="5">
        <f>IF(I1218="","",I1218+6)</f>
        <v/>
      </c>
      <c r="K1218" s="6">
        <f>IF(OR(A1218="",B1218=""),"",DATE(YEAR(B1218),MONTH(B1218),1))</f>
        <v/>
      </c>
      <c r="L1218" s="7">
        <f>IF(COUNTA(A1218,B1218)=0,"",IF(OR(A1218="",B1218=""),"Preencher CPF e entrada",IF(COUNTIFS($A$12:$A$5011,A1218,$B$12:$B$5011,B1218)&gt;1,"CPF + dia duplicado",IF(OR(AND(E1218&lt;&gt;"",E1218&lt;B1218),AND(F1218&lt;&gt;"",F1218&lt;B1218)),"Evento anterior à entrada",IF(AND(F1218&lt;&gt;"",E1218=""),"Conversa sem agendamento",IF(OR(E1218&gt;TODAY(),F1218&gt;TODAY()),"Verificar evento futuro","OK"))))))</f>
        <v/>
      </c>
    </row>
    <row r="1219" spans="9:12">
      <c r="I1219" s="5">
        <f>IF(OR(A1219="",B1219=""),"",B1219-WEEKDAY(B1219,2)+1)</f>
        <v/>
      </c>
      <c r="J1219" s="5">
        <f>IF(I1219="","",I1219+6)</f>
        <v/>
      </c>
      <c r="K1219" s="6">
        <f>IF(OR(A1219="",B1219=""),"",DATE(YEAR(B1219),MONTH(B1219),1))</f>
        <v/>
      </c>
      <c r="L1219" s="7">
        <f>IF(COUNTA(A1219,B1219)=0,"",IF(OR(A1219="",B1219=""),"Preencher CPF e entrada",IF(COUNTIFS($A$12:$A$5011,A1219,$B$12:$B$5011,B1219)&gt;1,"CPF + dia duplicado",IF(OR(AND(E1219&lt;&gt;"",E1219&lt;B1219),AND(F1219&lt;&gt;"",F1219&lt;B1219)),"Evento anterior à entrada",IF(AND(F1219&lt;&gt;"",E1219=""),"Conversa sem agendamento",IF(OR(E1219&gt;TODAY(),F1219&gt;TODAY()),"Verificar evento futuro","OK"))))))</f>
        <v/>
      </c>
    </row>
    <row r="1220" spans="9:12">
      <c r="I1220" s="5">
        <f>IF(OR(A1220="",B1220=""),"",B1220-WEEKDAY(B1220,2)+1)</f>
        <v/>
      </c>
      <c r="J1220" s="5">
        <f>IF(I1220="","",I1220+6)</f>
        <v/>
      </c>
      <c r="K1220" s="6">
        <f>IF(OR(A1220="",B1220=""),"",DATE(YEAR(B1220),MONTH(B1220),1))</f>
        <v/>
      </c>
      <c r="L1220" s="7">
        <f>IF(COUNTA(A1220,B1220)=0,"",IF(OR(A1220="",B1220=""),"Preencher CPF e entrada",IF(COUNTIFS($A$12:$A$5011,A1220,$B$12:$B$5011,B1220)&gt;1,"CPF + dia duplicado",IF(OR(AND(E1220&lt;&gt;"",E1220&lt;B1220),AND(F1220&lt;&gt;"",F1220&lt;B1220)),"Evento anterior à entrada",IF(AND(F1220&lt;&gt;"",E1220=""),"Conversa sem agendamento",IF(OR(E1220&gt;TODAY(),F1220&gt;TODAY()),"Verificar evento futuro","OK"))))))</f>
        <v/>
      </c>
    </row>
    <row r="1221" spans="9:12">
      <c r="I1221" s="5">
        <f>IF(OR(A1221="",B1221=""),"",B1221-WEEKDAY(B1221,2)+1)</f>
        <v/>
      </c>
      <c r="J1221" s="5">
        <f>IF(I1221="","",I1221+6)</f>
        <v/>
      </c>
      <c r="K1221" s="6">
        <f>IF(OR(A1221="",B1221=""),"",DATE(YEAR(B1221),MONTH(B1221),1))</f>
        <v/>
      </c>
      <c r="L1221" s="7">
        <f>IF(COUNTA(A1221,B1221)=0,"",IF(OR(A1221="",B1221=""),"Preencher CPF e entrada",IF(COUNTIFS($A$12:$A$5011,A1221,$B$12:$B$5011,B1221)&gt;1,"CPF + dia duplicado",IF(OR(AND(E1221&lt;&gt;"",E1221&lt;B1221),AND(F1221&lt;&gt;"",F1221&lt;B1221)),"Evento anterior à entrada",IF(AND(F1221&lt;&gt;"",E1221=""),"Conversa sem agendamento",IF(OR(E1221&gt;TODAY(),F1221&gt;TODAY()),"Verificar evento futuro","OK"))))))</f>
        <v/>
      </c>
    </row>
    <row r="1222" spans="9:12">
      <c r="I1222" s="5">
        <f>IF(OR(A1222="",B1222=""),"",B1222-WEEKDAY(B1222,2)+1)</f>
        <v/>
      </c>
      <c r="J1222" s="5">
        <f>IF(I1222="","",I1222+6)</f>
        <v/>
      </c>
      <c r="K1222" s="6">
        <f>IF(OR(A1222="",B1222=""),"",DATE(YEAR(B1222),MONTH(B1222),1))</f>
        <v/>
      </c>
      <c r="L1222" s="7">
        <f>IF(COUNTA(A1222,B1222)=0,"",IF(OR(A1222="",B1222=""),"Preencher CPF e entrada",IF(COUNTIFS($A$12:$A$5011,A1222,$B$12:$B$5011,B1222)&gt;1,"CPF + dia duplicado",IF(OR(AND(E1222&lt;&gt;"",E1222&lt;B1222),AND(F1222&lt;&gt;"",F1222&lt;B1222)),"Evento anterior à entrada",IF(AND(F1222&lt;&gt;"",E1222=""),"Conversa sem agendamento",IF(OR(E1222&gt;TODAY(),F1222&gt;TODAY()),"Verificar evento futuro","OK"))))))</f>
        <v/>
      </c>
    </row>
    <row r="1223" spans="9:12">
      <c r="I1223" s="5">
        <f>IF(OR(A1223="",B1223=""),"",B1223-WEEKDAY(B1223,2)+1)</f>
        <v/>
      </c>
      <c r="J1223" s="5">
        <f>IF(I1223="","",I1223+6)</f>
        <v/>
      </c>
      <c r="K1223" s="6">
        <f>IF(OR(A1223="",B1223=""),"",DATE(YEAR(B1223),MONTH(B1223),1))</f>
        <v/>
      </c>
      <c r="L1223" s="7">
        <f>IF(COUNTA(A1223,B1223)=0,"",IF(OR(A1223="",B1223=""),"Preencher CPF e entrada",IF(COUNTIFS($A$12:$A$5011,A1223,$B$12:$B$5011,B1223)&gt;1,"CPF + dia duplicado",IF(OR(AND(E1223&lt;&gt;"",E1223&lt;B1223),AND(F1223&lt;&gt;"",F1223&lt;B1223)),"Evento anterior à entrada",IF(AND(F1223&lt;&gt;"",E1223=""),"Conversa sem agendamento",IF(OR(E1223&gt;TODAY(),F1223&gt;TODAY()),"Verificar evento futuro","OK"))))))</f>
        <v/>
      </c>
    </row>
    <row r="1224" spans="9:12">
      <c r="I1224" s="5">
        <f>IF(OR(A1224="",B1224=""),"",B1224-WEEKDAY(B1224,2)+1)</f>
        <v/>
      </c>
      <c r="J1224" s="5">
        <f>IF(I1224="","",I1224+6)</f>
        <v/>
      </c>
      <c r="K1224" s="6">
        <f>IF(OR(A1224="",B1224=""),"",DATE(YEAR(B1224),MONTH(B1224),1))</f>
        <v/>
      </c>
      <c r="L1224" s="7">
        <f>IF(COUNTA(A1224,B1224)=0,"",IF(OR(A1224="",B1224=""),"Preencher CPF e entrada",IF(COUNTIFS($A$12:$A$5011,A1224,$B$12:$B$5011,B1224)&gt;1,"CPF + dia duplicado",IF(OR(AND(E1224&lt;&gt;"",E1224&lt;B1224),AND(F1224&lt;&gt;"",F1224&lt;B1224)),"Evento anterior à entrada",IF(AND(F1224&lt;&gt;"",E1224=""),"Conversa sem agendamento",IF(OR(E1224&gt;TODAY(),F1224&gt;TODAY()),"Verificar evento futuro","OK"))))))</f>
        <v/>
      </c>
    </row>
    <row r="1225" spans="9:12">
      <c r="I1225" s="5">
        <f>IF(OR(A1225="",B1225=""),"",B1225-WEEKDAY(B1225,2)+1)</f>
        <v/>
      </c>
      <c r="J1225" s="5">
        <f>IF(I1225="","",I1225+6)</f>
        <v/>
      </c>
      <c r="K1225" s="6">
        <f>IF(OR(A1225="",B1225=""),"",DATE(YEAR(B1225),MONTH(B1225),1))</f>
        <v/>
      </c>
      <c r="L1225" s="7">
        <f>IF(COUNTA(A1225,B1225)=0,"",IF(OR(A1225="",B1225=""),"Preencher CPF e entrada",IF(COUNTIFS($A$12:$A$5011,A1225,$B$12:$B$5011,B1225)&gt;1,"CPF + dia duplicado",IF(OR(AND(E1225&lt;&gt;"",E1225&lt;B1225),AND(F1225&lt;&gt;"",F1225&lt;B1225)),"Evento anterior à entrada",IF(AND(F1225&lt;&gt;"",E1225=""),"Conversa sem agendamento",IF(OR(E1225&gt;TODAY(),F1225&gt;TODAY()),"Verificar evento futuro","OK"))))))</f>
        <v/>
      </c>
    </row>
    <row r="1226" spans="9:12">
      <c r="I1226" s="5">
        <f>IF(OR(A1226="",B1226=""),"",B1226-WEEKDAY(B1226,2)+1)</f>
        <v/>
      </c>
      <c r="J1226" s="5">
        <f>IF(I1226="","",I1226+6)</f>
        <v/>
      </c>
      <c r="K1226" s="6">
        <f>IF(OR(A1226="",B1226=""),"",DATE(YEAR(B1226),MONTH(B1226),1))</f>
        <v/>
      </c>
      <c r="L1226" s="7">
        <f>IF(COUNTA(A1226,B1226)=0,"",IF(OR(A1226="",B1226=""),"Preencher CPF e entrada",IF(COUNTIFS($A$12:$A$5011,A1226,$B$12:$B$5011,B1226)&gt;1,"CPF + dia duplicado",IF(OR(AND(E1226&lt;&gt;"",E1226&lt;B1226),AND(F1226&lt;&gt;"",F1226&lt;B1226)),"Evento anterior à entrada",IF(AND(F1226&lt;&gt;"",E1226=""),"Conversa sem agendamento",IF(OR(E1226&gt;TODAY(),F1226&gt;TODAY()),"Verificar evento futuro","OK"))))))</f>
        <v/>
      </c>
    </row>
    <row r="1227" spans="9:12">
      <c r="I1227" s="5">
        <f>IF(OR(A1227="",B1227=""),"",B1227-WEEKDAY(B1227,2)+1)</f>
        <v/>
      </c>
      <c r="J1227" s="5">
        <f>IF(I1227="","",I1227+6)</f>
        <v/>
      </c>
      <c r="K1227" s="6">
        <f>IF(OR(A1227="",B1227=""),"",DATE(YEAR(B1227),MONTH(B1227),1))</f>
        <v/>
      </c>
      <c r="L1227" s="7">
        <f>IF(COUNTA(A1227,B1227)=0,"",IF(OR(A1227="",B1227=""),"Preencher CPF e entrada",IF(COUNTIFS($A$12:$A$5011,A1227,$B$12:$B$5011,B1227)&gt;1,"CPF + dia duplicado",IF(OR(AND(E1227&lt;&gt;"",E1227&lt;B1227),AND(F1227&lt;&gt;"",F1227&lt;B1227)),"Evento anterior à entrada",IF(AND(F1227&lt;&gt;"",E1227=""),"Conversa sem agendamento",IF(OR(E1227&gt;TODAY(),F1227&gt;TODAY()),"Verificar evento futuro","OK"))))))</f>
        <v/>
      </c>
    </row>
    <row r="1228" spans="9:12">
      <c r="I1228" s="5">
        <f>IF(OR(A1228="",B1228=""),"",B1228-WEEKDAY(B1228,2)+1)</f>
        <v/>
      </c>
      <c r="J1228" s="5">
        <f>IF(I1228="","",I1228+6)</f>
        <v/>
      </c>
      <c r="K1228" s="6">
        <f>IF(OR(A1228="",B1228=""),"",DATE(YEAR(B1228),MONTH(B1228),1))</f>
        <v/>
      </c>
      <c r="L1228" s="7">
        <f>IF(COUNTA(A1228,B1228)=0,"",IF(OR(A1228="",B1228=""),"Preencher CPF e entrada",IF(COUNTIFS($A$12:$A$5011,A1228,$B$12:$B$5011,B1228)&gt;1,"CPF + dia duplicado",IF(OR(AND(E1228&lt;&gt;"",E1228&lt;B1228),AND(F1228&lt;&gt;"",F1228&lt;B1228)),"Evento anterior à entrada",IF(AND(F1228&lt;&gt;"",E1228=""),"Conversa sem agendamento",IF(OR(E1228&gt;TODAY(),F1228&gt;TODAY()),"Verificar evento futuro","OK"))))))</f>
        <v/>
      </c>
    </row>
    <row r="1229" spans="9:12">
      <c r="I1229" s="5">
        <f>IF(OR(A1229="",B1229=""),"",B1229-WEEKDAY(B1229,2)+1)</f>
        <v/>
      </c>
      <c r="J1229" s="5">
        <f>IF(I1229="","",I1229+6)</f>
        <v/>
      </c>
      <c r="K1229" s="6">
        <f>IF(OR(A1229="",B1229=""),"",DATE(YEAR(B1229),MONTH(B1229),1))</f>
        <v/>
      </c>
      <c r="L1229" s="7">
        <f>IF(COUNTA(A1229,B1229)=0,"",IF(OR(A1229="",B1229=""),"Preencher CPF e entrada",IF(COUNTIFS($A$12:$A$5011,A1229,$B$12:$B$5011,B1229)&gt;1,"CPF + dia duplicado",IF(OR(AND(E1229&lt;&gt;"",E1229&lt;B1229),AND(F1229&lt;&gt;"",F1229&lt;B1229)),"Evento anterior à entrada",IF(AND(F1229&lt;&gt;"",E1229=""),"Conversa sem agendamento",IF(OR(E1229&gt;TODAY(),F1229&gt;TODAY()),"Verificar evento futuro","OK"))))))</f>
        <v/>
      </c>
    </row>
    <row r="1230" spans="9:12">
      <c r="I1230" s="5">
        <f>IF(OR(A1230="",B1230=""),"",B1230-WEEKDAY(B1230,2)+1)</f>
        <v/>
      </c>
      <c r="J1230" s="5">
        <f>IF(I1230="","",I1230+6)</f>
        <v/>
      </c>
      <c r="K1230" s="6">
        <f>IF(OR(A1230="",B1230=""),"",DATE(YEAR(B1230),MONTH(B1230),1))</f>
        <v/>
      </c>
      <c r="L1230" s="7">
        <f>IF(COUNTA(A1230,B1230)=0,"",IF(OR(A1230="",B1230=""),"Preencher CPF e entrada",IF(COUNTIFS($A$12:$A$5011,A1230,$B$12:$B$5011,B1230)&gt;1,"CPF + dia duplicado",IF(OR(AND(E1230&lt;&gt;"",E1230&lt;B1230),AND(F1230&lt;&gt;"",F1230&lt;B1230)),"Evento anterior à entrada",IF(AND(F1230&lt;&gt;"",E1230=""),"Conversa sem agendamento",IF(OR(E1230&gt;TODAY(),F1230&gt;TODAY()),"Verificar evento futuro","OK"))))))</f>
        <v/>
      </c>
    </row>
    <row r="1231" spans="9:12">
      <c r="I1231" s="5">
        <f>IF(OR(A1231="",B1231=""),"",B1231-WEEKDAY(B1231,2)+1)</f>
        <v/>
      </c>
      <c r="J1231" s="5">
        <f>IF(I1231="","",I1231+6)</f>
        <v/>
      </c>
      <c r="K1231" s="6">
        <f>IF(OR(A1231="",B1231=""),"",DATE(YEAR(B1231),MONTH(B1231),1))</f>
        <v/>
      </c>
      <c r="L1231" s="7">
        <f>IF(COUNTA(A1231,B1231)=0,"",IF(OR(A1231="",B1231=""),"Preencher CPF e entrada",IF(COUNTIFS($A$12:$A$5011,A1231,$B$12:$B$5011,B1231)&gt;1,"CPF + dia duplicado",IF(OR(AND(E1231&lt;&gt;"",E1231&lt;B1231),AND(F1231&lt;&gt;"",F1231&lt;B1231)),"Evento anterior à entrada",IF(AND(F1231&lt;&gt;"",E1231=""),"Conversa sem agendamento",IF(OR(E1231&gt;TODAY(),F1231&gt;TODAY()),"Verificar evento futuro","OK"))))))</f>
        <v/>
      </c>
    </row>
    <row r="1232" spans="9:12">
      <c r="I1232" s="5">
        <f>IF(OR(A1232="",B1232=""),"",B1232-WEEKDAY(B1232,2)+1)</f>
        <v/>
      </c>
      <c r="J1232" s="5">
        <f>IF(I1232="","",I1232+6)</f>
        <v/>
      </c>
      <c r="K1232" s="6">
        <f>IF(OR(A1232="",B1232=""),"",DATE(YEAR(B1232),MONTH(B1232),1))</f>
        <v/>
      </c>
      <c r="L1232" s="7">
        <f>IF(COUNTA(A1232,B1232)=0,"",IF(OR(A1232="",B1232=""),"Preencher CPF e entrada",IF(COUNTIFS($A$12:$A$5011,A1232,$B$12:$B$5011,B1232)&gt;1,"CPF + dia duplicado",IF(OR(AND(E1232&lt;&gt;"",E1232&lt;B1232),AND(F1232&lt;&gt;"",F1232&lt;B1232)),"Evento anterior à entrada",IF(AND(F1232&lt;&gt;"",E1232=""),"Conversa sem agendamento",IF(OR(E1232&gt;TODAY(),F1232&gt;TODAY()),"Verificar evento futuro","OK"))))))</f>
        <v/>
      </c>
    </row>
    <row r="1233" spans="9:12">
      <c r="I1233" s="5">
        <f>IF(OR(A1233="",B1233=""),"",B1233-WEEKDAY(B1233,2)+1)</f>
        <v/>
      </c>
      <c r="J1233" s="5">
        <f>IF(I1233="","",I1233+6)</f>
        <v/>
      </c>
      <c r="K1233" s="6">
        <f>IF(OR(A1233="",B1233=""),"",DATE(YEAR(B1233),MONTH(B1233),1))</f>
        <v/>
      </c>
      <c r="L1233" s="7">
        <f>IF(COUNTA(A1233,B1233)=0,"",IF(OR(A1233="",B1233=""),"Preencher CPF e entrada",IF(COUNTIFS($A$12:$A$5011,A1233,$B$12:$B$5011,B1233)&gt;1,"CPF + dia duplicado",IF(OR(AND(E1233&lt;&gt;"",E1233&lt;B1233),AND(F1233&lt;&gt;"",F1233&lt;B1233)),"Evento anterior à entrada",IF(AND(F1233&lt;&gt;"",E1233=""),"Conversa sem agendamento",IF(OR(E1233&gt;TODAY(),F1233&gt;TODAY()),"Verificar evento futuro","OK"))))))</f>
        <v/>
      </c>
    </row>
    <row r="1234" spans="9:12">
      <c r="I1234" s="5">
        <f>IF(OR(A1234="",B1234=""),"",B1234-WEEKDAY(B1234,2)+1)</f>
        <v/>
      </c>
      <c r="J1234" s="5">
        <f>IF(I1234="","",I1234+6)</f>
        <v/>
      </c>
      <c r="K1234" s="6">
        <f>IF(OR(A1234="",B1234=""),"",DATE(YEAR(B1234),MONTH(B1234),1))</f>
        <v/>
      </c>
      <c r="L1234" s="7">
        <f>IF(COUNTA(A1234,B1234)=0,"",IF(OR(A1234="",B1234=""),"Preencher CPF e entrada",IF(COUNTIFS($A$12:$A$5011,A1234,$B$12:$B$5011,B1234)&gt;1,"CPF + dia duplicado",IF(OR(AND(E1234&lt;&gt;"",E1234&lt;B1234),AND(F1234&lt;&gt;"",F1234&lt;B1234)),"Evento anterior à entrada",IF(AND(F1234&lt;&gt;"",E1234=""),"Conversa sem agendamento",IF(OR(E1234&gt;TODAY(),F1234&gt;TODAY()),"Verificar evento futuro","OK"))))))</f>
        <v/>
      </c>
    </row>
    <row r="1235" spans="9:12">
      <c r="I1235" s="5">
        <f>IF(OR(A1235="",B1235=""),"",B1235-WEEKDAY(B1235,2)+1)</f>
        <v/>
      </c>
      <c r="J1235" s="5">
        <f>IF(I1235="","",I1235+6)</f>
        <v/>
      </c>
      <c r="K1235" s="6">
        <f>IF(OR(A1235="",B1235=""),"",DATE(YEAR(B1235),MONTH(B1235),1))</f>
        <v/>
      </c>
      <c r="L1235" s="7">
        <f>IF(COUNTA(A1235,B1235)=0,"",IF(OR(A1235="",B1235=""),"Preencher CPF e entrada",IF(COUNTIFS($A$12:$A$5011,A1235,$B$12:$B$5011,B1235)&gt;1,"CPF + dia duplicado",IF(OR(AND(E1235&lt;&gt;"",E1235&lt;B1235),AND(F1235&lt;&gt;"",F1235&lt;B1235)),"Evento anterior à entrada",IF(AND(F1235&lt;&gt;"",E1235=""),"Conversa sem agendamento",IF(OR(E1235&gt;TODAY(),F1235&gt;TODAY()),"Verificar evento futuro","OK"))))))</f>
        <v/>
      </c>
    </row>
    <row r="1236" spans="9:12">
      <c r="I1236" s="5">
        <f>IF(OR(A1236="",B1236=""),"",B1236-WEEKDAY(B1236,2)+1)</f>
        <v/>
      </c>
      <c r="J1236" s="5">
        <f>IF(I1236="","",I1236+6)</f>
        <v/>
      </c>
      <c r="K1236" s="6">
        <f>IF(OR(A1236="",B1236=""),"",DATE(YEAR(B1236),MONTH(B1236),1))</f>
        <v/>
      </c>
      <c r="L1236" s="7">
        <f>IF(COUNTA(A1236,B1236)=0,"",IF(OR(A1236="",B1236=""),"Preencher CPF e entrada",IF(COUNTIFS($A$12:$A$5011,A1236,$B$12:$B$5011,B1236)&gt;1,"CPF + dia duplicado",IF(OR(AND(E1236&lt;&gt;"",E1236&lt;B1236),AND(F1236&lt;&gt;"",F1236&lt;B1236)),"Evento anterior à entrada",IF(AND(F1236&lt;&gt;"",E1236=""),"Conversa sem agendamento",IF(OR(E1236&gt;TODAY(),F1236&gt;TODAY()),"Verificar evento futuro","OK"))))))</f>
        <v/>
      </c>
    </row>
    <row r="1237" spans="9:12">
      <c r="I1237" s="5">
        <f>IF(OR(A1237="",B1237=""),"",B1237-WEEKDAY(B1237,2)+1)</f>
        <v/>
      </c>
      <c r="J1237" s="5">
        <f>IF(I1237="","",I1237+6)</f>
        <v/>
      </c>
      <c r="K1237" s="6">
        <f>IF(OR(A1237="",B1237=""),"",DATE(YEAR(B1237),MONTH(B1237),1))</f>
        <v/>
      </c>
      <c r="L1237" s="7">
        <f>IF(COUNTA(A1237,B1237)=0,"",IF(OR(A1237="",B1237=""),"Preencher CPF e entrada",IF(COUNTIFS($A$12:$A$5011,A1237,$B$12:$B$5011,B1237)&gt;1,"CPF + dia duplicado",IF(OR(AND(E1237&lt;&gt;"",E1237&lt;B1237),AND(F1237&lt;&gt;"",F1237&lt;B1237)),"Evento anterior à entrada",IF(AND(F1237&lt;&gt;"",E1237=""),"Conversa sem agendamento",IF(OR(E1237&gt;TODAY(),F1237&gt;TODAY()),"Verificar evento futuro","OK"))))))</f>
        <v/>
      </c>
    </row>
    <row r="1238" spans="9:12">
      <c r="I1238" s="5">
        <f>IF(OR(A1238="",B1238=""),"",B1238-WEEKDAY(B1238,2)+1)</f>
        <v/>
      </c>
      <c r="J1238" s="5">
        <f>IF(I1238="","",I1238+6)</f>
        <v/>
      </c>
      <c r="K1238" s="6">
        <f>IF(OR(A1238="",B1238=""),"",DATE(YEAR(B1238),MONTH(B1238),1))</f>
        <v/>
      </c>
      <c r="L1238" s="7">
        <f>IF(COUNTA(A1238,B1238)=0,"",IF(OR(A1238="",B1238=""),"Preencher CPF e entrada",IF(COUNTIFS($A$12:$A$5011,A1238,$B$12:$B$5011,B1238)&gt;1,"CPF + dia duplicado",IF(OR(AND(E1238&lt;&gt;"",E1238&lt;B1238),AND(F1238&lt;&gt;"",F1238&lt;B1238)),"Evento anterior à entrada",IF(AND(F1238&lt;&gt;"",E1238=""),"Conversa sem agendamento",IF(OR(E1238&gt;TODAY(),F1238&gt;TODAY()),"Verificar evento futuro","OK"))))))</f>
        <v/>
      </c>
    </row>
    <row r="1239" spans="9:12">
      <c r="I1239" s="5">
        <f>IF(OR(A1239="",B1239=""),"",B1239-WEEKDAY(B1239,2)+1)</f>
        <v/>
      </c>
      <c r="J1239" s="5">
        <f>IF(I1239="","",I1239+6)</f>
        <v/>
      </c>
      <c r="K1239" s="6">
        <f>IF(OR(A1239="",B1239=""),"",DATE(YEAR(B1239),MONTH(B1239),1))</f>
        <v/>
      </c>
      <c r="L1239" s="7">
        <f>IF(COUNTA(A1239,B1239)=0,"",IF(OR(A1239="",B1239=""),"Preencher CPF e entrada",IF(COUNTIFS($A$12:$A$5011,A1239,$B$12:$B$5011,B1239)&gt;1,"CPF + dia duplicado",IF(OR(AND(E1239&lt;&gt;"",E1239&lt;B1239),AND(F1239&lt;&gt;"",F1239&lt;B1239)),"Evento anterior à entrada",IF(AND(F1239&lt;&gt;"",E1239=""),"Conversa sem agendamento",IF(OR(E1239&gt;TODAY(),F1239&gt;TODAY()),"Verificar evento futuro","OK"))))))</f>
        <v/>
      </c>
    </row>
    <row r="1240" spans="9:12">
      <c r="I1240" s="5">
        <f>IF(OR(A1240="",B1240=""),"",B1240-WEEKDAY(B1240,2)+1)</f>
        <v/>
      </c>
      <c r="J1240" s="5">
        <f>IF(I1240="","",I1240+6)</f>
        <v/>
      </c>
      <c r="K1240" s="6">
        <f>IF(OR(A1240="",B1240=""),"",DATE(YEAR(B1240),MONTH(B1240),1))</f>
        <v/>
      </c>
      <c r="L1240" s="7">
        <f>IF(COUNTA(A1240,B1240)=0,"",IF(OR(A1240="",B1240=""),"Preencher CPF e entrada",IF(COUNTIFS($A$12:$A$5011,A1240,$B$12:$B$5011,B1240)&gt;1,"CPF + dia duplicado",IF(OR(AND(E1240&lt;&gt;"",E1240&lt;B1240),AND(F1240&lt;&gt;"",F1240&lt;B1240)),"Evento anterior à entrada",IF(AND(F1240&lt;&gt;"",E1240=""),"Conversa sem agendamento",IF(OR(E1240&gt;TODAY(),F1240&gt;TODAY()),"Verificar evento futuro","OK"))))))</f>
        <v/>
      </c>
    </row>
    <row r="1241" spans="9:12">
      <c r="I1241" s="5">
        <f>IF(OR(A1241="",B1241=""),"",B1241-WEEKDAY(B1241,2)+1)</f>
        <v/>
      </c>
      <c r="J1241" s="5">
        <f>IF(I1241="","",I1241+6)</f>
        <v/>
      </c>
      <c r="K1241" s="6">
        <f>IF(OR(A1241="",B1241=""),"",DATE(YEAR(B1241),MONTH(B1241),1))</f>
        <v/>
      </c>
      <c r="L1241" s="7">
        <f>IF(COUNTA(A1241,B1241)=0,"",IF(OR(A1241="",B1241=""),"Preencher CPF e entrada",IF(COUNTIFS($A$12:$A$5011,A1241,$B$12:$B$5011,B1241)&gt;1,"CPF + dia duplicado",IF(OR(AND(E1241&lt;&gt;"",E1241&lt;B1241),AND(F1241&lt;&gt;"",F1241&lt;B1241)),"Evento anterior à entrada",IF(AND(F1241&lt;&gt;"",E1241=""),"Conversa sem agendamento",IF(OR(E1241&gt;TODAY(),F1241&gt;TODAY()),"Verificar evento futuro","OK"))))))</f>
        <v/>
      </c>
    </row>
    <row r="1242" spans="9:12">
      <c r="I1242" s="5">
        <f>IF(OR(A1242="",B1242=""),"",B1242-WEEKDAY(B1242,2)+1)</f>
        <v/>
      </c>
      <c r="J1242" s="5">
        <f>IF(I1242="","",I1242+6)</f>
        <v/>
      </c>
      <c r="K1242" s="6">
        <f>IF(OR(A1242="",B1242=""),"",DATE(YEAR(B1242),MONTH(B1242),1))</f>
        <v/>
      </c>
      <c r="L1242" s="7">
        <f>IF(COUNTA(A1242,B1242)=0,"",IF(OR(A1242="",B1242=""),"Preencher CPF e entrada",IF(COUNTIFS($A$12:$A$5011,A1242,$B$12:$B$5011,B1242)&gt;1,"CPF + dia duplicado",IF(OR(AND(E1242&lt;&gt;"",E1242&lt;B1242),AND(F1242&lt;&gt;"",F1242&lt;B1242)),"Evento anterior à entrada",IF(AND(F1242&lt;&gt;"",E1242=""),"Conversa sem agendamento",IF(OR(E1242&gt;TODAY(),F1242&gt;TODAY()),"Verificar evento futuro","OK"))))))</f>
        <v/>
      </c>
    </row>
    <row r="1243" spans="9:12">
      <c r="I1243" s="5">
        <f>IF(OR(A1243="",B1243=""),"",B1243-WEEKDAY(B1243,2)+1)</f>
        <v/>
      </c>
      <c r="J1243" s="5">
        <f>IF(I1243="","",I1243+6)</f>
        <v/>
      </c>
      <c r="K1243" s="6">
        <f>IF(OR(A1243="",B1243=""),"",DATE(YEAR(B1243),MONTH(B1243),1))</f>
        <v/>
      </c>
      <c r="L1243" s="7">
        <f>IF(COUNTA(A1243,B1243)=0,"",IF(OR(A1243="",B1243=""),"Preencher CPF e entrada",IF(COUNTIFS($A$12:$A$5011,A1243,$B$12:$B$5011,B1243)&gt;1,"CPF + dia duplicado",IF(OR(AND(E1243&lt;&gt;"",E1243&lt;B1243),AND(F1243&lt;&gt;"",F1243&lt;B1243)),"Evento anterior à entrada",IF(AND(F1243&lt;&gt;"",E1243=""),"Conversa sem agendamento",IF(OR(E1243&gt;TODAY(),F1243&gt;TODAY()),"Verificar evento futuro","OK"))))))</f>
        <v/>
      </c>
    </row>
    <row r="1244" spans="9:12">
      <c r="I1244" s="5">
        <f>IF(OR(A1244="",B1244=""),"",B1244-WEEKDAY(B1244,2)+1)</f>
        <v/>
      </c>
      <c r="J1244" s="5">
        <f>IF(I1244="","",I1244+6)</f>
        <v/>
      </c>
      <c r="K1244" s="6">
        <f>IF(OR(A1244="",B1244=""),"",DATE(YEAR(B1244),MONTH(B1244),1))</f>
        <v/>
      </c>
      <c r="L1244" s="7">
        <f>IF(COUNTA(A1244,B1244)=0,"",IF(OR(A1244="",B1244=""),"Preencher CPF e entrada",IF(COUNTIFS($A$12:$A$5011,A1244,$B$12:$B$5011,B1244)&gt;1,"CPF + dia duplicado",IF(OR(AND(E1244&lt;&gt;"",E1244&lt;B1244),AND(F1244&lt;&gt;"",F1244&lt;B1244)),"Evento anterior à entrada",IF(AND(F1244&lt;&gt;"",E1244=""),"Conversa sem agendamento",IF(OR(E1244&gt;TODAY(),F1244&gt;TODAY()),"Verificar evento futuro","OK"))))))</f>
        <v/>
      </c>
    </row>
    <row r="1245" spans="9:12">
      <c r="I1245" s="5">
        <f>IF(OR(A1245="",B1245=""),"",B1245-WEEKDAY(B1245,2)+1)</f>
        <v/>
      </c>
      <c r="J1245" s="5">
        <f>IF(I1245="","",I1245+6)</f>
        <v/>
      </c>
      <c r="K1245" s="6">
        <f>IF(OR(A1245="",B1245=""),"",DATE(YEAR(B1245),MONTH(B1245),1))</f>
        <v/>
      </c>
      <c r="L1245" s="7">
        <f>IF(COUNTA(A1245,B1245)=0,"",IF(OR(A1245="",B1245=""),"Preencher CPF e entrada",IF(COUNTIFS($A$12:$A$5011,A1245,$B$12:$B$5011,B1245)&gt;1,"CPF + dia duplicado",IF(OR(AND(E1245&lt;&gt;"",E1245&lt;B1245),AND(F1245&lt;&gt;"",F1245&lt;B1245)),"Evento anterior à entrada",IF(AND(F1245&lt;&gt;"",E1245=""),"Conversa sem agendamento",IF(OR(E1245&gt;TODAY(),F1245&gt;TODAY()),"Verificar evento futuro","OK"))))))</f>
        <v/>
      </c>
    </row>
    <row r="1246" spans="9:12">
      <c r="I1246" s="5">
        <f>IF(OR(A1246="",B1246=""),"",B1246-WEEKDAY(B1246,2)+1)</f>
        <v/>
      </c>
      <c r="J1246" s="5">
        <f>IF(I1246="","",I1246+6)</f>
        <v/>
      </c>
      <c r="K1246" s="6">
        <f>IF(OR(A1246="",B1246=""),"",DATE(YEAR(B1246),MONTH(B1246),1))</f>
        <v/>
      </c>
      <c r="L1246" s="7">
        <f>IF(COUNTA(A1246,B1246)=0,"",IF(OR(A1246="",B1246=""),"Preencher CPF e entrada",IF(COUNTIFS($A$12:$A$5011,A1246,$B$12:$B$5011,B1246)&gt;1,"CPF + dia duplicado",IF(OR(AND(E1246&lt;&gt;"",E1246&lt;B1246),AND(F1246&lt;&gt;"",F1246&lt;B1246)),"Evento anterior à entrada",IF(AND(F1246&lt;&gt;"",E1246=""),"Conversa sem agendamento",IF(OR(E1246&gt;TODAY(),F1246&gt;TODAY()),"Verificar evento futuro","OK"))))))</f>
        <v/>
      </c>
    </row>
    <row r="1247" spans="9:12">
      <c r="I1247" s="5">
        <f>IF(OR(A1247="",B1247=""),"",B1247-WEEKDAY(B1247,2)+1)</f>
        <v/>
      </c>
      <c r="J1247" s="5">
        <f>IF(I1247="","",I1247+6)</f>
        <v/>
      </c>
      <c r="K1247" s="6">
        <f>IF(OR(A1247="",B1247=""),"",DATE(YEAR(B1247),MONTH(B1247),1))</f>
        <v/>
      </c>
      <c r="L1247" s="7">
        <f>IF(COUNTA(A1247,B1247)=0,"",IF(OR(A1247="",B1247=""),"Preencher CPF e entrada",IF(COUNTIFS($A$12:$A$5011,A1247,$B$12:$B$5011,B1247)&gt;1,"CPF + dia duplicado",IF(OR(AND(E1247&lt;&gt;"",E1247&lt;B1247),AND(F1247&lt;&gt;"",F1247&lt;B1247)),"Evento anterior à entrada",IF(AND(F1247&lt;&gt;"",E1247=""),"Conversa sem agendamento",IF(OR(E1247&gt;TODAY(),F1247&gt;TODAY()),"Verificar evento futuro","OK"))))))</f>
        <v/>
      </c>
    </row>
    <row r="1248" spans="9:12">
      <c r="I1248" s="5">
        <f>IF(OR(A1248="",B1248=""),"",B1248-WEEKDAY(B1248,2)+1)</f>
        <v/>
      </c>
      <c r="J1248" s="5">
        <f>IF(I1248="","",I1248+6)</f>
        <v/>
      </c>
      <c r="K1248" s="6">
        <f>IF(OR(A1248="",B1248=""),"",DATE(YEAR(B1248),MONTH(B1248),1))</f>
        <v/>
      </c>
      <c r="L1248" s="7">
        <f>IF(COUNTA(A1248,B1248)=0,"",IF(OR(A1248="",B1248=""),"Preencher CPF e entrada",IF(COUNTIFS($A$12:$A$5011,A1248,$B$12:$B$5011,B1248)&gt;1,"CPF + dia duplicado",IF(OR(AND(E1248&lt;&gt;"",E1248&lt;B1248),AND(F1248&lt;&gt;"",F1248&lt;B1248)),"Evento anterior à entrada",IF(AND(F1248&lt;&gt;"",E1248=""),"Conversa sem agendamento",IF(OR(E1248&gt;TODAY(),F1248&gt;TODAY()),"Verificar evento futuro","OK"))))))</f>
        <v/>
      </c>
    </row>
    <row r="1249" spans="9:12">
      <c r="I1249" s="5">
        <f>IF(OR(A1249="",B1249=""),"",B1249-WEEKDAY(B1249,2)+1)</f>
        <v/>
      </c>
      <c r="J1249" s="5">
        <f>IF(I1249="","",I1249+6)</f>
        <v/>
      </c>
      <c r="K1249" s="6">
        <f>IF(OR(A1249="",B1249=""),"",DATE(YEAR(B1249),MONTH(B1249),1))</f>
        <v/>
      </c>
      <c r="L1249" s="7">
        <f>IF(COUNTA(A1249,B1249)=0,"",IF(OR(A1249="",B1249=""),"Preencher CPF e entrada",IF(COUNTIFS($A$12:$A$5011,A1249,$B$12:$B$5011,B1249)&gt;1,"CPF + dia duplicado",IF(OR(AND(E1249&lt;&gt;"",E1249&lt;B1249),AND(F1249&lt;&gt;"",F1249&lt;B1249)),"Evento anterior à entrada",IF(AND(F1249&lt;&gt;"",E1249=""),"Conversa sem agendamento",IF(OR(E1249&gt;TODAY(),F1249&gt;TODAY()),"Verificar evento futuro","OK"))))))</f>
        <v/>
      </c>
    </row>
    <row r="1250" spans="9:12">
      <c r="I1250" s="5">
        <f>IF(OR(A1250="",B1250=""),"",B1250-WEEKDAY(B1250,2)+1)</f>
        <v/>
      </c>
      <c r="J1250" s="5">
        <f>IF(I1250="","",I1250+6)</f>
        <v/>
      </c>
      <c r="K1250" s="6">
        <f>IF(OR(A1250="",B1250=""),"",DATE(YEAR(B1250),MONTH(B1250),1))</f>
        <v/>
      </c>
      <c r="L1250" s="7">
        <f>IF(COUNTA(A1250,B1250)=0,"",IF(OR(A1250="",B1250=""),"Preencher CPF e entrada",IF(COUNTIFS($A$12:$A$5011,A1250,$B$12:$B$5011,B1250)&gt;1,"CPF + dia duplicado",IF(OR(AND(E1250&lt;&gt;"",E1250&lt;B1250),AND(F1250&lt;&gt;"",F1250&lt;B1250)),"Evento anterior à entrada",IF(AND(F1250&lt;&gt;"",E1250=""),"Conversa sem agendamento",IF(OR(E1250&gt;TODAY(),F1250&gt;TODAY()),"Verificar evento futuro","OK"))))))</f>
        <v/>
      </c>
    </row>
    <row r="1251" spans="9:12">
      <c r="I1251" s="5">
        <f>IF(OR(A1251="",B1251=""),"",B1251-WEEKDAY(B1251,2)+1)</f>
        <v/>
      </c>
      <c r="J1251" s="5">
        <f>IF(I1251="","",I1251+6)</f>
        <v/>
      </c>
      <c r="K1251" s="6">
        <f>IF(OR(A1251="",B1251=""),"",DATE(YEAR(B1251),MONTH(B1251),1))</f>
        <v/>
      </c>
      <c r="L1251" s="7">
        <f>IF(COUNTA(A1251,B1251)=0,"",IF(OR(A1251="",B1251=""),"Preencher CPF e entrada",IF(COUNTIFS($A$12:$A$5011,A1251,$B$12:$B$5011,B1251)&gt;1,"CPF + dia duplicado",IF(OR(AND(E1251&lt;&gt;"",E1251&lt;B1251),AND(F1251&lt;&gt;"",F1251&lt;B1251)),"Evento anterior à entrada",IF(AND(F1251&lt;&gt;"",E1251=""),"Conversa sem agendamento",IF(OR(E1251&gt;TODAY(),F1251&gt;TODAY()),"Verificar evento futuro","OK"))))))</f>
        <v/>
      </c>
    </row>
    <row r="1252" spans="9:12">
      <c r="I1252" s="5">
        <f>IF(OR(A1252="",B1252=""),"",B1252-WEEKDAY(B1252,2)+1)</f>
        <v/>
      </c>
      <c r="J1252" s="5">
        <f>IF(I1252="","",I1252+6)</f>
        <v/>
      </c>
      <c r="K1252" s="6">
        <f>IF(OR(A1252="",B1252=""),"",DATE(YEAR(B1252),MONTH(B1252),1))</f>
        <v/>
      </c>
      <c r="L1252" s="7">
        <f>IF(COUNTA(A1252,B1252)=0,"",IF(OR(A1252="",B1252=""),"Preencher CPF e entrada",IF(COUNTIFS($A$12:$A$5011,A1252,$B$12:$B$5011,B1252)&gt;1,"CPF + dia duplicado",IF(OR(AND(E1252&lt;&gt;"",E1252&lt;B1252),AND(F1252&lt;&gt;"",F1252&lt;B1252)),"Evento anterior à entrada",IF(AND(F1252&lt;&gt;"",E1252=""),"Conversa sem agendamento",IF(OR(E1252&gt;TODAY(),F1252&gt;TODAY()),"Verificar evento futuro","OK"))))))</f>
        <v/>
      </c>
    </row>
    <row r="1253" spans="9:12">
      <c r="I1253" s="5">
        <f>IF(OR(A1253="",B1253=""),"",B1253-WEEKDAY(B1253,2)+1)</f>
        <v/>
      </c>
      <c r="J1253" s="5">
        <f>IF(I1253="","",I1253+6)</f>
        <v/>
      </c>
      <c r="K1253" s="6">
        <f>IF(OR(A1253="",B1253=""),"",DATE(YEAR(B1253),MONTH(B1253),1))</f>
        <v/>
      </c>
      <c r="L1253" s="7">
        <f>IF(COUNTA(A1253,B1253)=0,"",IF(OR(A1253="",B1253=""),"Preencher CPF e entrada",IF(COUNTIFS($A$12:$A$5011,A1253,$B$12:$B$5011,B1253)&gt;1,"CPF + dia duplicado",IF(OR(AND(E1253&lt;&gt;"",E1253&lt;B1253),AND(F1253&lt;&gt;"",F1253&lt;B1253)),"Evento anterior à entrada",IF(AND(F1253&lt;&gt;"",E1253=""),"Conversa sem agendamento",IF(OR(E1253&gt;TODAY(),F1253&gt;TODAY()),"Verificar evento futuro","OK"))))))</f>
        <v/>
      </c>
    </row>
    <row r="1254" spans="9:12">
      <c r="I1254" s="5">
        <f>IF(OR(A1254="",B1254=""),"",B1254-WEEKDAY(B1254,2)+1)</f>
        <v/>
      </c>
      <c r="J1254" s="5">
        <f>IF(I1254="","",I1254+6)</f>
        <v/>
      </c>
      <c r="K1254" s="6">
        <f>IF(OR(A1254="",B1254=""),"",DATE(YEAR(B1254),MONTH(B1254),1))</f>
        <v/>
      </c>
      <c r="L1254" s="7">
        <f>IF(COUNTA(A1254,B1254)=0,"",IF(OR(A1254="",B1254=""),"Preencher CPF e entrada",IF(COUNTIFS($A$12:$A$5011,A1254,$B$12:$B$5011,B1254)&gt;1,"CPF + dia duplicado",IF(OR(AND(E1254&lt;&gt;"",E1254&lt;B1254),AND(F1254&lt;&gt;"",F1254&lt;B1254)),"Evento anterior à entrada",IF(AND(F1254&lt;&gt;"",E1254=""),"Conversa sem agendamento",IF(OR(E1254&gt;TODAY(),F1254&gt;TODAY()),"Verificar evento futuro","OK"))))))</f>
        <v/>
      </c>
    </row>
    <row r="1255" spans="9:12">
      <c r="I1255" s="5">
        <f>IF(OR(A1255="",B1255=""),"",B1255-WEEKDAY(B1255,2)+1)</f>
        <v/>
      </c>
      <c r="J1255" s="5">
        <f>IF(I1255="","",I1255+6)</f>
        <v/>
      </c>
      <c r="K1255" s="6">
        <f>IF(OR(A1255="",B1255=""),"",DATE(YEAR(B1255),MONTH(B1255),1))</f>
        <v/>
      </c>
      <c r="L1255" s="7">
        <f>IF(COUNTA(A1255,B1255)=0,"",IF(OR(A1255="",B1255=""),"Preencher CPF e entrada",IF(COUNTIFS($A$12:$A$5011,A1255,$B$12:$B$5011,B1255)&gt;1,"CPF + dia duplicado",IF(OR(AND(E1255&lt;&gt;"",E1255&lt;B1255),AND(F1255&lt;&gt;"",F1255&lt;B1255)),"Evento anterior à entrada",IF(AND(F1255&lt;&gt;"",E1255=""),"Conversa sem agendamento",IF(OR(E1255&gt;TODAY(),F1255&gt;TODAY()),"Verificar evento futuro","OK"))))))</f>
        <v/>
      </c>
    </row>
    <row r="1256" spans="9:12">
      <c r="I1256" s="5">
        <f>IF(OR(A1256="",B1256=""),"",B1256-WEEKDAY(B1256,2)+1)</f>
        <v/>
      </c>
      <c r="J1256" s="5">
        <f>IF(I1256="","",I1256+6)</f>
        <v/>
      </c>
      <c r="K1256" s="6">
        <f>IF(OR(A1256="",B1256=""),"",DATE(YEAR(B1256),MONTH(B1256),1))</f>
        <v/>
      </c>
      <c r="L1256" s="7">
        <f>IF(COUNTA(A1256,B1256)=0,"",IF(OR(A1256="",B1256=""),"Preencher CPF e entrada",IF(COUNTIFS($A$12:$A$5011,A1256,$B$12:$B$5011,B1256)&gt;1,"CPF + dia duplicado",IF(OR(AND(E1256&lt;&gt;"",E1256&lt;B1256),AND(F1256&lt;&gt;"",F1256&lt;B1256)),"Evento anterior à entrada",IF(AND(F1256&lt;&gt;"",E1256=""),"Conversa sem agendamento",IF(OR(E1256&gt;TODAY(),F1256&gt;TODAY()),"Verificar evento futuro","OK"))))))</f>
        <v/>
      </c>
    </row>
    <row r="1257" spans="9:12">
      <c r="I1257" s="5">
        <f>IF(OR(A1257="",B1257=""),"",B1257-WEEKDAY(B1257,2)+1)</f>
        <v/>
      </c>
      <c r="J1257" s="5">
        <f>IF(I1257="","",I1257+6)</f>
        <v/>
      </c>
      <c r="K1257" s="6">
        <f>IF(OR(A1257="",B1257=""),"",DATE(YEAR(B1257),MONTH(B1257),1))</f>
        <v/>
      </c>
      <c r="L1257" s="7">
        <f>IF(COUNTA(A1257,B1257)=0,"",IF(OR(A1257="",B1257=""),"Preencher CPF e entrada",IF(COUNTIFS($A$12:$A$5011,A1257,$B$12:$B$5011,B1257)&gt;1,"CPF + dia duplicado",IF(OR(AND(E1257&lt;&gt;"",E1257&lt;B1257),AND(F1257&lt;&gt;"",F1257&lt;B1257)),"Evento anterior à entrada",IF(AND(F1257&lt;&gt;"",E1257=""),"Conversa sem agendamento",IF(OR(E1257&gt;TODAY(),F1257&gt;TODAY()),"Verificar evento futuro","OK"))))))</f>
        <v/>
      </c>
    </row>
    <row r="1258" spans="9:12">
      <c r="I1258" s="5">
        <f>IF(OR(A1258="",B1258=""),"",B1258-WEEKDAY(B1258,2)+1)</f>
        <v/>
      </c>
      <c r="J1258" s="5">
        <f>IF(I1258="","",I1258+6)</f>
        <v/>
      </c>
      <c r="K1258" s="6">
        <f>IF(OR(A1258="",B1258=""),"",DATE(YEAR(B1258),MONTH(B1258),1))</f>
        <v/>
      </c>
      <c r="L1258" s="7">
        <f>IF(COUNTA(A1258,B1258)=0,"",IF(OR(A1258="",B1258=""),"Preencher CPF e entrada",IF(COUNTIFS($A$12:$A$5011,A1258,$B$12:$B$5011,B1258)&gt;1,"CPF + dia duplicado",IF(OR(AND(E1258&lt;&gt;"",E1258&lt;B1258),AND(F1258&lt;&gt;"",F1258&lt;B1258)),"Evento anterior à entrada",IF(AND(F1258&lt;&gt;"",E1258=""),"Conversa sem agendamento",IF(OR(E1258&gt;TODAY(),F1258&gt;TODAY()),"Verificar evento futuro","OK"))))))</f>
        <v/>
      </c>
    </row>
    <row r="1259" spans="9:12">
      <c r="I1259" s="5">
        <f>IF(OR(A1259="",B1259=""),"",B1259-WEEKDAY(B1259,2)+1)</f>
        <v/>
      </c>
      <c r="J1259" s="5">
        <f>IF(I1259="","",I1259+6)</f>
        <v/>
      </c>
      <c r="K1259" s="6">
        <f>IF(OR(A1259="",B1259=""),"",DATE(YEAR(B1259),MONTH(B1259),1))</f>
        <v/>
      </c>
      <c r="L1259" s="7">
        <f>IF(COUNTA(A1259,B1259)=0,"",IF(OR(A1259="",B1259=""),"Preencher CPF e entrada",IF(COUNTIFS($A$12:$A$5011,A1259,$B$12:$B$5011,B1259)&gt;1,"CPF + dia duplicado",IF(OR(AND(E1259&lt;&gt;"",E1259&lt;B1259),AND(F1259&lt;&gt;"",F1259&lt;B1259)),"Evento anterior à entrada",IF(AND(F1259&lt;&gt;"",E1259=""),"Conversa sem agendamento",IF(OR(E1259&gt;TODAY(),F1259&gt;TODAY()),"Verificar evento futuro","OK"))))))</f>
        <v/>
      </c>
    </row>
    <row r="1260" spans="9:12">
      <c r="I1260" s="5">
        <f>IF(OR(A1260="",B1260=""),"",B1260-WEEKDAY(B1260,2)+1)</f>
        <v/>
      </c>
      <c r="J1260" s="5">
        <f>IF(I1260="","",I1260+6)</f>
        <v/>
      </c>
      <c r="K1260" s="6">
        <f>IF(OR(A1260="",B1260=""),"",DATE(YEAR(B1260),MONTH(B1260),1))</f>
        <v/>
      </c>
      <c r="L1260" s="7">
        <f>IF(COUNTA(A1260,B1260)=0,"",IF(OR(A1260="",B1260=""),"Preencher CPF e entrada",IF(COUNTIFS($A$12:$A$5011,A1260,$B$12:$B$5011,B1260)&gt;1,"CPF + dia duplicado",IF(OR(AND(E1260&lt;&gt;"",E1260&lt;B1260),AND(F1260&lt;&gt;"",F1260&lt;B1260)),"Evento anterior à entrada",IF(AND(F1260&lt;&gt;"",E1260=""),"Conversa sem agendamento",IF(OR(E1260&gt;TODAY(),F1260&gt;TODAY()),"Verificar evento futuro","OK"))))))</f>
        <v/>
      </c>
    </row>
    <row r="1261" spans="9:12">
      <c r="I1261" s="5">
        <f>IF(OR(A1261="",B1261=""),"",B1261-WEEKDAY(B1261,2)+1)</f>
        <v/>
      </c>
      <c r="J1261" s="5">
        <f>IF(I1261="","",I1261+6)</f>
        <v/>
      </c>
      <c r="K1261" s="6">
        <f>IF(OR(A1261="",B1261=""),"",DATE(YEAR(B1261),MONTH(B1261),1))</f>
        <v/>
      </c>
      <c r="L1261" s="7">
        <f>IF(COUNTA(A1261,B1261)=0,"",IF(OR(A1261="",B1261=""),"Preencher CPF e entrada",IF(COUNTIFS($A$12:$A$5011,A1261,$B$12:$B$5011,B1261)&gt;1,"CPF + dia duplicado",IF(OR(AND(E1261&lt;&gt;"",E1261&lt;B1261),AND(F1261&lt;&gt;"",F1261&lt;B1261)),"Evento anterior à entrada",IF(AND(F1261&lt;&gt;"",E1261=""),"Conversa sem agendamento",IF(OR(E1261&gt;TODAY(),F1261&gt;TODAY()),"Verificar evento futuro","OK"))))))</f>
        <v/>
      </c>
    </row>
    <row r="1262" spans="9:12">
      <c r="I1262" s="5">
        <f>IF(OR(A1262="",B1262=""),"",B1262-WEEKDAY(B1262,2)+1)</f>
        <v/>
      </c>
      <c r="J1262" s="5">
        <f>IF(I1262="","",I1262+6)</f>
        <v/>
      </c>
      <c r="K1262" s="6">
        <f>IF(OR(A1262="",B1262=""),"",DATE(YEAR(B1262),MONTH(B1262),1))</f>
        <v/>
      </c>
      <c r="L1262" s="7">
        <f>IF(COUNTA(A1262,B1262)=0,"",IF(OR(A1262="",B1262=""),"Preencher CPF e entrada",IF(COUNTIFS($A$12:$A$5011,A1262,$B$12:$B$5011,B1262)&gt;1,"CPF + dia duplicado",IF(OR(AND(E1262&lt;&gt;"",E1262&lt;B1262),AND(F1262&lt;&gt;"",F1262&lt;B1262)),"Evento anterior à entrada",IF(AND(F1262&lt;&gt;"",E1262=""),"Conversa sem agendamento",IF(OR(E1262&gt;TODAY(),F1262&gt;TODAY()),"Verificar evento futuro","OK"))))))</f>
        <v/>
      </c>
    </row>
    <row r="1263" spans="9:12">
      <c r="I1263" s="5">
        <f>IF(OR(A1263="",B1263=""),"",B1263-WEEKDAY(B1263,2)+1)</f>
        <v/>
      </c>
      <c r="J1263" s="5">
        <f>IF(I1263="","",I1263+6)</f>
        <v/>
      </c>
      <c r="K1263" s="6">
        <f>IF(OR(A1263="",B1263=""),"",DATE(YEAR(B1263),MONTH(B1263),1))</f>
        <v/>
      </c>
      <c r="L1263" s="7">
        <f>IF(COUNTA(A1263,B1263)=0,"",IF(OR(A1263="",B1263=""),"Preencher CPF e entrada",IF(COUNTIFS($A$12:$A$5011,A1263,$B$12:$B$5011,B1263)&gt;1,"CPF + dia duplicado",IF(OR(AND(E1263&lt;&gt;"",E1263&lt;B1263),AND(F1263&lt;&gt;"",F1263&lt;B1263)),"Evento anterior à entrada",IF(AND(F1263&lt;&gt;"",E1263=""),"Conversa sem agendamento",IF(OR(E1263&gt;TODAY(),F1263&gt;TODAY()),"Verificar evento futuro","OK"))))))</f>
        <v/>
      </c>
    </row>
    <row r="1264" spans="9:12">
      <c r="I1264" s="5">
        <f>IF(OR(A1264="",B1264=""),"",B1264-WEEKDAY(B1264,2)+1)</f>
        <v/>
      </c>
      <c r="J1264" s="5">
        <f>IF(I1264="","",I1264+6)</f>
        <v/>
      </c>
      <c r="K1264" s="6">
        <f>IF(OR(A1264="",B1264=""),"",DATE(YEAR(B1264),MONTH(B1264),1))</f>
        <v/>
      </c>
      <c r="L1264" s="7">
        <f>IF(COUNTA(A1264,B1264)=0,"",IF(OR(A1264="",B1264=""),"Preencher CPF e entrada",IF(COUNTIFS($A$12:$A$5011,A1264,$B$12:$B$5011,B1264)&gt;1,"CPF + dia duplicado",IF(OR(AND(E1264&lt;&gt;"",E1264&lt;B1264),AND(F1264&lt;&gt;"",F1264&lt;B1264)),"Evento anterior à entrada",IF(AND(F1264&lt;&gt;"",E1264=""),"Conversa sem agendamento",IF(OR(E1264&gt;TODAY(),F1264&gt;TODAY()),"Verificar evento futuro","OK"))))))</f>
        <v/>
      </c>
    </row>
    <row r="1265" spans="9:12">
      <c r="I1265" s="5">
        <f>IF(OR(A1265="",B1265=""),"",B1265-WEEKDAY(B1265,2)+1)</f>
        <v/>
      </c>
      <c r="J1265" s="5">
        <f>IF(I1265="","",I1265+6)</f>
        <v/>
      </c>
      <c r="K1265" s="6">
        <f>IF(OR(A1265="",B1265=""),"",DATE(YEAR(B1265),MONTH(B1265),1))</f>
        <v/>
      </c>
      <c r="L1265" s="7">
        <f>IF(COUNTA(A1265,B1265)=0,"",IF(OR(A1265="",B1265=""),"Preencher CPF e entrada",IF(COUNTIFS($A$12:$A$5011,A1265,$B$12:$B$5011,B1265)&gt;1,"CPF + dia duplicado",IF(OR(AND(E1265&lt;&gt;"",E1265&lt;B1265),AND(F1265&lt;&gt;"",F1265&lt;B1265)),"Evento anterior à entrada",IF(AND(F1265&lt;&gt;"",E1265=""),"Conversa sem agendamento",IF(OR(E1265&gt;TODAY(),F1265&gt;TODAY()),"Verificar evento futuro","OK"))))))</f>
        <v/>
      </c>
    </row>
    <row r="1266" spans="9:12">
      <c r="I1266" s="5">
        <f>IF(OR(A1266="",B1266=""),"",B1266-WEEKDAY(B1266,2)+1)</f>
        <v/>
      </c>
      <c r="J1266" s="5">
        <f>IF(I1266="","",I1266+6)</f>
        <v/>
      </c>
      <c r="K1266" s="6">
        <f>IF(OR(A1266="",B1266=""),"",DATE(YEAR(B1266),MONTH(B1266),1))</f>
        <v/>
      </c>
      <c r="L1266" s="7">
        <f>IF(COUNTA(A1266,B1266)=0,"",IF(OR(A1266="",B1266=""),"Preencher CPF e entrada",IF(COUNTIFS($A$12:$A$5011,A1266,$B$12:$B$5011,B1266)&gt;1,"CPF + dia duplicado",IF(OR(AND(E1266&lt;&gt;"",E1266&lt;B1266),AND(F1266&lt;&gt;"",F1266&lt;B1266)),"Evento anterior à entrada",IF(AND(F1266&lt;&gt;"",E1266=""),"Conversa sem agendamento",IF(OR(E1266&gt;TODAY(),F1266&gt;TODAY()),"Verificar evento futuro","OK"))))))</f>
        <v/>
      </c>
    </row>
    <row r="1267" spans="9:12">
      <c r="I1267" s="5">
        <f>IF(OR(A1267="",B1267=""),"",B1267-WEEKDAY(B1267,2)+1)</f>
        <v/>
      </c>
      <c r="J1267" s="5">
        <f>IF(I1267="","",I1267+6)</f>
        <v/>
      </c>
      <c r="K1267" s="6">
        <f>IF(OR(A1267="",B1267=""),"",DATE(YEAR(B1267),MONTH(B1267),1))</f>
        <v/>
      </c>
      <c r="L1267" s="7">
        <f>IF(COUNTA(A1267,B1267)=0,"",IF(OR(A1267="",B1267=""),"Preencher CPF e entrada",IF(COUNTIFS($A$12:$A$5011,A1267,$B$12:$B$5011,B1267)&gt;1,"CPF + dia duplicado",IF(OR(AND(E1267&lt;&gt;"",E1267&lt;B1267),AND(F1267&lt;&gt;"",F1267&lt;B1267)),"Evento anterior à entrada",IF(AND(F1267&lt;&gt;"",E1267=""),"Conversa sem agendamento",IF(OR(E1267&gt;TODAY(),F1267&gt;TODAY()),"Verificar evento futuro","OK"))))))</f>
        <v/>
      </c>
    </row>
    <row r="1268" spans="9:12">
      <c r="I1268" s="5">
        <f>IF(OR(A1268="",B1268=""),"",B1268-WEEKDAY(B1268,2)+1)</f>
        <v/>
      </c>
      <c r="J1268" s="5">
        <f>IF(I1268="","",I1268+6)</f>
        <v/>
      </c>
      <c r="K1268" s="6">
        <f>IF(OR(A1268="",B1268=""),"",DATE(YEAR(B1268),MONTH(B1268),1))</f>
        <v/>
      </c>
      <c r="L1268" s="7">
        <f>IF(COUNTA(A1268,B1268)=0,"",IF(OR(A1268="",B1268=""),"Preencher CPF e entrada",IF(COUNTIFS($A$12:$A$5011,A1268,$B$12:$B$5011,B1268)&gt;1,"CPF + dia duplicado",IF(OR(AND(E1268&lt;&gt;"",E1268&lt;B1268),AND(F1268&lt;&gt;"",F1268&lt;B1268)),"Evento anterior à entrada",IF(AND(F1268&lt;&gt;"",E1268=""),"Conversa sem agendamento",IF(OR(E1268&gt;TODAY(),F1268&gt;TODAY()),"Verificar evento futuro","OK"))))))</f>
        <v/>
      </c>
    </row>
    <row r="1269" spans="9:12">
      <c r="I1269" s="5">
        <f>IF(OR(A1269="",B1269=""),"",B1269-WEEKDAY(B1269,2)+1)</f>
        <v/>
      </c>
      <c r="J1269" s="5">
        <f>IF(I1269="","",I1269+6)</f>
        <v/>
      </c>
      <c r="K1269" s="6">
        <f>IF(OR(A1269="",B1269=""),"",DATE(YEAR(B1269),MONTH(B1269),1))</f>
        <v/>
      </c>
      <c r="L1269" s="7">
        <f>IF(COUNTA(A1269,B1269)=0,"",IF(OR(A1269="",B1269=""),"Preencher CPF e entrada",IF(COUNTIFS($A$12:$A$5011,A1269,$B$12:$B$5011,B1269)&gt;1,"CPF + dia duplicado",IF(OR(AND(E1269&lt;&gt;"",E1269&lt;B1269),AND(F1269&lt;&gt;"",F1269&lt;B1269)),"Evento anterior à entrada",IF(AND(F1269&lt;&gt;"",E1269=""),"Conversa sem agendamento",IF(OR(E1269&gt;TODAY(),F1269&gt;TODAY()),"Verificar evento futuro","OK"))))))</f>
        <v/>
      </c>
    </row>
    <row r="1270" spans="9:12">
      <c r="I1270" s="5">
        <f>IF(OR(A1270="",B1270=""),"",B1270-WEEKDAY(B1270,2)+1)</f>
        <v/>
      </c>
      <c r="J1270" s="5">
        <f>IF(I1270="","",I1270+6)</f>
        <v/>
      </c>
      <c r="K1270" s="6">
        <f>IF(OR(A1270="",B1270=""),"",DATE(YEAR(B1270),MONTH(B1270),1))</f>
        <v/>
      </c>
      <c r="L1270" s="7">
        <f>IF(COUNTA(A1270,B1270)=0,"",IF(OR(A1270="",B1270=""),"Preencher CPF e entrada",IF(COUNTIFS($A$12:$A$5011,A1270,$B$12:$B$5011,B1270)&gt;1,"CPF + dia duplicado",IF(OR(AND(E1270&lt;&gt;"",E1270&lt;B1270),AND(F1270&lt;&gt;"",F1270&lt;B1270)),"Evento anterior à entrada",IF(AND(F1270&lt;&gt;"",E1270=""),"Conversa sem agendamento",IF(OR(E1270&gt;TODAY(),F1270&gt;TODAY()),"Verificar evento futuro","OK"))))))</f>
        <v/>
      </c>
    </row>
    <row r="1271" spans="9:12">
      <c r="I1271" s="5">
        <f>IF(OR(A1271="",B1271=""),"",B1271-WEEKDAY(B1271,2)+1)</f>
        <v/>
      </c>
      <c r="J1271" s="5">
        <f>IF(I1271="","",I1271+6)</f>
        <v/>
      </c>
      <c r="K1271" s="6">
        <f>IF(OR(A1271="",B1271=""),"",DATE(YEAR(B1271),MONTH(B1271),1))</f>
        <v/>
      </c>
      <c r="L1271" s="7">
        <f>IF(COUNTA(A1271,B1271)=0,"",IF(OR(A1271="",B1271=""),"Preencher CPF e entrada",IF(COUNTIFS($A$12:$A$5011,A1271,$B$12:$B$5011,B1271)&gt;1,"CPF + dia duplicado",IF(OR(AND(E1271&lt;&gt;"",E1271&lt;B1271),AND(F1271&lt;&gt;"",F1271&lt;B1271)),"Evento anterior à entrada",IF(AND(F1271&lt;&gt;"",E1271=""),"Conversa sem agendamento",IF(OR(E1271&gt;TODAY(),F1271&gt;TODAY()),"Verificar evento futuro","OK"))))))</f>
        <v/>
      </c>
    </row>
    <row r="1272" spans="9:12">
      <c r="I1272" s="5">
        <f>IF(OR(A1272="",B1272=""),"",B1272-WEEKDAY(B1272,2)+1)</f>
        <v/>
      </c>
      <c r="J1272" s="5">
        <f>IF(I1272="","",I1272+6)</f>
        <v/>
      </c>
      <c r="K1272" s="6">
        <f>IF(OR(A1272="",B1272=""),"",DATE(YEAR(B1272),MONTH(B1272),1))</f>
        <v/>
      </c>
      <c r="L1272" s="7">
        <f>IF(COUNTA(A1272,B1272)=0,"",IF(OR(A1272="",B1272=""),"Preencher CPF e entrada",IF(COUNTIFS($A$12:$A$5011,A1272,$B$12:$B$5011,B1272)&gt;1,"CPF + dia duplicado",IF(OR(AND(E1272&lt;&gt;"",E1272&lt;B1272),AND(F1272&lt;&gt;"",F1272&lt;B1272)),"Evento anterior à entrada",IF(AND(F1272&lt;&gt;"",E1272=""),"Conversa sem agendamento",IF(OR(E1272&gt;TODAY(),F1272&gt;TODAY()),"Verificar evento futuro","OK"))))))</f>
        <v/>
      </c>
    </row>
    <row r="1273" spans="9:12">
      <c r="I1273" s="5">
        <f>IF(OR(A1273="",B1273=""),"",B1273-WEEKDAY(B1273,2)+1)</f>
        <v/>
      </c>
      <c r="J1273" s="5">
        <f>IF(I1273="","",I1273+6)</f>
        <v/>
      </c>
      <c r="K1273" s="6">
        <f>IF(OR(A1273="",B1273=""),"",DATE(YEAR(B1273),MONTH(B1273),1))</f>
        <v/>
      </c>
      <c r="L1273" s="7">
        <f>IF(COUNTA(A1273,B1273)=0,"",IF(OR(A1273="",B1273=""),"Preencher CPF e entrada",IF(COUNTIFS($A$12:$A$5011,A1273,$B$12:$B$5011,B1273)&gt;1,"CPF + dia duplicado",IF(OR(AND(E1273&lt;&gt;"",E1273&lt;B1273),AND(F1273&lt;&gt;"",F1273&lt;B1273)),"Evento anterior à entrada",IF(AND(F1273&lt;&gt;"",E1273=""),"Conversa sem agendamento",IF(OR(E1273&gt;TODAY(),F1273&gt;TODAY()),"Verificar evento futuro","OK"))))))</f>
        <v/>
      </c>
    </row>
    <row r="1274" spans="9:12">
      <c r="I1274" s="5">
        <f>IF(OR(A1274="",B1274=""),"",B1274-WEEKDAY(B1274,2)+1)</f>
        <v/>
      </c>
      <c r="J1274" s="5">
        <f>IF(I1274="","",I1274+6)</f>
        <v/>
      </c>
      <c r="K1274" s="6">
        <f>IF(OR(A1274="",B1274=""),"",DATE(YEAR(B1274),MONTH(B1274),1))</f>
        <v/>
      </c>
      <c r="L1274" s="7">
        <f>IF(COUNTA(A1274,B1274)=0,"",IF(OR(A1274="",B1274=""),"Preencher CPF e entrada",IF(COUNTIFS($A$12:$A$5011,A1274,$B$12:$B$5011,B1274)&gt;1,"CPF + dia duplicado",IF(OR(AND(E1274&lt;&gt;"",E1274&lt;B1274),AND(F1274&lt;&gt;"",F1274&lt;B1274)),"Evento anterior à entrada",IF(AND(F1274&lt;&gt;"",E1274=""),"Conversa sem agendamento",IF(OR(E1274&gt;TODAY(),F1274&gt;TODAY()),"Verificar evento futuro","OK"))))))</f>
        <v/>
      </c>
    </row>
    <row r="1275" spans="9:12">
      <c r="I1275" s="5">
        <f>IF(OR(A1275="",B1275=""),"",B1275-WEEKDAY(B1275,2)+1)</f>
        <v/>
      </c>
      <c r="J1275" s="5">
        <f>IF(I1275="","",I1275+6)</f>
        <v/>
      </c>
      <c r="K1275" s="6">
        <f>IF(OR(A1275="",B1275=""),"",DATE(YEAR(B1275),MONTH(B1275),1))</f>
        <v/>
      </c>
      <c r="L1275" s="7">
        <f>IF(COUNTA(A1275,B1275)=0,"",IF(OR(A1275="",B1275=""),"Preencher CPF e entrada",IF(COUNTIFS($A$12:$A$5011,A1275,$B$12:$B$5011,B1275)&gt;1,"CPF + dia duplicado",IF(OR(AND(E1275&lt;&gt;"",E1275&lt;B1275),AND(F1275&lt;&gt;"",F1275&lt;B1275)),"Evento anterior à entrada",IF(AND(F1275&lt;&gt;"",E1275=""),"Conversa sem agendamento",IF(OR(E1275&gt;TODAY(),F1275&gt;TODAY()),"Verificar evento futuro","OK"))))))</f>
        <v/>
      </c>
    </row>
    <row r="1276" spans="9:12">
      <c r="I1276" s="5">
        <f>IF(OR(A1276="",B1276=""),"",B1276-WEEKDAY(B1276,2)+1)</f>
        <v/>
      </c>
      <c r="J1276" s="5">
        <f>IF(I1276="","",I1276+6)</f>
        <v/>
      </c>
      <c r="K1276" s="6">
        <f>IF(OR(A1276="",B1276=""),"",DATE(YEAR(B1276),MONTH(B1276),1))</f>
        <v/>
      </c>
      <c r="L1276" s="7">
        <f>IF(COUNTA(A1276,B1276)=0,"",IF(OR(A1276="",B1276=""),"Preencher CPF e entrada",IF(COUNTIFS($A$12:$A$5011,A1276,$B$12:$B$5011,B1276)&gt;1,"CPF + dia duplicado",IF(OR(AND(E1276&lt;&gt;"",E1276&lt;B1276),AND(F1276&lt;&gt;"",F1276&lt;B1276)),"Evento anterior à entrada",IF(AND(F1276&lt;&gt;"",E1276=""),"Conversa sem agendamento",IF(OR(E1276&gt;TODAY(),F1276&gt;TODAY()),"Verificar evento futuro","OK"))))))</f>
        <v/>
      </c>
    </row>
    <row r="1277" spans="9:12">
      <c r="I1277" s="5">
        <f>IF(OR(A1277="",B1277=""),"",B1277-WEEKDAY(B1277,2)+1)</f>
        <v/>
      </c>
      <c r="J1277" s="5">
        <f>IF(I1277="","",I1277+6)</f>
        <v/>
      </c>
      <c r="K1277" s="6">
        <f>IF(OR(A1277="",B1277=""),"",DATE(YEAR(B1277),MONTH(B1277),1))</f>
        <v/>
      </c>
      <c r="L1277" s="7">
        <f>IF(COUNTA(A1277,B1277)=0,"",IF(OR(A1277="",B1277=""),"Preencher CPF e entrada",IF(COUNTIFS($A$12:$A$5011,A1277,$B$12:$B$5011,B1277)&gt;1,"CPF + dia duplicado",IF(OR(AND(E1277&lt;&gt;"",E1277&lt;B1277),AND(F1277&lt;&gt;"",F1277&lt;B1277)),"Evento anterior à entrada",IF(AND(F1277&lt;&gt;"",E1277=""),"Conversa sem agendamento",IF(OR(E1277&gt;TODAY(),F1277&gt;TODAY()),"Verificar evento futuro","OK"))))))</f>
        <v/>
      </c>
    </row>
    <row r="1278" spans="9:12">
      <c r="I1278" s="5">
        <f>IF(OR(A1278="",B1278=""),"",B1278-WEEKDAY(B1278,2)+1)</f>
        <v/>
      </c>
      <c r="J1278" s="5">
        <f>IF(I1278="","",I1278+6)</f>
        <v/>
      </c>
      <c r="K1278" s="6">
        <f>IF(OR(A1278="",B1278=""),"",DATE(YEAR(B1278),MONTH(B1278),1))</f>
        <v/>
      </c>
      <c r="L1278" s="7">
        <f>IF(COUNTA(A1278,B1278)=0,"",IF(OR(A1278="",B1278=""),"Preencher CPF e entrada",IF(COUNTIFS($A$12:$A$5011,A1278,$B$12:$B$5011,B1278)&gt;1,"CPF + dia duplicado",IF(OR(AND(E1278&lt;&gt;"",E1278&lt;B1278),AND(F1278&lt;&gt;"",F1278&lt;B1278)),"Evento anterior à entrada",IF(AND(F1278&lt;&gt;"",E1278=""),"Conversa sem agendamento",IF(OR(E1278&gt;TODAY(),F1278&gt;TODAY()),"Verificar evento futuro","OK"))))))</f>
        <v/>
      </c>
    </row>
    <row r="1279" spans="9:12">
      <c r="I1279" s="5">
        <f>IF(OR(A1279="",B1279=""),"",B1279-WEEKDAY(B1279,2)+1)</f>
        <v/>
      </c>
      <c r="J1279" s="5">
        <f>IF(I1279="","",I1279+6)</f>
        <v/>
      </c>
      <c r="K1279" s="6">
        <f>IF(OR(A1279="",B1279=""),"",DATE(YEAR(B1279),MONTH(B1279),1))</f>
        <v/>
      </c>
      <c r="L1279" s="7">
        <f>IF(COUNTA(A1279,B1279)=0,"",IF(OR(A1279="",B1279=""),"Preencher CPF e entrada",IF(COUNTIFS($A$12:$A$5011,A1279,$B$12:$B$5011,B1279)&gt;1,"CPF + dia duplicado",IF(OR(AND(E1279&lt;&gt;"",E1279&lt;B1279),AND(F1279&lt;&gt;"",F1279&lt;B1279)),"Evento anterior à entrada",IF(AND(F1279&lt;&gt;"",E1279=""),"Conversa sem agendamento",IF(OR(E1279&gt;TODAY(),F1279&gt;TODAY()),"Verificar evento futuro","OK"))))))</f>
        <v/>
      </c>
    </row>
    <row r="1280" spans="9:12">
      <c r="I1280" s="5">
        <f>IF(OR(A1280="",B1280=""),"",B1280-WEEKDAY(B1280,2)+1)</f>
        <v/>
      </c>
      <c r="J1280" s="5">
        <f>IF(I1280="","",I1280+6)</f>
        <v/>
      </c>
      <c r="K1280" s="6">
        <f>IF(OR(A1280="",B1280=""),"",DATE(YEAR(B1280),MONTH(B1280),1))</f>
        <v/>
      </c>
      <c r="L1280" s="7">
        <f>IF(COUNTA(A1280,B1280)=0,"",IF(OR(A1280="",B1280=""),"Preencher CPF e entrada",IF(COUNTIFS($A$12:$A$5011,A1280,$B$12:$B$5011,B1280)&gt;1,"CPF + dia duplicado",IF(OR(AND(E1280&lt;&gt;"",E1280&lt;B1280),AND(F1280&lt;&gt;"",F1280&lt;B1280)),"Evento anterior à entrada",IF(AND(F1280&lt;&gt;"",E1280=""),"Conversa sem agendamento",IF(OR(E1280&gt;TODAY(),F1280&gt;TODAY()),"Verificar evento futuro","OK"))))))</f>
        <v/>
      </c>
    </row>
    <row r="1281" spans="9:12">
      <c r="I1281" s="5">
        <f>IF(OR(A1281="",B1281=""),"",B1281-WEEKDAY(B1281,2)+1)</f>
        <v/>
      </c>
      <c r="J1281" s="5">
        <f>IF(I1281="","",I1281+6)</f>
        <v/>
      </c>
      <c r="K1281" s="6">
        <f>IF(OR(A1281="",B1281=""),"",DATE(YEAR(B1281),MONTH(B1281),1))</f>
        <v/>
      </c>
      <c r="L1281" s="7">
        <f>IF(COUNTA(A1281,B1281)=0,"",IF(OR(A1281="",B1281=""),"Preencher CPF e entrada",IF(COUNTIFS($A$12:$A$5011,A1281,$B$12:$B$5011,B1281)&gt;1,"CPF + dia duplicado",IF(OR(AND(E1281&lt;&gt;"",E1281&lt;B1281),AND(F1281&lt;&gt;"",F1281&lt;B1281)),"Evento anterior à entrada",IF(AND(F1281&lt;&gt;"",E1281=""),"Conversa sem agendamento",IF(OR(E1281&gt;TODAY(),F1281&gt;TODAY()),"Verificar evento futuro","OK"))))))</f>
        <v/>
      </c>
    </row>
    <row r="1282" spans="9:12">
      <c r="I1282" s="5">
        <f>IF(OR(A1282="",B1282=""),"",B1282-WEEKDAY(B1282,2)+1)</f>
        <v/>
      </c>
      <c r="J1282" s="5">
        <f>IF(I1282="","",I1282+6)</f>
        <v/>
      </c>
      <c r="K1282" s="6">
        <f>IF(OR(A1282="",B1282=""),"",DATE(YEAR(B1282),MONTH(B1282),1))</f>
        <v/>
      </c>
      <c r="L1282" s="7">
        <f>IF(COUNTA(A1282,B1282)=0,"",IF(OR(A1282="",B1282=""),"Preencher CPF e entrada",IF(COUNTIFS($A$12:$A$5011,A1282,$B$12:$B$5011,B1282)&gt;1,"CPF + dia duplicado",IF(OR(AND(E1282&lt;&gt;"",E1282&lt;B1282),AND(F1282&lt;&gt;"",F1282&lt;B1282)),"Evento anterior à entrada",IF(AND(F1282&lt;&gt;"",E1282=""),"Conversa sem agendamento",IF(OR(E1282&gt;TODAY(),F1282&gt;TODAY()),"Verificar evento futuro","OK"))))))</f>
        <v/>
      </c>
    </row>
    <row r="1283" spans="9:12">
      <c r="I1283" s="5">
        <f>IF(OR(A1283="",B1283=""),"",B1283-WEEKDAY(B1283,2)+1)</f>
        <v/>
      </c>
      <c r="J1283" s="5">
        <f>IF(I1283="","",I1283+6)</f>
        <v/>
      </c>
      <c r="K1283" s="6">
        <f>IF(OR(A1283="",B1283=""),"",DATE(YEAR(B1283),MONTH(B1283),1))</f>
        <v/>
      </c>
      <c r="L1283" s="7">
        <f>IF(COUNTA(A1283,B1283)=0,"",IF(OR(A1283="",B1283=""),"Preencher CPF e entrada",IF(COUNTIFS($A$12:$A$5011,A1283,$B$12:$B$5011,B1283)&gt;1,"CPF + dia duplicado",IF(OR(AND(E1283&lt;&gt;"",E1283&lt;B1283),AND(F1283&lt;&gt;"",F1283&lt;B1283)),"Evento anterior à entrada",IF(AND(F1283&lt;&gt;"",E1283=""),"Conversa sem agendamento",IF(OR(E1283&gt;TODAY(),F1283&gt;TODAY()),"Verificar evento futuro","OK"))))))</f>
        <v/>
      </c>
    </row>
    <row r="1284" spans="9:12">
      <c r="I1284" s="5">
        <f>IF(OR(A1284="",B1284=""),"",B1284-WEEKDAY(B1284,2)+1)</f>
        <v/>
      </c>
      <c r="J1284" s="5">
        <f>IF(I1284="","",I1284+6)</f>
        <v/>
      </c>
      <c r="K1284" s="6">
        <f>IF(OR(A1284="",B1284=""),"",DATE(YEAR(B1284),MONTH(B1284),1))</f>
        <v/>
      </c>
      <c r="L1284" s="7">
        <f>IF(COUNTA(A1284,B1284)=0,"",IF(OR(A1284="",B1284=""),"Preencher CPF e entrada",IF(COUNTIFS($A$12:$A$5011,A1284,$B$12:$B$5011,B1284)&gt;1,"CPF + dia duplicado",IF(OR(AND(E1284&lt;&gt;"",E1284&lt;B1284),AND(F1284&lt;&gt;"",F1284&lt;B1284)),"Evento anterior à entrada",IF(AND(F1284&lt;&gt;"",E1284=""),"Conversa sem agendamento",IF(OR(E1284&gt;TODAY(),F1284&gt;TODAY()),"Verificar evento futuro","OK"))))))</f>
        <v/>
      </c>
    </row>
    <row r="1285" spans="9:12">
      <c r="I1285" s="5">
        <f>IF(OR(A1285="",B1285=""),"",B1285-WEEKDAY(B1285,2)+1)</f>
        <v/>
      </c>
      <c r="J1285" s="5">
        <f>IF(I1285="","",I1285+6)</f>
        <v/>
      </c>
      <c r="K1285" s="6">
        <f>IF(OR(A1285="",B1285=""),"",DATE(YEAR(B1285),MONTH(B1285),1))</f>
        <v/>
      </c>
      <c r="L1285" s="7">
        <f>IF(COUNTA(A1285,B1285)=0,"",IF(OR(A1285="",B1285=""),"Preencher CPF e entrada",IF(COUNTIFS($A$12:$A$5011,A1285,$B$12:$B$5011,B1285)&gt;1,"CPF + dia duplicado",IF(OR(AND(E1285&lt;&gt;"",E1285&lt;B1285),AND(F1285&lt;&gt;"",F1285&lt;B1285)),"Evento anterior à entrada",IF(AND(F1285&lt;&gt;"",E1285=""),"Conversa sem agendamento",IF(OR(E1285&gt;TODAY(),F1285&gt;TODAY()),"Verificar evento futuro","OK"))))))</f>
        <v/>
      </c>
    </row>
    <row r="1286" spans="9:12">
      <c r="I1286" s="5">
        <f>IF(OR(A1286="",B1286=""),"",B1286-WEEKDAY(B1286,2)+1)</f>
        <v/>
      </c>
      <c r="J1286" s="5">
        <f>IF(I1286="","",I1286+6)</f>
        <v/>
      </c>
      <c r="K1286" s="6">
        <f>IF(OR(A1286="",B1286=""),"",DATE(YEAR(B1286),MONTH(B1286),1))</f>
        <v/>
      </c>
      <c r="L1286" s="7">
        <f>IF(COUNTA(A1286,B1286)=0,"",IF(OR(A1286="",B1286=""),"Preencher CPF e entrada",IF(COUNTIFS($A$12:$A$5011,A1286,$B$12:$B$5011,B1286)&gt;1,"CPF + dia duplicado",IF(OR(AND(E1286&lt;&gt;"",E1286&lt;B1286),AND(F1286&lt;&gt;"",F1286&lt;B1286)),"Evento anterior à entrada",IF(AND(F1286&lt;&gt;"",E1286=""),"Conversa sem agendamento",IF(OR(E1286&gt;TODAY(),F1286&gt;TODAY()),"Verificar evento futuro","OK"))))))</f>
        <v/>
      </c>
    </row>
    <row r="1287" spans="9:12">
      <c r="I1287" s="5">
        <f>IF(OR(A1287="",B1287=""),"",B1287-WEEKDAY(B1287,2)+1)</f>
        <v/>
      </c>
      <c r="J1287" s="5">
        <f>IF(I1287="","",I1287+6)</f>
        <v/>
      </c>
      <c r="K1287" s="6">
        <f>IF(OR(A1287="",B1287=""),"",DATE(YEAR(B1287),MONTH(B1287),1))</f>
        <v/>
      </c>
      <c r="L1287" s="7">
        <f>IF(COUNTA(A1287,B1287)=0,"",IF(OR(A1287="",B1287=""),"Preencher CPF e entrada",IF(COUNTIFS($A$12:$A$5011,A1287,$B$12:$B$5011,B1287)&gt;1,"CPF + dia duplicado",IF(OR(AND(E1287&lt;&gt;"",E1287&lt;B1287),AND(F1287&lt;&gt;"",F1287&lt;B1287)),"Evento anterior à entrada",IF(AND(F1287&lt;&gt;"",E1287=""),"Conversa sem agendamento",IF(OR(E1287&gt;TODAY(),F1287&gt;TODAY()),"Verificar evento futuro","OK"))))))</f>
        <v/>
      </c>
    </row>
    <row r="1288" spans="9:12">
      <c r="I1288" s="5">
        <f>IF(OR(A1288="",B1288=""),"",B1288-WEEKDAY(B1288,2)+1)</f>
        <v/>
      </c>
      <c r="J1288" s="5">
        <f>IF(I1288="","",I1288+6)</f>
        <v/>
      </c>
      <c r="K1288" s="6">
        <f>IF(OR(A1288="",B1288=""),"",DATE(YEAR(B1288),MONTH(B1288),1))</f>
        <v/>
      </c>
      <c r="L1288" s="7">
        <f>IF(COUNTA(A1288,B1288)=0,"",IF(OR(A1288="",B1288=""),"Preencher CPF e entrada",IF(COUNTIFS($A$12:$A$5011,A1288,$B$12:$B$5011,B1288)&gt;1,"CPF + dia duplicado",IF(OR(AND(E1288&lt;&gt;"",E1288&lt;B1288),AND(F1288&lt;&gt;"",F1288&lt;B1288)),"Evento anterior à entrada",IF(AND(F1288&lt;&gt;"",E1288=""),"Conversa sem agendamento",IF(OR(E1288&gt;TODAY(),F1288&gt;TODAY()),"Verificar evento futuro","OK"))))))</f>
        <v/>
      </c>
    </row>
    <row r="1289" spans="9:12">
      <c r="I1289" s="5">
        <f>IF(OR(A1289="",B1289=""),"",B1289-WEEKDAY(B1289,2)+1)</f>
        <v/>
      </c>
      <c r="J1289" s="5">
        <f>IF(I1289="","",I1289+6)</f>
        <v/>
      </c>
      <c r="K1289" s="6">
        <f>IF(OR(A1289="",B1289=""),"",DATE(YEAR(B1289),MONTH(B1289),1))</f>
        <v/>
      </c>
      <c r="L1289" s="7">
        <f>IF(COUNTA(A1289,B1289)=0,"",IF(OR(A1289="",B1289=""),"Preencher CPF e entrada",IF(COUNTIFS($A$12:$A$5011,A1289,$B$12:$B$5011,B1289)&gt;1,"CPF + dia duplicado",IF(OR(AND(E1289&lt;&gt;"",E1289&lt;B1289),AND(F1289&lt;&gt;"",F1289&lt;B1289)),"Evento anterior à entrada",IF(AND(F1289&lt;&gt;"",E1289=""),"Conversa sem agendamento",IF(OR(E1289&gt;TODAY(),F1289&gt;TODAY()),"Verificar evento futuro","OK"))))))</f>
        <v/>
      </c>
    </row>
    <row r="1290" spans="9:12">
      <c r="I1290" s="5">
        <f>IF(OR(A1290="",B1290=""),"",B1290-WEEKDAY(B1290,2)+1)</f>
        <v/>
      </c>
      <c r="J1290" s="5">
        <f>IF(I1290="","",I1290+6)</f>
        <v/>
      </c>
      <c r="K1290" s="6">
        <f>IF(OR(A1290="",B1290=""),"",DATE(YEAR(B1290),MONTH(B1290),1))</f>
        <v/>
      </c>
      <c r="L1290" s="7">
        <f>IF(COUNTA(A1290,B1290)=0,"",IF(OR(A1290="",B1290=""),"Preencher CPF e entrada",IF(COUNTIFS($A$12:$A$5011,A1290,$B$12:$B$5011,B1290)&gt;1,"CPF + dia duplicado",IF(OR(AND(E1290&lt;&gt;"",E1290&lt;B1290),AND(F1290&lt;&gt;"",F1290&lt;B1290)),"Evento anterior à entrada",IF(AND(F1290&lt;&gt;"",E1290=""),"Conversa sem agendamento",IF(OR(E1290&gt;TODAY(),F1290&gt;TODAY()),"Verificar evento futuro","OK"))))))</f>
        <v/>
      </c>
    </row>
    <row r="1291" spans="9:12">
      <c r="I1291" s="5">
        <f>IF(OR(A1291="",B1291=""),"",B1291-WEEKDAY(B1291,2)+1)</f>
        <v/>
      </c>
      <c r="J1291" s="5">
        <f>IF(I1291="","",I1291+6)</f>
        <v/>
      </c>
      <c r="K1291" s="6">
        <f>IF(OR(A1291="",B1291=""),"",DATE(YEAR(B1291),MONTH(B1291),1))</f>
        <v/>
      </c>
      <c r="L1291" s="7">
        <f>IF(COUNTA(A1291,B1291)=0,"",IF(OR(A1291="",B1291=""),"Preencher CPF e entrada",IF(COUNTIFS($A$12:$A$5011,A1291,$B$12:$B$5011,B1291)&gt;1,"CPF + dia duplicado",IF(OR(AND(E1291&lt;&gt;"",E1291&lt;B1291),AND(F1291&lt;&gt;"",F1291&lt;B1291)),"Evento anterior à entrada",IF(AND(F1291&lt;&gt;"",E1291=""),"Conversa sem agendamento",IF(OR(E1291&gt;TODAY(),F1291&gt;TODAY()),"Verificar evento futuro","OK"))))))</f>
        <v/>
      </c>
    </row>
    <row r="1292" spans="9:12">
      <c r="I1292" s="5">
        <f>IF(OR(A1292="",B1292=""),"",B1292-WEEKDAY(B1292,2)+1)</f>
        <v/>
      </c>
      <c r="J1292" s="5">
        <f>IF(I1292="","",I1292+6)</f>
        <v/>
      </c>
      <c r="K1292" s="6">
        <f>IF(OR(A1292="",B1292=""),"",DATE(YEAR(B1292),MONTH(B1292),1))</f>
        <v/>
      </c>
      <c r="L1292" s="7">
        <f>IF(COUNTA(A1292,B1292)=0,"",IF(OR(A1292="",B1292=""),"Preencher CPF e entrada",IF(COUNTIFS($A$12:$A$5011,A1292,$B$12:$B$5011,B1292)&gt;1,"CPF + dia duplicado",IF(OR(AND(E1292&lt;&gt;"",E1292&lt;B1292),AND(F1292&lt;&gt;"",F1292&lt;B1292)),"Evento anterior à entrada",IF(AND(F1292&lt;&gt;"",E1292=""),"Conversa sem agendamento",IF(OR(E1292&gt;TODAY(),F1292&gt;TODAY()),"Verificar evento futuro","OK"))))))</f>
        <v/>
      </c>
    </row>
    <row r="1293" spans="9:12">
      <c r="I1293" s="5">
        <f>IF(OR(A1293="",B1293=""),"",B1293-WEEKDAY(B1293,2)+1)</f>
        <v/>
      </c>
      <c r="J1293" s="5">
        <f>IF(I1293="","",I1293+6)</f>
        <v/>
      </c>
      <c r="K1293" s="6">
        <f>IF(OR(A1293="",B1293=""),"",DATE(YEAR(B1293),MONTH(B1293),1))</f>
        <v/>
      </c>
      <c r="L1293" s="7">
        <f>IF(COUNTA(A1293,B1293)=0,"",IF(OR(A1293="",B1293=""),"Preencher CPF e entrada",IF(COUNTIFS($A$12:$A$5011,A1293,$B$12:$B$5011,B1293)&gt;1,"CPF + dia duplicado",IF(OR(AND(E1293&lt;&gt;"",E1293&lt;B1293),AND(F1293&lt;&gt;"",F1293&lt;B1293)),"Evento anterior à entrada",IF(AND(F1293&lt;&gt;"",E1293=""),"Conversa sem agendamento",IF(OR(E1293&gt;TODAY(),F1293&gt;TODAY()),"Verificar evento futuro","OK"))))))</f>
        <v/>
      </c>
    </row>
    <row r="1294" spans="9:12">
      <c r="I1294" s="5">
        <f>IF(OR(A1294="",B1294=""),"",B1294-WEEKDAY(B1294,2)+1)</f>
        <v/>
      </c>
      <c r="J1294" s="5">
        <f>IF(I1294="","",I1294+6)</f>
        <v/>
      </c>
      <c r="K1294" s="6">
        <f>IF(OR(A1294="",B1294=""),"",DATE(YEAR(B1294),MONTH(B1294),1))</f>
        <v/>
      </c>
      <c r="L1294" s="7">
        <f>IF(COUNTA(A1294,B1294)=0,"",IF(OR(A1294="",B1294=""),"Preencher CPF e entrada",IF(COUNTIFS($A$12:$A$5011,A1294,$B$12:$B$5011,B1294)&gt;1,"CPF + dia duplicado",IF(OR(AND(E1294&lt;&gt;"",E1294&lt;B1294),AND(F1294&lt;&gt;"",F1294&lt;B1294)),"Evento anterior à entrada",IF(AND(F1294&lt;&gt;"",E1294=""),"Conversa sem agendamento",IF(OR(E1294&gt;TODAY(),F1294&gt;TODAY()),"Verificar evento futuro","OK"))))))</f>
        <v/>
      </c>
    </row>
    <row r="1295" spans="9:12">
      <c r="I1295" s="5">
        <f>IF(OR(A1295="",B1295=""),"",B1295-WEEKDAY(B1295,2)+1)</f>
        <v/>
      </c>
      <c r="J1295" s="5">
        <f>IF(I1295="","",I1295+6)</f>
        <v/>
      </c>
      <c r="K1295" s="6">
        <f>IF(OR(A1295="",B1295=""),"",DATE(YEAR(B1295),MONTH(B1295),1))</f>
        <v/>
      </c>
      <c r="L1295" s="7">
        <f>IF(COUNTA(A1295,B1295)=0,"",IF(OR(A1295="",B1295=""),"Preencher CPF e entrada",IF(COUNTIFS($A$12:$A$5011,A1295,$B$12:$B$5011,B1295)&gt;1,"CPF + dia duplicado",IF(OR(AND(E1295&lt;&gt;"",E1295&lt;B1295),AND(F1295&lt;&gt;"",F1295&lt;B1295)),"Evento anterior à entrada",IF(AND(F1295&lt;&gt;"",E1295=""),"Conversa sem agendamento",IF(OR(E1295&gt;TODAY(),F1295&gt;TODAY()),"Verificar evento futuro","OK"))))))</f>
        <v/>
      </c>
    </row>
    <row r="1296" spans="9:12">
      <c r="I1296" s="5">
        <f>IF(OR(A1296="",B1296=""),"",B1296-WEEKDAY(B1296,2)+1)</f>
        <v/>
      </c>
      <c r="J1296" s="5">
        <f>IF(I1296="","",I1296+6)</f>
        <v/>
      </c>
      <c r="K1296" s="6">
        <f>IF(OR(A1296="",B1296=""),"",DATE(YEAR(B1296),MONTH(B1296),1))</f>
        <v/>
      </c>
      <c r="L1296" s="7">
        <f>IF(COUNTA(A1296,B1296)=0,"",IF(OR(A1296="",B1296=""),"Preencher CPF e entrada",IF(COUNTIFS($A$12:$A$5011,A1296,$B$12:$B$5011,B1296)&gt;1,"CPF + dia duplicado",IF(OR(AND(E1296&lt;&gt;"",E1296&lt;B1296),AND(F1296&lt;&gt;"",F1296&lt;B1296)),"Evento anterior à entrada",IF(AND(F1296&lt;&gt;"",E1296=""),"Conversa sem agendamento",IF(OR(E1296&gt;TODAY(),F1296&gt;TODAY()),"Verificar evento futuro","OK"))))))</f>
        <v/>
      </c>
    </row>
    <row r="1297" spans="9:12">
      <c r="I1297" s="5">
        <f>IF(OR(A1297="",B1297=""),"",B1297-WEEKDAY(B1297,2)+1)</f>
        <v/>
      </c>
      <c r="J1297" s="5">
        <f>IF(I1297="","",I1297+6)</f>
        <v/>
      </c>
      <c r="K1297" s="6">
        <f>IF(OR(A1297="",B1297=""),"",DATE(YEAR(B1297),MONTH(B1297),1))</f>
        <v/>
      </c>
      <c r="L1297" s="7">
        <f>IF(COUNTA(A1297,B1297)=0,"",IF(OR(A1297="",B1297=""),"Preencher CPF e entrada",IF(COUNTIFS($A$12:$A$5011,A1297,$B$12:$B$5011,B1297)&gt;1,"CPF + dia duplicado",IF(OR(AND(E1297&lt;&gt;"",E1297&lt;B1297),AND(F1297&lt;&gt;"",F1297&lt;B1297)),"Evento anterior à entrada",IF(AND(F1297&lt;&gt;"",E1297=""),"Conversa sem agendamento",IF(OR(E1297&gt;TODAY(),F1297&gt;TODAY()),"Verificar evento futuro","OK"))))))</f>
        <v/>
      </c>
    </row>
    <row r="1298" spans="9:12">
      <c r="I1298" s="5">
        <f>IF(OR(A1298="",B1298=""),"",B1298-WEEKDAY(B1298,2)+1)</f>
        <v/>
      </c>
      <c r="J1298" s="5">
        <f>IF(I1298="","",I1298+6)</f>
        <v/>
      </c>
      <c r="K1298" s="6">
        <f>IF(OR(A1298="",B1298=""),"",DATE(YEAR(B1298),MONTH(B1298),1))</f>
        <v/>
      </c>
      <c r="L1298" s="7">
        <f>IF(COUNTA(A1298,B1298)=0,"",IF(OR(A1298="",B1298=""),"Preencher CPF e entrada",IF(COUNTIFS($A$12:$A$5011,A1298,$B$12:$B$5011,B1298)&gt;1,"CPF + dia duplicado",IF(OR(AND(E1298&lt;&gt;"",E1298&lt;B1298),AND(F1298&lt;&gt;"",F1298&lt;B1298)),"Evento anterior à entrada",IF(AND(F1298&lt;&gt;"",E1298=""),"Conversa sem agendamento",IF(OR(E1298&gt;TODAY(),F1298&gt;TODAY()),"Verificar evento futuro","OK"))))))</f>
        <v/>
      </c>
    </row>
    <row r="1299" spans="9:12">
      <c r="I1299" s="5">
        <f>IF(OR(A1299="",B1299=""),"",B1299-WEEKDAY(B1299,2)+1)</f>
        <v/>
      </c>
      <c r="J1299" s="5">
        <f>IF(I1299="","",I1299+6)</f>
        <v/>
      </c>
      <c r="K1299" s="6">
        <f>IF(OR(A1299="",B1299=""),"",DATE(YEAR(B1299),MONTH(B1299),1))</f>
        <v/>
      </c>
      <c r="L1299" s="7">
        <f>IF(COUNTA(A1299,B1299)=0,"",IF(OR(A1299="",B1299=""),"Preencher CPF e entrada",IF(COUNTIFS($A$12:$A$5011,A1299,$B$12:$B$5011,B1299)&gt;1,"CPF + dia duplicado",IF(OR(AND(E1299&lt;&gt;"",E1299&lt;B1299),AND(F1299&lt;&gt;"",F1299&lt;B1299)),"Evento anterior à entrada",IF(AND(F1299&lt;&gt;"",E1299=""),"Conversa sem agendamento",IF(OR(E1299&gt;TODAY(),F1299&gt;TODAY()),"Verificar evento futuro","OK"))))))</f>
        <v/>
      </c>
    </row>
    <row r="1300" spans="9:12">
      <c r="I1300" s="5">
        <f>IF(OR(A1300="",B1300=""),"",B1300-WEEKDAY(B1300,2)+1)</f>
        <v/>
      </c>
      <c r="J1300" s="5">
        <f>IF(I1300="","",I1300+6)</f>
        <v/>
      </c>
      <c r="K1300" s="6">
        <f>IF(OR(A1300="",B1300=""),"",DATE(YEAR(B1300),MONTH(B1300),1))</f>
        <v/>
      </c>
      <c r="L1300" s="7">
        <f>IF(COUNTA(A1300,B1300)=0,"",IF(OR(A1300="",B1300=""),"Preencher CPF e entrada",IF(COUNTIFS($A$12:$A$5011,A1300,$B$12:$B$5011,B1300)&gt;1,"CPF + dia duplicado",IF(OR(AND(E1300&lt;&gt;"",E1300&lt;B1300),AND(F1300&lt;&gt;"",F1300&lt;B1300)),"Evento anterior à entrada",IF(AND(F1300&lt;&gt;"",E1300=""),"Conversa sem agendamento",IF(OR(E1300&gt;TODAY(),F1300&gt;TODAY()),"Verificar evento futuro","OK"))))))</f>
        <v/>
      </c>
    </row>
    <row r="1301" spans="9:12">
      <c r="I1301" s="5">
        <f>IF(OR(A1301="",B1301=""),"",B1301-WEEKDAY(B1301,2)+1)</f>
        <v/>
      </c>
      <c r="J1301" s="5">
        <f>IF(I1301="","",I1301+6)</f>
        <v/>
      </c>
      <c r="K1301" s="6">
        <f>IF(OR(A1301="",B1301=""),"",DATE(YEAR(B1301),MONTH(B1301),1))</f>
        <v/>
      </c>
      <c r="L1301" s="7">
        <f>IF(COUNTA(A1301,B1301)=0,"",IF(OR(A1301="",B1301=""),"Preencher CPF e entrada",IF(COUNTIFS($A$12:$A$5011,A1301,$B$12:$B$5011,B1301)&gt;1,"CPF + dia duplicado",IF(OR(AND(E1301&lt;&gt;"",E1301&lt;B1301),AND(F1301&lt;&gt;"",F1301&lt;B1301)),"Evento anterior à entrada",IF(AND(F1301&lt;&gt;"",E1301=""),"Conversa sem agendamento",IF(OR(E1301&gt;TODAY(),F1301&gt;TODAY()),"Verificar evento futuro","OK"))))))</f>
        <v/>
      </c>
    </row>
    <row r="1302" spans="9:12">
      <c r="I1302" s="5">
        <f>IF(OR(A1302="",B1302=""),"",B1302-WEEKDAY(B1302,2)+1)</f>
        <v/>
      </c>
      <c r="J1302" s="5">
        <f>IF(I1302="","",I1302+6)</f>
        <v/>
      </c>
      <c r="K1302" s="6">
        <f>IF(OR(A1302="",B1302=""),"",DATE(YEAR(B1302),MONTH(B1302),1))</f>
        <v/>
      </c>
      <c r="L1302" s="7">
        <f>IF(COUNTA(A1302,B1302)=0,"",IF(OR(A1302="",B1302=""),"Preencher CPF e entrada",IF(COUNTIFS($A$12:$A$5011,A1302,$B$12:$B$5011,B1302)&gt;1,"CPF + dia duplicado",IF(OR(AND(E1302&lt;&gt;"",E1302&lt;B1302),AND(F1302&lt;&gt;"",F1302&lt;B1302)),"Evento anterior à entrada",IF(AND(F1302&lt;&gt;"",E1302=""),"Conversa sem agendamento",IF(OR(E1302&gt;TODAY(),F1302&gt;TODAY()),"Verificar evento futuro","OK"))))))</f>
        <v/>
      </c>
    </row>
    <row r="1303" spans="9:12">
      <c r="I1303" s="5">
        <f>IF(OR(A1303="",B1303=""),"",B1303-WEEKDAY(B1303,2)+1)</f>
        <v/>
      </c>
      <c r="J1303" s="5">
        <f>IF(I1303="","",I1303+6)</f>
        <v/>
      </c>
      <c r="K1303" s="6">
        <f>IF(OR(A1303="",B1303=""),"",DATE(YEAR(B1303),MONTH(B1303),1))</f>
        <v/>
      </c>
      <c r="L1303" s="7">
        <f>IF(COUNTA(A1303,B1303)=0,"",IF(OR(A1303="",B1303=""),"Preencher CPF e entrada",IF(COUNTIFS($A$12:$A$5011,A1303,$B$12:$B$5011,B1303)&gt;1,"CPF + dia duplicado",IF(OR(AND(E1303&lt;&gt;"",E1303&lt;B1303),AND(F1303&lt;&gt;"",F1303&lt;B1303)),"Evento anterior à entrada",IF(AND(F1303&lt;&gt;"",E1303=""),"Conversa sem agendamento",IF(OR(E1303&gt;TODAY(),F1303&gt;TODAY()),"Verificar evento futuro","OK"))))))</f>
        <v/>
      </c>
    </row>
    <row r="1304" spans="9:12">
      <c r="I1304" s="5">
        <f>IF(OR(A1304="",B1304=""),"",B1304-WEEKDAY(B1304,2)+1)</f>
        <v/>
      </c>
      <c r="J1304" s="5">
        <f>IF(I1304="","",I1304+6)</f>
        <v/>
      </c>
      <c r="K1304" s="6">
        <f>IF(OR(A1304="",B1304=""),"",DATE(YEAR(B1304),MONTH(B1304),1))</f>
        <v/>
      </c>
      <c r="L1304" s="7">
        <f>IF(COUNTA(A1304,B1304)=0,"",IF(OR(A1304="",B1304=""),"Preencher CPF e entrada",IF(COUNTIFS($A$12:$A$5011,A1304,$B$12:$B$5011,B1304)&gt;1,"CPF + dia duplicado",IF(OR(AND(E1304&lt;&gt;"",E1304&lt;B1304),AND(F1304&lt;&gt;"",F1304&lt;B1304)),"Evento anterior à entrada",IF(AND(F1304&lt;&gt;"",E1304=""),"Conversa sem agendamento",IF(OR(E1304&gt;TODAY(),F1304&gt;TODAY()),"Verificar evento futuro","OK"))))))</f>
        <v/>
      </c>
    </row>
    <row r="1305" spans="9:12">
      <c r="I1305" s="5">
        <f>IF(OR(A1305="",B1305=""),"",B1305-WEEKDAY(B1305,2)+1)</f>
        <v/>
      </c>
      <c r="J1305" s="5">
        <f>IF(I1305="","",I1305+6)</f>
        <v/>
      </c>
      <c r="K1305" s="6">
        <f>IF(OR(A1305="",B1305=""),"",DATE(YEAR(B1305),MONTH(B1305),1))</f>
        <v/>
      </c>
      <c r="L1305" s="7">
        <f>IF(COUNTA(A1305,B1305)=0,"",IF(OR(A1305="",B1305=""),"Preencher CPF e entrada",IF(COUNTIFS($A$12:$A$5011,A1305,$B$12:$B$5011,B1305)&gt;1,"CPF + dia duplicado",IF(OR(AND(E1305&lt;&gt;"",E1305&lt;B1305),AND(F1305&lt;&gt;"",F1305&lt;B1305)),"Evento anterior à entrada",IF(AND(F1305&lt;&gt;"",E1305=""),"Conversa sem agendamento",IF(OR(E1305&gt;TODAY(),F1305&gt;TODAY()),"Verificar evento futuro","OK"))))))</f>
        <v/>
      </c>
    </row>
    <row r="1306" spans="9:12">
      <c r="I1306" s="5">
        <f>IF(OR(A1306="",B1306=""),"",B1306-WEEKDAY(B1306,2)+1)</f>
        <v/>
      </c>
      <c r="J1306" s="5">
        <f>IF(I1306="","",I1306+6)</f>
        <v/>
      </c>
      <c r="K1306" s="6">
        <f>IF(OR(A1306="",B1306=""),"",DATE(YEAR(B1306),MONTH(B1306),1))</f>
        <v/>
      </c>
      <c r="L1306" s="7">
        <f>IF(COUNTA(A1306,B1306)=0,"",IF(OR(A1306="",B1306=""),"Preencher CPF e entrada",IF(COUNTIFS($A$12:$A$5011,A1306,$B$12:$B$5011,B1306)&gt;1,"CPF + dia duplicado",IF(OR(AND(E1306&lt;&gt;"",E1306&lt;B1306),AND(F1306&lt;&gt;"",F1306&lt;B1306)),"Evento anterior à entrada",IF(AND(F1306&lt;&gt;"",E1306=""),"Conversa sem agendamento",IF(OR(E1306&gt;TODAY(),F1306&gt;TODAY()),"Verificar evento futuro","OK"))))))</f>
        <v/>
      </c>
    </row>
    <row r="1307" spans="9:12">
      <c r="I1307" s="5">
        <f>IF(OR(A1307="",B1307=""),"",B1307-WEEKDAY(B1307,2)+1)</f>
        <v/>
      </c>
      <c r="J1307" s="5">
        <f>IF(I1307="","",I1307+6)</f>
        <v/>
      </c>
      <c r="K1307" s="6">
        <f>IF(OR(A1307="",B1307=""),"",DATE(YEAR(B1307),MONTH(B1307),1))</f>
        <v/>
      </c>
      <c r="L1307" s="7">
        <f>IF(COUNTA(A1307,B1307)=0,"",IF(OR(A1307="",B1307=""),"Preencher CPF e entrada",IF(COUNTIFS($A$12:$A$5011,A1307,$B$12:$B$5011,B1307)&gt;1,"CPF + dia duplicado",IF(OR(AND(E1307&lt;&gt;"",E1307&lt;B1307),AND(F1307&lt;&gt;"",F1307&lt;B1307)),"Evento anterior à entrada",IF(AND(F1307&lt;&gt;"",E1307=""),"Conversa sem agendamento",IF(OR(E1307&gt;TODAY(),F1307&gt;TODAY()),"Verificar evento futuro","OK"))))))</f>
        <v/>
      </c>
    </row>
    <row r="1308" spans="9:12">
      <c r="I1308" s="5">
        <f>IF(OR(A1308="",B1308=""),"",B1308-WEEKDAY(B1308,2)+1)</f>
        <v/>
      </c>
      <c r="J1308" s="5">
        <f>IF(I1308="","",I1308+6)</f>
        <v/>
      </c>
      <c r="K1308" s="6">
        <f>IF(OR(A1308="",B1308=""),"",DATE(YEAR(B1308),MONTH(B1308),1))</f>
        <v/>
      </c>
      <c r="L1308" s="7">
        <f>IF(COUNTA(A1308,B1308)=0,"",IF(OR(A1308="",B1308=""),"Preencher CPF e entrada",IF(COUNTIFS($A$12:$A$5011,A1308,$B$12:$B$5011,B1308)&gt;1,"CPF + dia duplicado",IF(OR(AND(E1308&lt;&gt;"",E1308&lt;B1308),AND(F1308&lt;&gt;"",F1308&lt;B1308)),"Evento anterior à entrada",IF(AND(F1308&lt;&gt;"",E1308=""),"Conversa sem agendamento",IF(OR(E1308&gt;TODAY(),F1308&gt;TODAY()),"Verificar evento futuro","OK"))))))</f>
        <v/>
      </c>
    </row>
    <row r="1309" spans="9:12">
      <c r="I1309" s="5">
        <f>IF(OR(A1309="",B1309=""),"",B1309-WEEKDAY(B1309,2)+1)</f>
        <v/>
      </c>
      <c r="J1309" s="5">
        <f>IF(I1309="","",I1309+6)</f>
        <v/>
      </c>
      <c r="K1309" s="6">
        <f>IF(OR(A1309="",B1309=""),"",DATE(YEAR(B1309),MONTH(B1309),1))</f>
        <v/>
      </c>
      <c r="L1309" s="7">
        <f>IF(COUNTA(A1309,B1309)=0,"",IF(OR(A1309="",B1309=""),"Preencher CPF e entrada",IF(COUNTIFS($A$12:$A$5011,A1309,$B$12:$B$5011,B1309)&gt;1,"CPF + dia duplicado",IF(OR(AND(E1309&lt;&gt;"",E1309&lt;B1309),AND(F1309&lt;&gt;"",F1309&lt;B1309)),"Evento anterior à entrada",IF(AND(F1309&lt;&gt;"",E1309=""),"Conversa sem agendamento",IF(OR(E1309&gt;TODAY(),F1309&gt;TODAY()),"Verificar evento futuro","OK"))))))</f>
        <v/>
      </c>
    </row>
    <row r="1310" spans="9:12">
      <c r="I1310" s="5">
        <f>IF(OR(A1310="",B1310=""),"",B1310-WEEKDAY(B1310,2)+1)</f>
        <v/>
      </c>
      <c r="J1310" s="5">
        <f>IF(I1310="","",I1310+6)</f>
        <v/>
      </c>
      <c r="K1310" s="6">
        <f>IF(OR(A1310="",B1310=""),"",DATE(YEAR(B1310),MONTH(B1310),1))</f>
        <v/>
      </c>
      <c r="L1310" s="7">
        <f>IF(COUNTA(A1310,B1310)=0,"",IF(OR(A1310="",B1310=""),"Preencher CPF e entrada",IF(COUNTIFS($A$12:$A$5011,A1310,$B$12:$B$5011,B1310)&gt;1,"CPF + dia duplicado",IF(OR(AND(E1310&lt;&gt;"",E1310&lt;B1310),AND(F1310&lt;&gt;"",F1310&lt;B1310)),"Evento anterior à entrada",IF(AND(F1310&lt;&gt;"",E1310=""),"Conversa sem agendamento",IF(OR(E1310&gt;TODAY(),F1310&gt;TODAY()),"Verificar evento futuro","OK"))))))</f>
        <v/>
      </c>
    </row>
    <row r="1311" spans="9:12">
      <c r="I1311" s="5">
        <f>IF(OR(A1311="",B1311=""),"",B1311-WEEKDAY(B1311,2)+1)</f>
        <v/>
      </c>
      <c r="J1311" s="5">
        <f>IF(I1311="","",I1311+6)</f>
        <v/>
      </c>
      <c r="K1311" s="6">
        <f>IF(OR(A1311="",B1311=""),"",DATE(YEAR(B1311),MONTH(B1311),1))</f>
        <v/>
      </c>
      <c r="L1311" s="7">
        <f>IF(COUNTA(A1311,B1311)=0,"",IF(OR(A1311="",B1311=""),"Preencher CPF e entrada",IF(COUNTIFS($A$12:$A$5011,A1311,$B$12:$B$5011,B1311)&gt;1,"CPF + dia duplicado",IF(OR(AND(E1311&lt;&gt;"",E1311&lt;B1311),AND(F1311&lt;&gt;"",F1311&lt;B1311)),"Evento anterior à entrada",IF(AND(F1311&lt;&gt;"",E1311=""),"Conversa sem agendamento",IF(OR(E1311&gt;TODAY(),F1311&gt;TODAY()),"Verificar evento futuro","OK"))))))</f>
        <v/>
      </c>
    </row>
    <row r="1312" spans="9:12">
      <c r="I1312" s="5">
        <f>IF(OR(A1312="",B1312=""),"",B1312-WEEKDAY(B1312,2)+1)</f>
        <v/>
      </c>
      <c r="J1312" s="5">
        <f>IF(I1312="","",I1312+6)</f>
        <v/>
      </c>
      <c r="K1312" s="6">
        <f>IF(OR(A1312="",B1312=""),"",DATE(YEAR(B1312),MONTH(B1312),1))</f>
        <v/>
      </c>
      <c r="L1312" s="7">
        <f>IF(COUNTA(A1312,B1312)=0,"",IF(OR(A1312="",B1312=""),"Preencher CPF e entrada",IF(COUNTIFS($A$12:$A$5011,A1312,$B$12:$B$5011,B1312)&gt;1,"CPF + dia duplicado",IF(OR(AND(E1312&lt;&gt;"",E1312&lt;B1312),AND(F1312&lt;&gt;"",F1312&lt;B1312)),"Evento anterior à entrada",IF(AND(F1312&lt;&gt;"",E1312=""),"Conversa sem agendamento",IF(OR(E1312&gt;TODAY(),F1312&gt;TODAY()),"Verificar evento futuro","OK"))))))</f>
        <v/>
      </c>
    </row>
    <row r="1313" spans="9:12">
      <c r="I1313" s="5">
        <f>IF(OR(A1313="",B1313=""),"",B1313-WEEKDAY(B1313,2)+1)</f>
        <v/>
      </c>
      <c r="J1313" s="5">
        <f>IF(I1313="","",I1313+6)</f>
        <v/>
      </c>
      <c r="K1313" s="6">
        <f>IF(OR(A1313="",B1313=""),"",DATE(YEAR(B1313),MONTH(B1313),1))</f>
        <v/>
      </c>
      <c r="L1313" s="7">
        <f>IF(COUNTA(A1313,B1313)=0,"",IF(OR(A1313="",B1313=""),"Preencher CPF e entrada",IF(COUNTIFS($A$12:$A$5011,A1313,$B$12:$B$5011,B1313)&gt;1,"CPF + dia duplicado",IF(OR(AND(E1313&lt;&gt;"",E1313&lt;B1313),AND(F1313&lt;&gt;"",F1313&lt;B1313)),"Evento anterior à entrada",IF(AND(F1313&lt;&gt;"",E1313=""),"Conversa sem agendamento",IF(OR(E1313&gt;TODAY(),F1313&gt;TODAY()),"Verificar evento futuro","OK"))))))</f>
        <v/>
      </c>
    </row>
    <row r="1314" spans="9:12">
      <c r="I1314" s="5">
        <f>IF(OR(A1314="",B1314=""),"",B1314-WEEKDAY(B1314,2)+1)</f>
        <v/>
      </c>
      <c r="J1314" s="5">
        <f>IF(I1314="","",I1314+6)</f>
        <v/>
      </c>
      <c r="K1314" s="6">
        <f>IF(OR(A1314="",B1314=""),"",DATE(YEAR(B1314),MONTH(B1314),1))</f>
        <v/>
      </c>
      <c r="L1314" s="7">
        <f>IF(COUNTA(A1314,B1314)=0,"",IF(OR(A1314="",B1314=""),"Preencher CPF e entrada",IF(COUNTIFS($A$12:$A$5011,A1314,$B$12:$B$5011,B1314)&gt;1,"CPF + dia duplicado",IF(OR(AND(E1314&lt;&gt;"",E1314&lt;B1314),AND(F1314&lt;&gt;"",F1314&lt;B1314)),"Evento anterior à entrada",IF(AND(F1314&lt;&gt;"",E1314=""),"Conversa sem agendamento",IF(OR(E1314&gt;TODAY(),F1314&gt;TODAY()),"Verificar evento futuro","OK"))))))</f>
        <v/>
      </c>
    </row>
    <row r="1315" spans="9:12">
      <c r="I1315" s="5">
        <f>IF(OR(A1315="",B1315=""),"",B1315-WEEKDAY(B1315,2)+1)</f>
        <v/>
      </c>
      <c r="J1315" s="5">
        <f>IF(I1315="","",I1315+6)</f>
        <v/>
      </c>
      <c r="K1315" s="6">
        <f>IF(OR(A1315="",B1315=""),"",DATE(YEAR(B1315),MONTH(B1315),1))</f>
        <v/>
      </c>
      <c r="L1315" s="7">
        <f>IF(COUNTA(A1315,B1315)=0,"",IF(OR(A1315="",B1315=""),"Preencher CPF e entrada",IF(COUNTIFS($A$12:$A$5011,A1315,$B$12:$B$5011,B1315)&gt;1,"CPF + dia duplicado",IF(OR(AND(E1315&lt;&gt;"",E1315&lt;B1315),AND(F1315&lt;&gt;"",F1315&lt;B1315)),"Evento anterior à entrada",IF(AND(F1315&lt;&gt;"",E1315=""),"Conversa sem agendamento",IF(OR(E1315&gt;TODAY(),F1315&gt;TODAY()),"Verificar evento futuro","OK"))))))</f>
        <v/>
      </c>
    </row>
    <row r="1316" spans="9:12">
      <c r="I1316" s="5">
        <f>IF(OR(A1316="",B1316=""),"",B1316-WEEKDAY(B1316,2)+1)</f>
        <v/>
      </c>
      <c r="J1316" s="5">
        <f>IF(I1316="","",I1316+6)</f>
        <v/>
      </c>
      <c r="K1316" s="6">
        <f>IF(OR(A1316="",B1316=""),"",DATE(YEAR(B1316),MONTH(B1316),1))</f>
        <v/>
      </c>
      <c r="L1316" s="7">
        <f>IF(COUNTA(A1316,B1316)=0,"",IF(OR(A1316="",B1316=""),"Preencher CPF e entrada",IF(COUNTIFS($A$12:$A$5011,A1316,$B$12:$B$5011,B1316)&gt;1,"CPF + dia duplicado",IF(OR(AND(E1316&lt;&gt;"",E1316&lt;B1316),AND(F1316&lt;&gt;"",F1316&lt;B1316)),"Evento anterior à entrada",IF(AND(F1316&lt;&gt;"",E1316=""),"Conversa sem agendamento",IF(OR(E1316&gt;TODAY(),F1316&gt;TODAY()),"Verificar evento futuro","OK"))))))</f>
        <v/>
      </c>
    </row>
    <row r="1317" spans="9:12">
      <c r="I1317" s="5">
        <f>IF(OR(A1317="",B1317=""),"",B1317-WEEKDAY(B1317,2)+1)</f>
        <v/>
      </c>
      <c r="J1317" s="5">
        <f>IF(I1317="","",I1317+6)</f>
        <v/>
      </c>
      <c r="K1317" s="6">
        <f>IF(OR(A1317="",B1317=""),"",DATE(YEAR(B1317),MONTH(B1317),1))</f>
        <v/>
      </c>
      <c r="L1317" s="7">
        <f>IF(COUNTA(A1317,B1317)=0,"",IF(OR(A1317="",B1317=""),"Preencher CPF e entrada",IF(COUNTIFS($A$12:$A$5011,A1317,$B$12:$B$5011,B1317)&gt;1,"CPF + dia duplicado",IF(OR(AND(E1317&lt;&gt;"",E1317&lt;B1317),AND(F1317&lt;&gt;"",F1317&lt;B1317)),"Evento anterior à entrada",IF(AND(F1317&lt;&gt;"",E1317=""),"Conversa sem agendamento",IF(OR(E1317&gt;TODAY(),F1317&gt;TODAY()),"Verificar evento futuro","OK"))))))</f>
        <v/>
      </c>
    </row>
    <row r="1318" spans="9:12">
      <c r="I1318" s="5">
        <f>IF(OR(A1318="",B1318=""),"",B1318-WEEKDAY(B1318,2)+1)</f>
        <v/>
      </c>
      <c r="J1318" s="5">
        <f>IF(I1318="","",I1318+6)</f>
        <v/>
      </c>
      <c r="K1318" s="6">
        <f>IF(OR(A1318="",B1318=""),"",DATE(YEAR(B1318),MONTH(B1318),1))</f>
        <v/>
      </c>
      <c r="L1318" s="7">
        <f>IF(COUNTA(A1318,B1318)=0,"",IF(OR(A1318="",B1318=""),"Preencher CPF e entrada",IF(COUNTIFS($A$12:$A$5011,A1318,$B$12:$B$5011,B1318)&gt;1,"CPF + dia duplicado",IF(OR(AND(E1318&lt;&gt;"",E1318&lt;B1318),AND(F1318&lt;&gt;"",F1318&lt;B1318)),"Evento anterior à entrada",IF(AND(F1318&lt;&gt;"",E1318=""),"Conversa sem agendamento",IF(OR(E1318&gt;TODAY(),F1318&gt;TODAY()),"Verificar evento futuro","OK"))))))</f>
        <v/>
      </c>
    </row>
    <row r="1319" spans="9:12">
      <c r="I1319" s="5">
        <f>IF(OR(A1319="",B1319=""),"",B1319-WEEKDAY(B1319,2)+1)</f>
        <v/>
      </c>
      <c r="J1319" s="5">
        <f>IF(I1319="","",I1319+6)</f>
        <v/>
      </c>
      <c r="K1319" s="6">
        <f>IF(OR(A1319="",B1319=""),"",DATE(YEAR(B1319),MONTH(B1319),1))</f>
        <v/>
      </c>
      <c r="L1319" s="7">
        <f>IF(COUNTA(A1319,B1319)=0,"",IF(OR(A1319="",B1319=""),"Preencher CPF e entrada",IF(COUNTIFS($A$12:$A$5011,A1319,$B$12:$B$5011,B1319)&gt;1,"CPF + dia duplicado",IF(OR(AND(E1319&lt;&gt;"",E1319&lt;B1319),AND(F1319&lt;&gt;"",F1319&lt;B1319)),"Evento anterior à entrada",IF(AND(F1319&lt;&gt;"",E1319=""),"Conversa sem agendamento",IF(OR(E1319&gt;TODAY(),F1319&gt;TODAY()),"Verificar evento futuro","OK"))))))</f>
        <v/>
      </c>
    </row>
    <row r="1320" spans="9:12">
      <c r="I1320" s="5">
        <f>IF(OR(A1320="",B1320=""),"",B1320-WEEKDAY(B1320,2)+1)</f>
        <v/>
      </c>
      <c r="J1320" s="5">
        <f>IF(I1320="","",I1320+6)</f>
        <v/>
      </c>
      <c r="K1320" s="6">
        <f>IF(OR(A1320="",B1320=""),"",DATE(YEAR(B1320),MONTH(B1320),1))</f>
        <v/>
      </c>
      <c r="L1320" s="7">
        <f>IF(COUNTA(A1320,B1320)=0,"",IF(OR(A1320="",B1320=""),"Preencher CPF e entrada",IF(COUNTIFS($A$12:$A$5011,A1320,$B$12:$B$5011,B1320)&gt;1,"CPF + dia duplicado",IF(OR(AND(E1320&lt;&gt;"",E1320&lt;B1320),AND(F1320&lt;&gt;"",F1320&lt;B1320)),"Evento anterior à entrada",IF(AND(F1320&lt;&gt;"",E1320=""),"Conversa sem agendamento",IF(OR(E1320&gt;TODAY(),F1320&gt;TODAY()),"Verificar evento futuro","OK"))))))</f>
        <v/>
      </c>
    </row>
    <row r="1321" spans="9:12">
      <c r="I1321" s="5">
        <f>IF(OR(A1321="",B1321=""),"",B1321-WEEKDAY(B1321,2)+1)</f>
        <v/>
      </c>
      <c r="J1321" s="5">
        <f>IF(I1321="","",I1321+6)</f>
        <v/>
      </c>
      <c r="K1321" s="6">
        <f>IF(OR(A1321="",B1321=""),"",DATE(YEAR(B1321),MONTH(B1321),1))</f>
        <v/>
      </c>
      <c r="L1321" s="7">
        <f>IF(COUNTA(A1321,B1321)=0,"",IF(OR(A1321="",B1321=""),"Preencher CPF e entrada",IF(COUNTIFS($A$12:$A$5011,A1321,$B$12:$B$5011,B1321)&gt;1,"CPF + dia duplicado",IF(OR(AND(E1321&lt;&gt;"",E1321&lt;B1321),AND(F1321&lt;&gt;"",F1321&lt;B1321)),"Evento anterior à entrada",IF(AND(F1321&lt;&gt;"",E1321=""),"Conversa sem agendamento",IF(OR(E1321&gt;TODAY(),F1321&gt;TODAY()),"Verificar evento futuro","OK"))))))</f>
        <v/>
      </c>
    </row>
    <row r="1322" spans="9:12">
      <c r="I1322" s="5">
        <f>IF(OR(A1322="",B1322=""),"",B1322-WEEKDAY(B1322,2)+1)</f>
        <v/>
      </c>
      <c r="J1322" s="5">
        <f>IF(I1322="","",I1322+6)</f>
        <v/>
      </c>
      <c r="K1322" s="6">
        <f>IF(OR(A1322="",B1322=""),"",DATE(YEAR(B1322),MONTH(B1322),1))</f>
        <v/>
      </c>
      <c r="L1322" s="7">
        <f>IF(COUNTA(A1322,B1322)=0,"",IF(OR(A1322="",B1322=""),"Preencher CPF e entrada",IF(COUNTIFS($A$12:$A$5011,A1322,$B$12:$B$5011,B1322)&gt;1,"CPF + dia duplicado",IF(OR(AND(E1322&lt;&gt;"",E1322&lt;B1322),AND(F1322&lt;&gt;"",F1322&lt;B1322)),"Evento anterior à entrada",IF(AND(F1322&lt;&gt;"",E1322=""),"Conversa sem agendamento",IF(OR(E1322&gt;TODAY(),F1322&gt;TODAY()),"Verificar evento futuro","OK"))))))</f>
        <v/>
      </c>
    </row>
    <row r="1323" spans="9:12">
      <c r="I1323" s="5">
        <f>IF(OR(A1323="",B1323=""),"",B1323-WEEKDAY(B1323,2)+1)</f>
        <v/>
      </c>
      <c r="J1323" s="5">
        <f>IF(I1323="","",I1323+6)</f>
        <v/>
      </c>
      <c r="K1323" s="6">
        <f>IF(OR(A1323="",B1323=""),"",DATE(YEAR(B1323),MONTH(B1323),1))</f>
        <v/>
      </c>
      <c r="L1323" s="7">
        <f>IF(COUNTA(A1323,B1323)=0,"",IF(OR(A1323="",B1323=""),"Preencher CPF e entrada",IF(COUNTIFS($A$12:$A$5011,A1323,$B$12:$B$5011,B1323)&gt;1,"CPF + dia duplicado",IF(OR(AND(E1323&lt;&gt;"",E1323&lt;B1323),AND(F1323&lt;&gt;"",F1323&lt;B1323)),"Evento anterior à entrada",IF(AND(F1323&lt;&gt;"",E1323=""),"Conversa sem agendamento",IF(OR(E1323&gt;TODAY(),F1323&gt;TODAY()),"Verificar evento futuro","OK"))))))</f>
        <v/>
      </c>
    </row>
    <row r="1324" spans="9:12">
      <c r="I1324" s="5">
        <f>IF(OR(A1324="",B1324=""),"",B1324-WEEKDAY(B1324,2)+1)</f>
        <v/>
      </c>
      <c r="J1324" s="5">
        <f>IF(I1324="","",I1324+6)</f>
        <v/>
      </c>
      <c r="K1324" s="6">
        <f>IF(OR(A1324="",B1324=""),"",DATE(YEAR(B1324),MONTH(B1324),1))</f>
        <v/>
      </c>
      <c r="L1324" s="7">
        <f>IF(COUNTA(A1324,B1324)=0,"",IF(OR(A1324="",B1324=""),"Preencher CPF e entrada",IF(COUNTIFS($A$12:$A$5011,A1324,$B$12:$B$5011,B1324)&gt;1,"CPF + dia duplicado",IF(OR(AND(E1324&lt;&gt;"",E1324&lt;B1324),AND(F1324&lt;&gt;"",F1324&lt;B1324)),"Evento anterior à entrada",IF(AND(F1324&lt;&gt;"",E1324=""),"Conversa sem agendamento",IF(OR(E1324&gt;TODAY(),F1324&gt;TODAY()),"Verificar evento futuro","OK"))))))</f>
        <v/>
      </c>
    </row>
    <row r="1325" spans="9:12">
      <c r="I1325" s="5">
        <f>IF(OR(A1325="",B1325=""),"",B1325-WEEKDAY(B1325,2)+1)</f>
        <v/>
      </c>
      <c r="J1325" s="5">
        <f>IF(I1325="","",I1325+6)</f>
        <v/>
      </c>
      <c r="K1325" s="6">
        <f>IF(OR(A1325="",B1325=""),"",DATE(YEAR(B1325),MONTH(B1325),1))</f>
        <v/>
      </c>
      <c r="L1325" s="7">
        <f>IF(COUNTA(A1325,B1325)=0,"",IF(OR(A1325="",B1325=""),"Preencher CPF e entrada",IF(COUNTIFS($A$12:$A$5011,A1325,$B$12:$B$5011,B1325)&gt;1,"CPF + dia duplicado",IF(OR(AND(E1325&lt;&gt;"",E1325&lt;B1325),AND(F1325&lt;&gt;"",F1325&lt;B1325)),"Evento anterior à entrada",IF(AND(F1325&lt;&gt;"",E1325=""),"Conversa sem agendamento",IF(OR(E1325&gt;TODAY(),F1325&gt;TODAY()),"Verificar evento futuro","OK"))))))</f>
        <v/>
      </c>
    </row>
    <row r="1326" spans="9:12">
      <c r="I1326" s="5">
        <f>IF(OR(A1326="",B1326=""),"",B1326-WEEKDAY(B1326,2)+1)</f>
        <v/>
      </c>
      <c r="J1326" s="5">
        <f>IF(I1326="","",I1326+6)</f>
        <v/>
      </c>
      <c r="K1326" s="6">
        <f>IF(OR(A1326="",B1326=""),"",DATE(YEAR(B1326),MONTH(B1326),1))</f>
        <v/>
      </c>
      <c r="L1326" s="7">
        <f>IF(COUNTA(A1326,B1326)=0,"",IF(OR(A1326="",B1326=""),"Preencher CPF e entrada",IF(COUNTIFS($A$12:$A$5011,A1326,$B$12:$B$5011,B1326)&gt;1,"CPF + dia duplicado",IF(OR(AND(E1326&lt;&gt;"",E1326&lt;B1326),AND(F1326&lt;&gt;"",F1326&lt;B1326)),"Evento anterior à entrada",IF(AND(F1326&lt;&gt;"",E1326=""),"Conversa sem agendamento",IF(OR(E1326&gt;TODAY(),F1326&gt;TODAY()),"Verificar evento futuro","OK"))))))</f>
        <v/>
      </c>
    </row>
    <row r="1327" spans="9:12">
      <c r="I1327" s="5">
        <f>IF(OR(A1327="",B1327=""),"",B1327-WEEKDAY(B1327,2)+1)</f>
        <v/>
      </c>
      <c r="J1327" s="5">
        <f>IF(I1327="","",I1327+6)</f>
        <v/>
      </c>
      <c r="K1327" s="6">
        <f>IF(OR(A1327="",B1327=""),"",DATE(YEAR(B1327),MONTH(B1327),1))</f>
        <v/>
      </c>
      <c r="L1327" s="7">
        <f>IF(COUNTA(A1327,B1327)=0,"",IF(OR(A1327="",B1327=""),"Preencher CPF e entrada",IF(COUNTIFS($A$12:$A$5011,A1327,$B$12:$B$5011,B1327)&gt;1,"CPF + dia duplicado",IF(OR(AND(E1327&lt;&gt;"",E1327&lt;B1327),AND(F1327&lt;&gt;"",F1327&lt;B1327)),"Evento anterior à entrada",IF(AND(F1327&lt;&gt;"",E1327=""),"Conversa sem agendamento",IF(OR(E1327&gt;TODAY(),F1327&gt;TODAY()),"Verificar evento futuro","OK"))))))</f>
        <v/>
      </c>
    </row>
    <row r="1328" spans="9:12">
      <c r="I1328" s="5">
        <f>IF(OR(A1328="",B1328=""),"",B1328-WEEKDAY(B1328,2)+1)</f>
        <v/>
      </c>
      <c r="J1328" s="5">
        <f>IF(I1328="","",I1328+6)</f>
        <v/>
      </c>
      <c r="K1328" s="6">
        <f>IF(OR(A1328="",B1328=""),"",DATE(YEAR(B1328),MONTH(B1328),1))</f>
        <v/>
      </c>
      <c r="L1328" s="7">
        <f>IF(COUNTA(A1328,B1328)=0,"",IF(OR(A1328="",B1328=""),"Preencher CPF e entrada",IF(COUNTIFS($A$12:$A$5011,A1328,$B$12:$B$5011,B1328)&gt;1,"CPF + dia duplicado",IF(OR(AND(E1328&lt;&gt;"",E1328&lt;B1328),AND(F1328&lt;&gt;"",F1328&lt;B1328)),"Evento anterior à entrada",IF(AND(F1328&lt;&gt;"",E1328=""),"Conversa sem agendamento",IF(OR(E1328&gt;TODAY(),F1328&gt;TODAY()),"Verificar evento futuro","OK"))))))</f>
        <v/>
      </c>
    </row>
    <row r="1329" spans="9:12">
      <c r="I1329" s="5">
        <f>IF(OR(A1329="",B1329=""),"",B1329-WEEKDAY(B1329,2)+1)</f>
        <v/>
      </c>
      <c r="J1329" s="5">
        <f>IF(I1329="","",I1329+6)</f>
        <v/>
      </c>
      <c r="K1329" s="6">
        <f>IF(OR(A1329="",B1329=""),"",DATE(YEAR(B1329),MONTH(B1329),1))</f>
        <v/>
      </c>
      <c r="L1329" s="7">
        <f>IF(COUNTA(A1329,B1329)=0,"",IF(OR(A1329="",B1329=""),"Preencher CPF e entrada",IF(COUNTIFS($A$12:$A$5011,A1329,$B$12:$B$5011,B1329)&gt;1,"CPF + dia duplicado",IF(OR(AND(E1329&lt;&gt;"",E1329&lt;B1329),AND(F1329&lt;&gt;"",F1329&lt;B1329)),"Evento anterior à entrada",IF(AND(F1329&lt;&gt;"",E1329=""),"Conversa sem agendamento",IF(OR(E1329&gt;TODAY(),F1329&gt;TODAY()),"Verificar evento futuro","OK"))))))</f>
        <v/>
      </c>
    </row>
    <row r="1330" spans="9:12">
      <c r="I1330" s="5">
        <f>IF(OR(A1330="",B1330=""),"",B1330-WEEKDAY(B1330,2)+1)</f>
        <v/>
      </c>
      <c r="J1330" s="5">
        <f>IF(I1330="","",I1330+6)</f>
        <v/>
      </c>
      <c r="K1330" s="6">
        <f>IF(OR(A1330="",B1330=""),"",DATE(YEAR(B1330),MONTH(B1330),1))</f>
        <v/>
      </c>
      <c r="L1330" s="7">
        <f>IF(COUNTA(A1330,B1330)=0,"",IF(OR(A1330="",B1330=""),"Preencher CPF e entrada",IF(COUNTIFS($A$12:$A$5011,A1330,$B$12:$B$5011,B1330)&gt;1,"CPF + dia duplicado",IF(OR(AND(E1330&lt;&gt;"",E1330&lt;B1330),AND(F1330&lt;&gt;"",F1330&lt;B1330)),"Evento anterior à entrada",IF(AND(F1330&lt;&gt;"",E1330=""),"Conversa sem agendamento",IF(OR(E1330&gt;TODAY(),F1330&gt;TODAY()),"Verificar evento futuro","OK"))))))</f>
        <v/>
      </c>
    </row>
    <row r="1331" spans="9:12">
      <c r="I1331" s="5">
        <f>IF(OR(A1331="",B1331=""),"",B1331-WEEKDAY(B1331,2)+1)</f>
        <v/>
      </c>
      <c r="J1331" s="5">
        <f>IF(I1331="","",I1331+6)</f>
        <v/>
      </c>
      <c r="K1331" s="6">
        <f>IF(OR(A1331="",B1331=""),"",DATE(YEAR(B1331),MONTH(B1331),1))</f>
        <v/>
      </c>
      <c r="L1331" s="7">
        <f>IF(COUNTA(A1331,B1331)=0,"",IF(OR(A1331="",B1331=""),"Preencher CPF e entrada",IF(COUNTIFS($A$12:$A$5011,A1331,$B$12:$B$5011,B1331)&gt;1,"CPF + dia duplicado",IF(OR(AND(E1331&lt;&gt;"",E1331&lt;B1331),AND(F1331&lt;&gt;"",F1331&lt;B1331)),"Evento anterior à entrada",IF(AND(F1331&lt;&gt;"",E1331=""),"Conversa sem agendamento",IF(OR(E1331&gt;TODAY(),F1331&gt;TODAY()),"Verificar evento futuro","OK"))))))</f>
        <v/>
      </c>
    </row>
    <row r="1332" spans="9:12">
      <c r="I1332" s="5">
        <f>IF(OR(A1332="",B1332=""),"",B1332-WEEKDAY(B1332,2)+1)</f>
        <v/>
      </c>
      <c r="J1332" s="5">
        <f>IF(I1332="","",I1332+6)</f>
        <v/>
      </c>
      <c r="K1332" s="6">
        <f>IF(OR(A1332="",B1332=""),"",DATE(YEAR(B1332),MONTH(B1332),1))</f>
        <v/>
      </c>
      <c r="L1332" s="7">
        <f>IF(COUNTA(A1332,B1332)=0,"",IF(OR(A1332="",B1332=""),"Preencher CPF e entrada",IF(COUNTIFS($A$12:$A$5011,A1332,$B$12:$B$5011,B1332)&gt;1,"CPF + dia duplicado",IF(OR(AND(E1332&lt;&gt;"",E1332&lt;B1332),AND(F1332&lt;&gt;"",F1332&lt;B1332)),"Evento anterior à entrada",IF(AND(F1332&lt;&gt;"",E1332=""),"Conversa sem agendamento",IF(OR(E1332&gt;TODAY(),F1332&gt;TODAY()),"Verificar evento futuro","OK"))))))</f>
        <v/>
      </c>
    </row>
    <row r="1333" spans="9:12">
      <c r="I1333" s="5">
        <f>IF(OR(A1333="",B1333=""),"",B1333-WEEKDAY(B1333,2)+1)</f>
        <v/>
      </c>
      <c r="J1333" s="5">
        <f>IF(I1333="","",I1333+6)</f>
        <v/>
      </c>
      <c r="K1333" s="6">
        <f>IF(OR(A1333="",B1333=""),"",DATE(YEAR(B1333),MONTH(B1333),1))</f>
        <v/>
      </c>
      <c r="L1333" s="7">
        <f>IF(COUNTA(A1333,B1333)=0,"",IF(OR(A1333="",B1333=""),"Preencher CPF e entrada",IF(COUNTIFS($A$12:$A$5011,A1333,$B$12:$B$5011,B1333)&gt;1,"CPF + dia duplicado",IF(OR(AND(E1333&lt;&gt;"",E1333&lt;B1333),AND(F1333&lt;&gt;"",F1333&lt;B1333)),"Evento anterior à entrada",IF(AND(F1333&lt;&gt;"",E1333=""),"Conversa sem agendamento",IF(OR(E1333&gt;TODAY(),F1333&gt;TODAY()),"Verificar evento futuro","OK"))))))</f>
        <v/>
      </c>
    </row>
    <row r="1334" spans="9:12">
      <c r="I1334" s="5">
        <f>IF(OR(A1334="",B1334=""),"",B1334-WEEKDAY(B1334,2)+1)</f>
        <v/>
      </c>
      <c r="J1334" s="5">
        <f>IF(I1334="","",I1334+6)</f>
        <v/>
      </c>
      <c r="K1334" s="6">
        <f>IF(OR(A1334="",B1334=""),"",DATE(YEAR(B1334),MONTH(B1334),1))</f>
        <v/>
      </c>
      <c r="L1334" s="7">
        <f>IF(COUNTA(A1334,B1334)=0,"",IF(OR(A1334="",B1334=""),"Preencher CPF e entrada",IF(COUNTIFS($A$12:$A$5011,A1334,$B$12:$B$5011,B1334)&gt;1,"CPF + dia duplicado",IF(OR(AND(E1334&lt;&gt;"",E1334&lt;B1334),AND(F1334&lt;&gt;"",F1334&lt;B1334)),"Evento anterior à entrada",IF(AND(F1334&lt;&gt;"",E1334=""),"Conversa sem agendamento",IF(OR(E1334&gt;TODAY(),F1334&gt;TODAY()),"Verificar evento futuro","OK"))))))</f>
        <v/>
      </c>
    </row>
    <row r="1335" spans="9:12">
      <c r="I1335" s="5">
        <f>IF(OR(A1335="",B1335=""),"",B1335-WEEKDAY(B1335,2)+1)</f>
        <v/>
      </c>
      <c r="J1335" s="5">
        <f>IF(I1335="","",I1335+6)</f>
        <v/>
      </c>
      <c r="K1335" s="6">
        <f>IF(OR(A1335="",B1335=""),"",DATE(YEAR(B1335),MONTH(B1335),1))</f>
        <v/>
      </c>
      <c r="L1335" s="7">
        <f>IF(COUNTA(A1335,B1335)=0,"",IF(OR(A1335="",B1335=""),"Preencher CPF e entrada",IF(COUNTIFS($A$12:$A$5011,A1335,$B$12:$B$5011,B1335)&gt;1,"CPF + dia duplicado",IF(OR(AND(E1335&lt;&gt;"",E1335&lt;B1335),AND(F1335&lt;&gt;"",F1335&lt;B1335)),"Evento anterior à entrada",IF(AND(F1335&lt;&gt;"",E1335=""),"Conversa sem agendamento",IF(OR(E1335&gt;TODAY(),F1335&gt;TODAY()),"Verificar evento futuro","OK"))))))</f>
        <v/>
      </c>
    </row>
    <row r="1336" spans="9:12">
      <c r="I1336" s="5">
        <f>IF(OR(A1336="",B1336=""),"",B1336-WEEKDAY(B1336,2)+1)</f>
        <v/>
      </c>
      <c r="J1336" s="5">
        <f>IF(I1336="","",I1336+6)</f>
        <v/>
      </c>
      <c r="K1336" s="6">
        <f>IF(OR(A1336="",B1336=""),"",DATE(YEAR(B1336),MONTH(B1336),1))</f>
        <v/>
      </c>
      <c r="L1336" s="7">
        <f>IF(COUNTA(A1336,B1336)=0,"",IF(OR(A1336="",B1336=""),"Preencher CPF e entrada",IF(COUNTIFS($A$12:$A$5011,A1336,$B$12:$B$5011,B1336)&gt;1,"CPF + dia duplicado",IF(OR(AND(E1336&lt;&gt;"",E1336&lt;B1336),AND(F1336&lt;&gt;"",F1336&lt;B1336)),"Evento anterior à entrada",IF(AND(F1336&lt;&gt;"",E1336=""),"Conversa sem agendamento",IF(OR(E1336&gt;TODAY(),F1336&gt;TODAY()),"Verificar evento futuro","OK"))))))</f>
        <v/>
      </c>
    </row>
    <row r="1337" spans="9:12">
      <c r="I1337" s="5">
        <f>IF(OR(A1337="",B1337=""),"",B1337-WEEKDAY(B1337,2)+1)</f>
        <v/>
      </c>
      <c r="J1337" s="5">
        <f>IF(I1337="","",I1337+6)</f>
        <v/>
      </c>
      <c r="K1337" s="6">
        <f>IF(OR(A1337="",B1337=""),"",DATE(YEAR(B1337),MONTH(B1337),1))</f>
        <v/>
      </c>
      <c r="L1337" s="7">
        <f>IF(COUNTA(A1337,B1337)=0,"",IF(OR(A1337="",B1337=""),"Preencher CPF e entrada",IF(COUNTIFS($A$12:$A$5011,A1337,$B$12:$B$5011,B1337)&gt;1,"CPF + dia duplicado",IF(OR(AND(E1337&lt;&gt;"",E1337&lt;B1337),AND(F1337&lt;&gt;"",F1337&lt;B1337)),"Evento anterior à entrada",IF(AND(F1337&lt;&gt;"",E1337=""),"Conversa sem agendamento",IF(OR(E1337&gt;TODAY(),F1337&gt;TODAY()),"Verificar evento futuro","OK"))))))</f>
        <v/>
      </c>
    </row>
    <row r="1338" spans="9:12">
      <c r="I1338" s="5">
        <f>IF(OR(A1338="",B1338=""),"",B1338-WEEKDAY(B1338,2)+1)</f>
        <v/>
      </c>
      <c r="J1338" s="5">
        <f>IF(I1338="","",I1338+6)</f>
        <v/>
      </c>
      <c r="K1338" s="6">
        <f>IF(OR(A1338="",B1338=""),"",DATE(YEAR(B1338),MONTH(B1338),1))</f>
        <v/>
      </c>
      <c r="L1338" s="7">
        <f>IF(COUNTA(A1338,B1338)=0,"",IF(OR(A1338="",B1338=""),"Preencher CPF e entrada",IF(COUNTIFS($A$12:$A$5011,A1338,$B$12:$B$5011,B1338)&gt;1,"CPF + dia duplicado",IF(OR(AND(E1338&lt;&gt;"",E1338&lt;B1338),AND(F1338&lt;&gt;"",F1338&lt;B1338)),"Evento anterior à entrada",IF(AND(F1338&lt;&gt;"",E1338=""),"Conversa sem agendamento",IF(OR(E1338&gt;TODAY(),F1338&gt;TODAY()),"Verificar evento futuro","OK"))))))</f>
        <v/>
      </c>
    </row>
    <row r="1339" spans="9:12">
      <c r="I1339" s="5">
        <f>IF(OR(A1339="",B1339=""),"",B1339-WEEKDAY(B1339,2)+1)</f>
        <v/>
      </c>
      <c r="J1339" s="5">
        <f>IF(I1339="","",I1339+6)</f>
        <v/>
      </c>
      <c r="K1339" s="6">
        <f>IF(OR(A1339="",B1339=""),"",DATE(YEAR(B1339),MONTH(B1339),1))</f>
        <v/>
      </c>
      <c r="L1339" s="7">
        <f>IF(COUNTA(A1339,B1339)=0,"",IF(OR(A1339="",B1339=""),"Preencher CPF e entrada",IF(COUNTIFS($A$12:$A$5011,A1339,$B$12:$B$5011,B1339)&gt;1,"CPF + dia duplicado",IF(OR(AND(E1339&lt;&gt;"",E1339&lt;B1339),AND(F1339&lt;&gt;"",F1339&lt;B1339)),"Evento anterior à entrada",IF(AND(F1339&lt;&gt;"",E1339=""),"Conversa sem agendamento",IF(OR(E1339&gt;TODAY(),F1339&gt;TODAY()),"Verificar evento futuro","OK"))))))</f>
        <v/>
      </c>
    </row>
    <row r="1340" spans="9:12">
      <c r="I1340" s="5">
        <f>IF(OR(A1340="",B1340=""),"",B1340-WEEKDAY(B1340,2)+1)</f>
        <v/>
      </c>
      <c r="J1340" s="5">
        <f>IF(I1340="","",I1340+6)</f>
        <v/>
      </c>
      <c r="K1340" s="6">
        <f>IF(OR(A1340="",B1340=""),"",DATE(YEAR(B1340),MONTH(B1340),1))</f>
        <v/>
      </c>
      <c r="L1340" s="7">
        <f>IF(COUNTA(A1340,B1340)=0,"",IF(OR(A1340="",B1340=""),"Preencher CPF e entrada",IF(COUNTIFS($A$12:$A$5011,A1340,$B$12:$B$5011,B1340)&gt;1,"CPF + dia duplicado",IF(OR(AND(E1340&lt;&gt;"",E1340&lt;B1340),AND(F1340&lt;&gt;"",F1340&lt;B1340)),"Evento anterior à entrada",IF(AND(F1340&lt;&gt;"",E1340=""),"Conversa sem agendamento",IF(OR(E1340&gt;TODAY(),F1340&gt;TODAY()),"Verificar evento futuro","OK"))))))</f>
        <v/>
      </c>
    </row>
    <row r="1341" spans="9:12">
      <c r="I1341" s="5">
        <f>IF(OR(A1341="",B1341=""),"",B1341-WEEKDAY(B1341,2)+1)</f>
        <v/>
      </c>
      <c r="J1341" s="5">
        <f>IF(I1341="","",I1341+6)</f>
        <v/>
      </c>
      <c r="K1341" s="6">
        <f>IF(OR(A1341="",B1341=""),"",DATE(YEAR(B1341),MONTH(B1341),1))</f>
        <v/>
      </c>
      <c r="L1341" s="7">
        <f>IF(COUNTA(A1341,B1341)=0,"",IF(OR(A1341="",B1341=""),"Preencher CPF e entrada",IF(COUNTIFS($A$12:$A$5011,A1341,$B$12:$B$5011,B1341)&gt;1,"CPF + dia duplicado",IF(OR(AND(E1341&lt;&gt;"",E1341&lt;B1341),AND(F1341&lt;&gt;"",F1341&lt;B1341)),"Evento anterior à entrada",IF(AND(F1341&lt;&gt;"",E1341=""),"Conversa sem agendamento",IF(OR(E1341&gt;TODAY(),F1341&gt;TODAY()),"Verificar evento futuro","OK"))))))</f>
        <v/>
      </c>
    </row>
    <row r="1342" spans="9:12">
      <c r="I1342" s="5">
        <f>IF(OR(A1342="",B1342=""),"",B1342-WEEKDAY(B1342,2)+1)</f>
        <v/>
      </c>
      <c r="J1342" s="5">
        <f>IF(I1342="","",I1342+6)</f>
        <v/>
      </c>
      <c r="K1342" s="6">
        <f>IF(OR(A1342="",B1342=""),"",DATE(YEAR(B1342),MONTH(B1342),1))</f>
        <v/>
      </c>
      <c r="L1342" s="7">
        <f>IF(COUNTA(A1342,B1342)=0,"",IF(OR(A1342="",B1342=""),"Preencher CPF e entrada",IF(COUNTIFS($A$12:$A$5011,A1342,$B$12:$B$5011,B1342)&gt;1,"CPF + dia duplicado",IF(OR(AND(E1342&lt;&gt;"",E1342&lt;B1342),AND(F1342&lt;&gt;"",F1342&lt;B1342)),"Evento anterior à entrada",IF(AND(F1342&lt;&gt;"",E1342=""),"Conversa sem agendamento",IF(OR(E1342&gt;TODAY(),F1342&gt;TODAY()),"Verificar evento futuro","OK"))))))</f>
        <v/>
      </c>
    </row>
    <row r="1343" spans="9:12">
      <c r="I1343" s="5">
        <f>IF(OR(A1343="",B1343=""),"",B1343-WEEKDAY(B1343,2)+1)</f>
        <v/>
      </c>
      <c r="J1343" s="5">
        <f>IF(I1343="","",I1343+6)</f>
        <v/>
      </c>
      <c r="K1343" s="6">
        <f>IF(OR(A1343="",B1343=""),"",DATE(YEAR(B1343),MONTH(B1343),1))</f>
        <v/>
      </c>
      <c r="L1343" s="7">
        <f>IF(COUNTA(A1343,B1343)=0,"",IF(OR(A1343="",B1343=""),"Preencher CPF e entrada",IF(COUNTIFS($A$12:$A$5011,A1343,$B$12:$B$5011,B1343)&gt;1,"CPF + dia duplicado",IF(OR(AND(E1343&lt;&gt;"",E1343&lt;B1343),AND(F1343&lt;&gt;"",F1343&lt;B1343)),"Evento anterior à entrada",IF(AND(F1343&lt;&gt;"",E1343=""),"Conversa sem agendamento",IF(OR(E1343&gt;TODAY(),F1343&gt;TODAY()),"Verificar evento futuro","OK"))))))</f>
        <v/>
      </c>
    </row>
    <row r="1344" spans="9:12">
      <c r="I1344" s="5">
        <f>IF(OR(A1344="",B1344=""),"",B1344-WEEKDAY(B1344,2)+1)</f>
        <v/>
      </c>
      <c r="J1344" s="5">
        <f>IF(I1344="","",I1344+6)</f>
        <v/>
      </c>
      <c r="K1344" s="6">
        <f>IF(OR(A1344="",B1344=""),"",DATE(YEAR(B1344),MONTH(B1344),1))</f>
        <v/>
      </c>
      <c r="L1344" s="7">
        <f>IF(COUNTA(A1344,B1344)=0,"",IF(OR(A1344="",B1344=""),"Preencher CPF e entrada",IF(COUNTIFS($A$12:$A$5011,A1344,$B$12:$B$5011,B1344)&gt;1,"CPF + dia duplicado",IF(OR(AND(E1344&lt;&gt;"",E1344&lt;B1344),AND(F1344&lt;&gt;"",F1344&lt;B1344)),"Evento anterior à entrada",IF(AND(F1344&lt;&gt;"",E1344=""),"Conversa sem agendamento",IF(OR(E1344&gt;TODAY(),F1344&gt;TODAY()),"Verificar evento futuro","OK"))))))</f>
        <v/>
      </c>
    </row>
    <row r="1345" spans="9:12">
      <c r="I1345" s="5">
        <f>IF(OR(A1345="",B1345=""),"",B1345-WEEKDAY(B1345,2)+1)</f>
        <v/>
      </c>
      <c r="J1345" s="5">
        <f>IF(I1345="","",I1345+6)</f>
        <v/>
      </c>
      <c r="K1345" s="6">
        <f>IF(OR(A1345="",B1345=""),"",DATE(YEAR(B1345),MONTH(B1345),1))</f>
        <v/>
      </c>
      <c r="L1345" s="7">
        <f>IF(COUNTA(A1345,B1345)=0,"",IF(OR(A1345="",B1345=""),"Preencher CPF e entrada",IF(COUNTIFS($A$12:$A$5011,A1345,$B$12:$B$5011,B1345)&gt;1,"CPF + dia duplicado",IF(OR(AND(E1345&lt;&gt;"",E1345&lt;B1345),AND(F1345&lt;&gt;"",F1345&lt;B1345)),"Evento anterior à entrada",IF(AND(F1345&lt;&gt;"",E1345=""),"Conversa sem agendamento",IF(OR(E1345&gt;TODAY(),F1345&gt;TODAY()),"Verificar evento futuro","OK"))))))</f>
        <v/>
      </c>
    </row>
    <row r="1346" spans="9:12">
      <c r="I1346" s="5">
        <f>IF(OR(A1346="",B1346=""),"",B1346-WEEKDAY(B1346,2)+1)</f>
        <v/>
      </c>
      <c r="J1346" s="5">
        <f>IF(I1346="","",I1346+6)</f>
        <v/>
      </c>
      <c r="K1346" s="6">
        <f>IF(OR(A1346="",B1346=""),"",DATE(YEAR(B1346),MONTH(B1346),1))</f>
        <v/>
      </c>
      <c r="L1346" s="7">
        <f>IF(COUNTA(A1346,B1346)=0,"",IF(OR(A1346="",B1346=""),"Preencher CPF e entrada",IF(COUNTIFS($A$12:$A$5011,A1346,$B$12:$B$5011,B1346)&gt;1,"CPF + dia duplicado",IF(OR(AND(E1346&lt;&gt;"",E1346&lt;B1346),AND(F1346&lt;&gt;"",F1346&lt;B1346)),"Evento anterior à entrada",IF(AND(F1346&lt;&gt;"",E1346=""),"Conversa sem agendamento",IF(OR(E1346&gt;TODAY(),F1346&gt;TODAY()),"Verificar evento futuro","OK"))))))</f>
        <v/>
      </c>
    </row>
    <row r="1347" spans="9:12">
      <c r="I1347" s="5">
        <f>IF(OR(A1347="",B1347=""),"",B1347-WEEKDAY(B1347,2)+1)</f>
        <v/>
      </c>
      <c r="J1347" s="5">
        <f>IF(I1347="","",I1347+6)</f>
        <v/>
      </c>
      <c r="K1347" s="6">
        <f>IF(OR(A1347="",B1347=""),"",DATE(YEAR(B1347),MONTH(B1347),1))</f>
        <v/>
      </c>
      <c r="L1347" s="7">
        <f>IF(COUNTA(A1347,B1347)=0,"",IF(OR(A1347="",B1347=""),"Preencher CPF e entrada",IF(COUNTIFS($A$12:$A$5011,A1347,$B$12:$B$5011,B1347)&gt;1,"CPF + dia duplicado",IF(OR(AND(E1347&lt;&gt;"",E1347&lt;B1347),AND(F1347&lt;&gt;"",F1347&lt;B1347)),"Evento anterior à entrada",IF(AND(F1347&lt;&gt;"",E1347=""),"Conversa sem agendamento",IF(OR(E1347&gt;TODAY(),F1347&gt;TODAY()),"Verificar evento futuro","OK"))))))</f>
        <v/>
      </c>
    </row>
    <row r="1348" spans="9:12">
      <c r="I1348" s="5">
        <f>IF(OR(A1348="",B1348=""),"",B1348-WEEKDAY(B1348,2)+1)</f>
        <v/>
      </c>
      <c r="J1348" s="5">
        <f>IF(I1348="","",I1348+6)</f>
        <v/>
      </c>
      <c r="K1348" s="6">
        <f>IF(OR(A1348="",B1348=""),"",DATE(YEAR(B1348),MONTH(B1348),1))</f>
        <v/>
      </c>
      <c r="L1348" s="7">
        <f>IF(COUNTA(A1348,B1348)=0,"",IF(OR(A1348="",B1348=""),"Preencher CPF e entrada",IF(COUNTIFS($A$12:$A$5011,A1348,$B$12:$B$5011,B1348)&gt;1,"CPF + dia duplicado",IF(OR(AND(E1348&lt;&gt;"",E1348&lt;B1348),AND(F1348&lt;&gt;"",F1348&lt;B1348)),"Evento anterior à entrada",IF(AND(F1348&lt;&gt;"",E1348=""),"Conversa sem agendamento",IF(OR(E1348&gt;TODAY(),F1348&gt;TODAY()),"Verificar evento futuro","OK"))))))</f>
        <v/>
      </c>
    </row>
    <row r="1349" spans="9:12">
      <c r="I1349" s="5">
        <f>IF(OR(A1349="",B1349=""),"",B1349-WEEKDAY(B1349,2)+1)</f>
        <v/>
      </c>
      <c r="J1349" s="5">
        <f>IF(I1349="","",I1349+6)</f>
        <v/>
      </c>
      <c r="K1349" s="6">
        <f>IF(OR(A1349="",B1349=""),"",DATE(YEAR(B1349),MONTH(B1349),1))</f>
        <v/>
      </c>
      <c r="L1349" s="7">
        <f>IF(COUNTA(A1349,B1349)=0,"",IF(OR(A1349="",B1349=""),"Preencher CPF e entrada",IF(COUNTIFS($A$12:$A$5011,A1349,$B$12:$B$5011,B1349)&gt;1,"CPF + dia duplicado",IF(OR(AND(E1349&lt;&gt;"",E1349&lt;B1349),AND(F1349&lt;&gt;"",F1349&lt;B1349)),"Evento anterior à entrada",IF(AND(F1349&lt;&gt;"",E1349=""),"Conversa sem agendamento",IF(OR(E1349&gt;TODAY(),F1349&gt;TODAY()),"Verificar evento futuro","OK"))))))</f>
        <v/>
      </c>
    </row>
    <row r="1350" spans="9:12">
      <c r="I1350" s="5">
        <f>IF(OR(A1350="",B1350=""),"",B1350-WEEKDAY(B1350,2)+1)</f>
        <v/>
      </c>
      <c r="J1350" s="5">
        <f>IF(I1350="","",I1350+6)</f>
        <v/>
      </c>
      <c r="K1350" s="6">
        <f>IF(OR(A1350="",B1350=""),"",DATE(YEAR(B1350),MONTH(B1350),1))</f>
        <v/>
      </c>
      <c r="L1350" s="7">
        <f>IF(COUNTA(A1350,B1350)=0,"",IF(OR(A1350="",B1350=""),"Preencher CPF e entrada",IF(COUNTIFS($A$12:$A$5011,A1350,$B$12:$B$5011,B1350)&gt;1,"CPF + dia duplicado",IF(OR(AND(E1350&lt;&gt;"",E1350&lt;B1350),AND(F1350&lt;&gt;"",F1350&lt;B1350)),"Evento anterior à entrada",IF(AND(F1350&lt;&gt;"",E1350=""),"Conversa sem agendamento",IF(OR(E1350&gt;TODAY(),F1350&gt;TODAY()),"Verificar evento futuro","OK"))))))</f>
        <v/>
      </c>
    </row>
    <row r="1351" spans="9:12">
      <c r="I1351" s="5">
        <f>IF(OR(A1351="",B1351=""),"",B1351-WEEKDAY(B1351,2)+1)</f>
        <v/>
      </c>
      <c r="J1351" s="5">
        <f>IF(I1351="","",I1351+6)</f>
        <v/>
      </c>
      <c r="K1351" s="6">
        <f>IF(OR(A1351="",B1351=""),"",DATE(YEAR(B1351),MONTH(B1351),1))</f>
        <v/>
      </c>
      <c r="L1351" s="7">
        <f>IF(COUNTA(A1351,B1351)=0,"",IF(OR(A1351="",B1351=""),"Preencher CPF e entrada",IF(COUNTIFS($A$12:$A$5011,A1351,$B$12:$B$5011,B1351)&gt;1,"CPF + dia duplicado",IF(OR(AND(E1351&lt;&gt;"",E1351&lt;B1351),AND(F1351&lt;&gt;"",F1351&lt;B1351)),"Evento anterior à entrada",IF(AND(F1351&lt;&gt;"",E1351=""),"Conversa sem agendamento",IF(OR(E1351&gt;TODAY(),F1351&gt;TODAY()),"Verificar evento futuro","OK"))))))</f>
        <v/>
      </c>
    </row>
    <row r="1352" spans="9:12">
      <c r="I1352" s="5">
        <f>IF(OR(A1352="",B1352=""),"",B1352-WEEKDAY(B1352,2)+1)</f>
        <v/>
      </c>
      <c r="J1352" s="5">
        <f>IF(I1352="","",I1352+6)</f>
        <v/>
      </c>
      <c r="K1352" s="6">
        <f>IF(OR(A1352="",B1352=""),"",DATE(YEAR(B1352),MONTH(B1352),1))</f>
        <v/>
      </c>
      <c r="L1352" s="7">
        <f>IF(COUNTA(A1352,B1352)=0,"",IF(OR(A1352="",B1352=""),"Preencher CPF e entrada",IF(COUNTIFS($A$12:$A$5011,A1352,$B$12:$B$5011,B1352)&gt;1,"CPF + dia duplicado",IF(OR(AND(E1352&lt;&gt;"",E1352&lt;B1352),AND(F1352&lt;&gt;"",F1352&lt;B1352)),"Evento anterior à entrada",IF(AND(F1352&lt;&gt;"",E1352=""),"Conversa sem agendamento",IF(OR(E1352&gt;TODAY(),F1352&gt;TODAY()),"Verificar evento futuro","OK"))))))</f>
        <v/>
      </c>
    </row>
    <row r="1353" spans="9:12">
      <c r="I1353" s="5">
        <f>IF(OR(A1353="",B1353=""),"",B1353-WEEKDAY(B1353,2)+1)</f>
        <v/>
      </c>
      <c r="J1353" s="5">
        <f>IF(I1353="","",I1353+6)</f>
        <v/>
      </c>
      <c r="K1353" s="6">
        <f>IF(OR(A1353="",B1353=""),"",DATE(YEAR(B1353),MONTH(B1353),1))</f>
        <v/>
      </c>
      <c r="L1353" s="7">
        <f>IF(COUNTA(A1353,B1353)=0,"",IF(OR(A1353="",B1353=""),"Preencher CPF e entrada",IF(COUNTIFS($A$12:$A$5011,A1353,$B$12:$B$5011,B1353)&gt;1,"CPF + dia duplicado",IF(OR(AND(E1353&lt;&gt;"",E1353&lt;B1353),AND(F1353&lt;&gt;"",F1353&lt;B1353)),"Evento anterior à entrada",IF(AND(F1353&lt;&gt;"",E1353=""),"Conversa sem agendamento",IF(OR(E1353&gt;TODAY(),F1353&gt;TODAY()),"Verificar evento futuro","OK"))))))</f>
        <v/>
      </c>
    </row>
    <row r="1354" spans="9:12">
      <c r="I1354" s="5">
        <f>IF(OR(A1354="",B1354=""),"",B1354-WEEKDAY(B1354,2)+1)</f>
        <v/>
      </c>
      <c r="J1354" s="5">
        <f>IF(I1354="","",I1354+6)</f>
        <v/>
      </c>
      <c r="K1354" s="6">
        <f>IF(OR(A1354="",B1354=""),"",DATE(YEAR(B1354),MONTH(B1354),1))</f>
        <v/>
      </c>
      <c r="L1354" s="7">
        <f>IF(COUNTA(A1354,B1354)=0,"",IF(OR(A1354="",B1354=""),"Preencher CPF e entrada",IF(COUNTIFS($A$12:$A$5011,A1354,$B$12:$B$5011,B1354)&gt;1,"CPF + dia duplicado",IF(OR(AND(E1354&lt;&gt;"",E1354&lt;B1354),AND(F1354&lt;&gt;"",F1354&lt;B1354)),"Evento anterior à entrada",IF(AND(F1354&lt;&gt;"",E1354=""),"Conversa sem agendamento",IF(OR(E1354&gt;TODAY(),F1354&gt;TODAY()),"Verificar evento futuro","OK"))))))</f>
        <v/>
      </c>
    </row>
    <row r="1355" spans="9:12">
      <c r="I1355" s="5">
        <f>IF(OR(A1355="",B1355=""),"",B1355-WEEKDAY(B1355,2)+1)</f>
        <v/>
      </c>
      <c r="J1355" s="5">
        <f>IF(I1355="","",I1355+6)</f>
        <v/>
      </c>
      <c r="K1355" s="6">
        <f>IF(OR(A1355="",B1355=""),"",DATE(YEAR(B1355),MONTH(B1355),1))</f>
        <v/>
      </c>
      <c r="L1355" s="7">
        <f>IF(COUNTA(A1355,B1355)=0,"",IF(OR(A1355="",B1355=""),"Preencher CPF e entrada",IF(COUNTIFS($A$12:$A$5011,A1355,$B$12:$B$5011,B1355)&gt;1,"CPF + dia duplicado",IF(OR(AND(E1355&lt;&gt;"",E1355&lt;B1355),AND(F1355&lt;&gt;"",F1355&lt;B1355)),"Evento anterior à entrada",IF(AND(F1355&lt;&gt;"",E1355=""),"Conversa sem agendamento",IF(OR(E1355&gt;TODAY(),F1355&gt;TODAY()),"Verificar evento futuro","OK"))))))</f>
        <v/>
      </c>
    </row>
    <row r="1356" spans="9:12">
      <c r="I1356" s="5">
        <f>IF(OR(A1356="",B1356=""),"",B1356-WEEKDAY(B1356,2)+1)</f>
        <v/>
      </c>
      <c r="J1356" s="5">
        <f>IF(I1356="","",I1356+6)</f>
        <v/>
      </c>
      <c r="K1356" s="6">
        <f>IF(OR(A1356="",B1356=""),"",DATE(YEAR(B1356),MONTH(B1356),1))</f>
        <v/>
      </c>
      <c r="L1356" s="7">
        <f>IF(COUNTA(A1356,B1356)=0,"",IF(OR(A1356="",B1356=""),"Preencher CPF e entrada",IF(COUNTIFS($A$12:$A$5011,A1356,$B$12:$B$5011,B1356)&gt;1,"CPF + dia duplicado",IF(OR(AND(E1356&lt;&gt;"",E1356&lt;B1356),AND(F1356&lt;&gt;"",F1356&lt;B1356)),"Evento anterior à entrada",IF(AND(F1356&lt;&gt;"",E1356=""),"Conversa sem agendamento",IF(OR(E1356&gt;TODAY(),F1356&gt;TODAY()),"Verificar evento futuro","OK"))))))</f>
        <v/>
      </c>
    </row>
    <row r="1357" spans="9:12">
      <c r="I1357" s="5">
        <f>IF(OR(A1357="",B1357=""),"",B1357-WEEKDAY(B1357,2)+1)</f>
        <v/>
      </c>
      <c r="J1357" s="5">
        <f>IF(I1357="","",I1357+6)</f>
        <v/>
      </c>
      <c r="K1357" s="6">
        <f>IF(OR(A1357="",B1357=""),"",DATE(YEAR(B1357),MONTH(B1357),1))</f>
        <v/>
      </c>
      <c r="L1357" s="7">
        <f>IF(COUNTA(A1357,B1357)=0,"",IF(OR(A1357="",B1357=""),"Preencher CPF e entrada",IF(COUNTIFS($A$12:$A$5011,A1357,$B$12:$B$5011,B1357)&gt;1,"CPF + dia duplicado",IF(OR(AND(E1357&lt;&gt;"",E1357&lt;B1357),AND(F1357&lt;&gt;"",F1357&lt;B1357)),"Evento anterior à entrada",IF(AND(F1357&lt;&gt;"",E1357=""),"Conversa sem agendamento",IF(OR(E1357&gt;TODAY(),F1357&gt;TODAY()),"Verificar evento futuro","OK"))))))</f>
        <v/>
      </c>
    </row>
    <row r="1358" spans="9:12">
      <c r="I1358" s="5">
        <f>IF(OR(A1358="",B1358=""),"",B1358-WEEKDAY(B1358,2)+1)</f>
        <v/>
      </c>
      <c r="J1358" s="5">
        <f>IF(I1358="","",I1358+6)</f>
        <v/>
      </c>
      <c r="K1358" s="6">
        <f>IF(OR(A1358="",B1358=""),"",DATE(YEAR(B1358),MONTH(B1358),1))</f>
        <v/>
      </c>
      <c r="L1358" s="7">
        <f>IF(COUNTA(A1358,B1358)=0,"",IF(OR(A1358="",B1358=""),"Preencher CPF e entrada",IF(COUNTIFS($A$12:$A$5011,A1358,$B$12:$B$5011,B1358)&gt;1,"CPF + dia duplicado",IF(OR(AND(E1358&lt;&gt;"",E1358&lt;B1358),AND(F1358&lt;&gt;"",F1358&lt;B1358)),"Evento anterior à entrada",IF(AND(F1358&lt;&gt;"",E1358=""),"Conversa sem agendamento",IF(OR(E1358&gt;TODAY(),F1358&gt;TODAY()),"Verificar evento futuro","OK"))))))</f>
        <v/>
      </c>
    </row>
    <row r="1359" spans="9:12">
      <c r="I1359" s="5">
        <f>IF(OR(A1359="",B1359=""),"",B1359-WEEKDAY(B1359,2)+1)</f>
        <v/>
      </c>
      <c r="J1359" s="5">
        <f>IF(I1359="","",I1359+6)</f>
        <v/>
      </c>
      <c r="K1359" s="6">
        <f>IF(OR(A1359="",B1359=""),"",DATE(YEAR(B1359),MONTH(B1359),1))</f>
        <v/>
      </c>
      <c r="L1359" s="7">
        <f>IF(COUNTA(A1359,B1359)=0,"",IF(OR(A1359="",B1359=""),"Preencher CPF e entrada",IF(COUNTIFS($A$12:$A$5011,A1359,$B$12:$B$5011,B1359)&gt;1,"CPF + dia duplicado",IF(OR(AND(E1359&lt;&gt;"",E1359&lt;B1359),AND(F1359&lt;&gt;"",F1359&lt;B1359)),"Evento anterior à entrada",IF(AND(F1359&lt;&gt;"",E1359=""),"Conversa sem agendamento",IF(OR(E1359&gt;TODAY(),F1359&gt;TODAY()),"Verificar evento futuro","OK"))))))</f>
        <v/>
      </c>
    </row>
    <row r="1360" spans="9:12">
      <c r="I1360" s="5">
        <f>IF(OR(A1360="",B1360=""),"",B1360-WEEKDAY(B1360,2)+1)</f>
        <v/>
      </c>
      <c r="J1360" s="5">
        <f>IF(I1360="","",I1360+6)</f>
        <v/>
      </c>
      <c r="K1360" s="6">
        <f>IF(OR(A1360="",B1360=""),"",DATE(YEAR(B1360),MONTH(B1360),1))</f>
        <v/>
      </c>
      <c r="L1360" s="7">
        <f>IF(COUNTA(A1360,B1360)=0,"",IF(OR(A1360="",B1360=""),"Preencher CPF e entrada",IF(COUNTIFS($A$12:$A$5011,A1360,$B$12:$B$5011,B1360)&gt;1,"CPF + dia duplicado",IF(OR(AND(E1360&lt;&gt;"",E1360&lt;B1360),AND(F1360&lt;&gt;"",F1360&lt;B1360)),"Evento anterior à entrada",IF(AND(F1360&lt;&gt;"",E1360=""),"Conversa sem agendamento",IF(OR(E1360&gt;TODAY(),F1360&gt;TODAY()),"Verificar evento futuro","OK"))))))</f>
        <v/>
      </c>
    </row>
    <row r="1361" spans="9:12">
      <c r="I1361" s="5">
        <f>IF(OR(A1361="",B1361=""),"",B1361-WEEKDAY(B1361,2)+1)</f>
        <v/>
      </c>
      <c r="J1361" s="5">
        <f>IF(I1361="","",I1361+6)</f>
        <v/>
      </c>
      <c r="K1361" s="6">
        <f>IF(OR(A1361="",B1361=""),"",DATE(YEAR(B1361),MONTH(B1361),1))</f>
        <v/>
      </c>
      <c r="L1361" s="7">
        <f>IF(COUNTA(A1361,B1361)=0,"",IF(OR(A1361="",B1361=""),"Preencher CPF e entrada",IF(COUNTIFS($A$12:$A$5011,A1361,$B$12:$B$5011,B1361)&gt;1,"CPF + dia duplicado",IF(OR(AND(E1361&lt;&gt;"",E1361&lt;B1361),AND(F1361&lt;&gt;"",F1361&lt;B1361)),"Evento anterior à entrada",IF(AND(F1361&lt;&gt;"",E1361=""),"Conversa sem agendamento",IF(OR(E1361&gt;TODAY(),F1361&gt;TODAY()),"Verificar evento futuro","OK"))))))</f>
        <v/>
      </c>
    </row>
    <row r="1362" spans="9:12">
      <c r="I1362" s="5">
        <f>IF(OR(A1362="",B1362=""),"",B1362-WEEKDAY(B1362,2)+1)</f>
        <v/>
      </c>
      <c r="J1362" s="5">
        <f>IF(I1362="","",I1362+6)</f>
        <v/>
      </c>
      <c r="K1362" s="6">
        <f>IF(OR(A1362="",B1362=""),"",DATE(YEAR(B1362),MONTH(B1362),1))</f>
        <v/>
      </c>
      <c r="L1362" s="7">
        <f>IF(COUNTA(A1362,B1362)=0,"",IF(OR(A1362="",B1362=""),"Preencher CPF e entrada",IF(COUNTIFS($A$12:$A$5011,A1362,$B$12:$B$5011,B1362)&gt;1,"CPF + dia duplicado",IF(OR(AND(E1362&lt;&gt;"",E1362&lt;B1362),AND(F1362&lt;&gt;"",F1362&lt;B1362)),"Evento anterior à entrada",IF(AND(F1362&lt;&gt;"",E1362=""),"Conversa sem agendamento",IF(OR(E1362&gt;TODAY(),F1362&gt;TODAY()),"Verificar evento futuro","OK"))))))</f>
        <v/>
      </c>
    </row>
    <row r="1363" spans="9:12">
      <c r="I1363" s="5">
        <f>IF(OR(A1363="",B1363=""),"",B1363-WEEKDAY(B1363,2)+1)</f>
        <v/>
      </c>
      <c r="J1363" s="5">
        <f>IF(I1363="","",I1363+6)</f>
        <v/>
      </c>
      <c r="K1363" s="6">
        <f>IF(OR(A1363="",B1363=""),"",DATE(YEAR(B1363),MONTH(B1363),1))</f>
        <v/>
      </c>
      <c r="L1363" s="7">
        <f>IF(COUNTA(A1363,B1363)=0,"",IF(OR(A1363="",B1363=""),"Preencher CPF e entrada",IF(COUNTIFS($A$12:$A$5011,A1363,$B$12:$B$5011,B1363)&gt;1,"CPF + dia duplicado",IF(OR(AND(E1363&lt;&gt;"",E1363&lt;B1363),AND(F1363&lt;&gt;"",F1363&lt;B1363)),"Evento anterior à entrada",IF(AND(F1363&lt;&gt;"",E1363=""),"Conversa sem agendamento",IF(OR(E1363&gt;TODAY(),F1363&gt;TODAY()),"Verificar evento futuro","OK"))))))</f>
        <v/>
      </c>
    </row>
    <row r="1364" spans="9:12">
      <c r="I1364" s="5">
        <f>IF(OR(A1364="",B1364=""),"",B1364-WEEKDAY(B1364,2)+1)</f>
        <v/>
      </c>
      <c r="J1364" s="5">
        <f>IF(I1364="","",I1364+6)</f>
        <v/>
      </c>
      <c r="K1364" s="6">
        <f>IF(OR(A1364="",B1364=""),"",DATE(YEAR(B1364),MONTH(B1364),1))</f>
        <v/>
      </c>
      <c r="L1364" s="7">
        <f>IF(COUNTA(A1364,B1364)=0,"",IF(OR(A1364="",B1364=""),"Preencher CPF e entrada",IF(COUNTIFS($A$12:$A$5011,A1364,$B$12:$B$5011,B1364)&gt;1,"CPF + dia duplicado",IF(OR(AND(E1364&lt;&gt;"",E1364&lt;B1364),AND(F1364&lt;&gt;"",F1364&lt;B1364)),"Evento anterior à entrada",IF(AND(F1364&lt;&gt;"",E1364=""),"Conversa sem agendamento",IF(OR(E1364&gt;TODAY(),F1364&gt;TODAY()),"Verificar evento futuro","OK"))))))</f>
        <v/>
      </c>
    </row>
    <row r="1365" spans="9:12">
      <c r="I1365" s="5">
        <f>IF(OR(A1365="",B1365=""),"",B1365-WEEKDAY(B1365,2)+1)</f>
        <v/>
      </c>
      <c r="J1365" s="5">
        <f>IF(I1365="","",I1365+6)</f>
        <v/>
      </c>
      <c r="K1365" s="6">
        <f>IF(OR(A1365="",B1365=""),"",DATE(YEAR(B1365),MONTH(B1365),1))</f>
        <v/>
      </c>
      <c r="L1365" s="7">
        <f>IF(COUNTA(A1365,B1365)=0,"",IF(OR(A1365="",B1365=""),"Preencher CPF e entrada",IF(COUNTIFS($A$12:$A$5011,A1365,$B$12:$B$5011,B1365)&gt;1,"CPF + dia duplicado",IF(OR(AND(E1365&lt;&gt;"",E1365&lt;B1365),AND(F1365&lt;&gt;"",F1365&lt;B1365)),"Evento anterior à entrada",IF(AND(F1365&lt;&gt;"",E1365=""),"Conversa sem agendamento",IF(OR(E1365&gt;TODAY(),F1365&gt;TODAY()),"Verificar evento futuro","OK"))))))</f>
        <v/>
      </c>
    </row>
    <row r="1366" spans="9:12">
      <c r="I1366" s="5">
        <f>IF(OR(A1366="",B1366=""),"",B1366-WEEKDAY(B1366,2)+1)</f>
        <v/>
      </c>
      <c r="J1366" s="5">
        <f>IF(I1366="","",I1366+6)</f>
        <v/>
      </c>
      <c r="K1366" s="6">
        <f>IF(OR(A1366="",B1366=""),"",DATE(YEAR(B1366),MONTH(B1366),1))</f>
        <v/>
      </c>
      <c r="L1366" s="7">
        <f>IF(COUNTA(A1366,B1366)=0,"",IF(OR(A1366="",B1366=""),"Preencher CPF e entrada",IF(COUNTIFS($A$12:$A$5011,A1366,$B$12:$B$5011,B1366)&gt;1,"CPF + dia duplicado",IF(OR(AND(E1366&lt;&gt;"",E1366&lt;B1366),AND(F1366&lt;&gt;"",F1366&lt;B1366)),"Evento anterior à entrada",IF(AND(F1366&lt;&gt;"",E1366=""),"Conversa sem agendamento",IF(OR(E1366&gt;TODAY(),F1366&gt;TODAY()),"Verificar evento futuro","OK"))))))</f>
        <v/>
      </c>
    </row>
    <row r="1367" spans="9:12">
      <c r="I1367" s="5">
        <f>IF(OR(A1367="",B1367=""),"",B1367-WEEKDAY(B1367,2)+1)</f>
        <v/>
      </c>
      <c r="J1367" s="5">
        <f>IF(I1367="","",I1367+6)</f>
        <v/>
      </c>
      <c r="K1367" s="6">
        <f>IF(OR(A1367="",B1367=""),"",DATE(YEAR(B1367),MONTH(B1367),1))</f>
        <v/>
      </c>
      <c r="L1367" s="7">
        <f>IF(COUNTA(A1367,B1367)=0,"",IF(OR(A1367="",B1367=""),"Preencher CPF e entrada",IF(COUNTIFS($A$12:$A$5011,A1367,$B$12:$B$5011,B1367)&gt;1,"CPF + dia duplicado",IF(OR(AND(E1367&lt;&gt;"",E1367&lt;B1367),AND(F1367&lt;&gt;"",F1367&lt;B1367)),"Evento anterior à entrada",IF(AND(F1367&lt;&gt;"",E1367=""),"Conversa sem agendamento",IF(OR(E1367&gt;TODAY(),F1367&gt;TODAY()),"Verificar evento futuro","OK"))))))</f>
        <v/>
      </c>
    </row>
    <row r="1368" spans="9:12">
      <c r="I1368" s="5">
        <f>IF(OR(A1368="",B1368=""),"",B1368-WEEKDAY(B1368,2)+1)</f>
        <v/>
      </c>
      <c r="J1368" s="5">
        <f>IF(I1368="","",I1368+6)</f>
        <v/>
      </c>
      <c r="K1368" s="6">
        <f>IF(OR(A1368="",B1368=""),"",DATE(YEAR(B1368),MONTH(B1368),1))</f>
        <v/>
      </c>
      <c r="L1368" s="7">
        <f>IF(COUNTA(A1368,B1368)=0,"",IF(OR(A1368="",B1368=""),"Preencher CPF e entrada",IF(COUNTIFS($A$12:$A$5011,A1368,$B$12:$B$5011,B1368)&gt;1,"CPF + dia duplicado",IF(OR(AND(E1368&lt;&gt;"",E1368&lt;B1368),AND(F1368&lt;&gt;"",F1368&lt;B1368)),"Evento anterior à entrada",IF(AND(F1368&lt;&gt;"",E1368=""),"Conversa sem agendamento",IF(OR(E1368&gt;TODAY(),F1368&gt;TODAY()),"Verificar evento futuro","OK"))))))</f>
        <v/>
      </c>
    </row>
    <row r="1369" spans="9:12">
      <c r="I1369" s="5">
        <f>IF(OR(A1369="",B1369=""),"",B1369-WEEKDAY(B1369,2)+1)</f>
        <v/>
      </c>
      <c r="J1369" s="5">
        <f>IF(I1369="","",I1369+6)</f>
        <v/>
      </c>
      <c r="K1369" s="6">
        <f>IF(OR(A1369="",B1369=""),"",DATE(YEAR(B1369),MONTH(B1369),1))</f>
        <v/>
      </c>
      <c r="L1369" s="7">
        <f>IF(COUNTA(A1369,B1369)=0,"",IF(OR(A1369="",B1369=""),"Preencher CPF e entrada",IF(COUNTIFS($A$12:$A$5011,A1369,$B$12:$B$5011,B1369)&gt;1,"CPF + dia duplicado",IF(OR(AND(E1369&lt;&gt;"",E1369&lt;B1369),AND(F1369&lt;&gt;"",F1369&lt;B1369)),"Evento anterior à entrada",IF(AND(F1369&lt;&gt;"",E1369=""),"Conversa sem agendamento",IF(OR(E1369&gt;TODAY(),F1369&gt;TODAY()),"Verificar evento futuro","OK"))))))</f>
        <v/>
      </c>
    </row>
    <row r="1370" spans="9:12">
      <c r="I1370" s="5">
        <f>IF(OR(A1370="",B1370=""),"",B1370-WEEKDAY(B1370,2)+1)</f>
        <v/>
      </c>
      <c r="J1370" s="5">
        <f>IF(I1370="","",I1370+6)</f>
        <v/>
      </c>
      <c r="K1370" s="6">
        <f>IF(OR(A1370="",B1370=""),"",DATE(YEAR(B1370),MONTH(B1370),1))</f>
        <v/>
      </c>
      <c r="L1370" s="7">
        <f>IF(COUNTA(A1370,B1370)=0,"",IF(OR(A1370="",B1370=""),"Preencher CPF e entrada",IF(COUNTIFS($A$12:$A$5011,A1370,$B$12:$B$5011,B1370)&gt;1,"CPF + dia duplicado",IF(OR(AND(E1370&lt;&gt;"",E1370&lt;B1370),AND(F1370&lt;&gt;"",F1370&lt;B1370)),"Evento anterior à entrada",IF(AND(F1370&lt;&gt;"",E1370=""),"Conversa sem agendamento",IF(OR(E1370&gt;TODAY(),F1370&gt;TODAY()),"Verificar evento futuro","OK"))))))</f>
        <v/>
      </c>
    </row>
    <row r="1371" spans="9:12">
      <c r="I1371" s="5">
        <f>IF(OR(A1371="",B1371=""),"",B1371-WEEKDAY(B1371,2)+1)</f>
        <v/>
      </c>
      <c r="J1371" s="5">
        <f>IF(I1371="","",I1371+6)</f>
        <v/>
      </c>
      <c r="K1371" s="6">
        <f>IF(OR(A1371="",B1371=""),"",DATE(YEAR(B1371),MONTH(B1371),1))</f>
        <v/>
      </c>
      <c r="L1371" s="7">
        <f>IF(COUNTA(A1371,B1371)=0,"",IF(OR(A1371="",B1371=""),"Preencher CPF e entrada",IF(COUNTIFS($A$12:$A$5011,A1371,$B$12:$B$5011,B1371)&gt;1,"CPF + dia duplicado",IF(OR(AND(E1371&lt;&gt;"",E1371&lt;B1371),AND(F1371&lt;&gt;"",F1371&lt;B1371)),"Evento anterior à entrada",IF(AND(F1371&lt;&gt;"",E1371=""),"Conversa sem agendamento",IF(OR(E1371&gt;TODAY(),F1371&gt;TODAY()),"Verificar evento futuro","OK"))))))</f>
        <v/>
      </c>
    </row>
    <row r="1372" spans="9:12">
      <c r="I1372" s="5">
        <f>IF(OR(A1372="",B1372=""),"",B1372-WEEKDAY(B1372,2)+1)</f>
        <v/>
      </c>
      <c r="J1372" s="5">
        <f>IF(I1372="","",I1372+6)</f>
        <v/>
      </c>
      <c r="K1372" s="6">
        <f>IF(OR(A1372="",B1372=""),"",DATE(YEAR(B1372),MONTH(B1372),1))</f>
        <v/>
      </c>
      <c r="L1372" s="7">
        <f>IF(COUNTA(A1372,B1372)=0,"",IF(OR(A1372="",B1372=""),"Preencher CPF e entrada",IF(COUNTIFS($A$12:$A$5011,A1372,$B$12:$B$5011,B1372)&gt;1,"CPF + dia duplicado",IF(OR(AND(E1372&lt;&gt;"",E1372&lt;B1372),AND(F1372&lt;&gt;"",F1372&lt;B1372)),"Evento anterior à entrada",IF(AND(F1372&lt;&gt;"",E1372=""),"Conversa sem agendamento",IF(OR(E1372&gt;TODAY(),F1372&gt;TODAY()),"Verificar evento futuro","OK"))))))</f>
        <v/>
      </c>
    </row>
    <row r="1373" spans="9:12">
      <c r="I1373" s="5">
        <f>IF(OR(A1373="",B1373=""),"",B1373-WEEKDAY(B1373,2)+1)</f>
        <v/>
      </c>
      <c r="J1373" s="5">
        <f>IF(I1373="","",I1373+6)</f>
        <v/>
      </c>
      <c r="K1373" s="6">
        <f>IF(OR(A1373="",B1373=""),"",DATE(YEAR(B1373),MONTH(B1373),1))</f>
        <v/>
      </c>
      <c r="L1373" s="7">
        <f>IF(COUNTA(A1373,B1373)=0,"",IF(OR(A1373="",B1373=""),"Preencher CPF e entrada",IF(COUNTIFS($A$12:$A$5011,A1373,$B$12:$B$5011,B1373)&gt;1,"CPF + dia duplicado",IF(OR(AND(E1373&lt;&gt;"",E1373&lt;B1373),AND(F1373&lt;&gt;"",F1373&lt;B1373)),"Evento anterior à entrada",IF(AND(F1373&lt;&gt;"",E1373=""),"Conversa sem agendamento",IF(OR(E1373&gt;TODAY(),F1373&gt;TODAY()),"Verificar evento futuro","OK"))))))</f>
        <v/>
      </c>
    </row>
    <row r="1374" spans="9:12">
      <c r="I1374" s="5">
        <f>IF(OR(A1374="",B1374=""),"",B1374-WEEKDAY(B1374,2)+1)</f>
        <v/>
      </c>
      <c r="J1374" s="5">
        <f>IF(I1374="","",I1374+6)</f>
        <v/>
      </c>
      <c r="K1374" s="6">
        <f>IF(OR(A1374="",B1374=""),"",DATE(YEAR(B1374),MONTH(B1374),1))</f>
        <v/>
      </c>
      <c r="L1374" s="7">
        <f>IF(COUNTA(A1374,B1374)=0,"",IF(OR(A1374="",B1374=""),"Preencher CPF e entrada",IF(COUNTIFS($A$12:$A$5011,A1374,$B$12:$B$5011,B1374)&gt;1,"CPF + dia duplicado",IF(OR(AND(E1374&lt;&gt;"",E1374&lt;B1374),AND(F1374&lt;&gt;"",F1374&lt;B1374)),"Evento anterior à entrada",IF(AND(F1374&lt;&gt;"",E1374=""),"Conversa sem agendamento",IF(OR(E1374&gt;TODAY(),F1374&gt;TODAY()),"Verificar evento futuro","OK"))))))</f>
        <v/>
      </c>
    </row>
    <row r="1375" spans="9:12">
      <c r="I1375" s="5">
        <f>IF(OR(A1375="",B1375=""),"",B1375-WEEKDAY(B1375,2)+1)</f>
        <v/>
      </c>
      <c r="J1375" s="5">
        <f>IF(I1375="","",I1375+6)</f>
        <v/>
      </c>
      <c r="K1375" s="6">
        <f>IF(OR(A1375="",B1375=""),"",DATE(YEAR(B1375),MONTH(B1375),1))</f>
        <v/>
      </c>
      <c r="L1375" s="7">
        <f>IF(COUNTA(A1375,B1375)=0,"",IF(OR(A1375="",B1375=""),"Preencher CPF e entrada",IF(COUNTIFS($A$12:$A$5011,A1375,$B$12:$B$5011,B1375)&gt;1,"CPF + dia duplicado",IF(OR(AND(E1375&lt;&gt;"",E1375&lt;B1375),AND(F1375&lt;&gt;"",F1375&lt;B1375)),"Evento anterior à entrada",IF(AND(F1375&lt;&gt;"",E1375=""),"Conversa sem agendamento",IF(OR(E1375&gt;TODAY(),F1375&gt;TODAY()),"Verificar evento futuro","OK"))))))</f>
        <v/>
      </c>
    </row>
    <row r="1376" spans="9:12">
      <c r="I1376" s="5">
        <f>IF(OR(A1376="",B1376=""),"",B1376-WEEKDAY(B1376,2)+1)</f>
        <v/>
      </c>
      <c r="J1376" s="5">
        <f>IF(I1376="","",I1376+6)</f>
        <v/>
      </c>
      <c r="K1376" s="6">
        <f>IF(OR(A1376="",B1376=""),"",DATE(YEAR(B1376),MONTH(B1376),1))</f>
        <v/>
      </c>
      <c r="L1376" s="7">
        <f>IF(COUNTA(A1376,B1376)=0,"",IF(OR(A1376="",B1376=""),"Preencher CPF e entrada",IF(COUNTIFS($A$12:$A$5011,A1376,$B$12:$B$5011,B1376)&gt;1,"CPF + dia duplicado",IF(OR(AND(E1376&lt;&gt;"",E1376&lt;B1376),AND(F1376&lt;&gt;"",F1376&lt;B1376)),"Evento anterior à entrada",IF(AND(F1376&lt;&gt;"",E1376=""),"Conversa sem agendamento",IF(OR(E1376&gt;TODAY(),F1376&gt;TODAY()),"Verificar evento futuro","OK"))))))</f>
        <v/>
      </c>
    </row>
    <row r="1377" spans="9:12">
      <c r="I1377" s="5">
        <f>IF(OR(A1377="",B1377=""),"",B1377-WEEKDAY(B1377,2)+1)</f>
        <v/>
      </c>
      <c r="J1377" s="5">
        <f>IF(I1377="","",I1377+6)</f>
        <v/>
      </c>
      <c r="K1377" s="6">
        <f>IF(OR(A1377="",B1377=""),"",DATE(YEAR(B1377),MONTH(B1377),1))</f>
        <v/>
      </c>
      <c r="L1377" s="7">
        <f>IF(COUNTA(A1377,B1377)=0,"",IF(OR(A1377="",B1377=""),"Preencher CPF e entrada",IF(COUNTIFS($A$12:$A$5011,A1377,$B$12:$B$5011,B1377)&gt;1,"CPF + dia duplicado",IF(OR(AND(E1377&lt;&gt;"",E1377&lt;B1377),AND(F1377&lt;&gt;"",F1377&lt;B1377)),"Evento anterior à entrada",IF(AND(F1377&lt;&gt;"",E1377=""),"Conversa sem agendamento",IF(OR(E1377&gt;TODAY(),F1377&gt;TODAY()),"Verificar evento futuro","OK"))))))</f>
        <v/>
      </c>
    </row>
    <row r="1378" spans="9:12">
      <c r="I1378" s="5">
        <f>IF(OR(A1378="",B1378=""),"",B1378-WEEKDAY(B1378,2)+1)</f>
        <v/>
      </c>
      <c r="J1378" s="5">
        <f>IF(I1378="","",I1378+6)</f>
        <v/>
      </c>
      <c r="K1378" s="6">
        <f>IF(OR(A1378="",B1378=""),"",DATE(YEAR(B1378),MONTH(B1378),1))</f>
        <v/>
      </c>
      <c r="L1378" s="7">
        <f>IF(COUNTA(A1378,B1378)=0,"",IF(OR(A1378="",B1378=""),"Preencher CPF e entrada",IF(COUNTIFS($A$12:$A$5011,A1378,$B$12:$B$5011,B1378)&gt;1,"CPF + dia duplicado",IF(OR(AND(E1378&lt;&gt;"",E1378&lt;B1378),AND(F1378&lt;&gt;"",F1378&lt;B1378)),"Evento anterior à entrada",IF(AND(F1378&lt;&gt;"",E1378=""),"Conversa sem agendamento",IF(OR(E1378&gt;TODAY(),F1378&gt;TODAY()),"Verificar evento futuro","OK"))))))</f>
        <v/>
      </c>
    </row>
    <row r="1379" spans="9:12">
      <c r="I1379" s="5">
        <f>IF(OR(A1379="",B1379=""),"",B1379-WEEKDAY(B1379,2)+1)</f>
        <v/>
      </c>
      <c r="J1379" s="5">
        <f>IF(I1379="","",I1379+6)</f>
        <v/>
      </c>
      <c r="K1379" s="6">
        <f>IF(OR(A1379="",B1379=""),"",DATE(YEAR(B1379),MONTH(B1379),1))</f>
        <v/>
      </c>
      <c r="L1379" s="7">
        <f>IF(COUNTA(A1379,B1379)=0,"",IF(OR(A1379="",B1379=""),"Preencher CPF e entrada",IF(COUNTIFS($A$12:$A$5011,A1379,$B$12:$B$5011,B1379)&gt;1,"CPF + dia duplicado",IF(OR(AND(E1379&lt;&gt;"",E1379&lt;B1379),AND(F1379&lt;&gt;"",F1379&lt;B1379)),"Evento anterior à entrada",IF(AND(F1379&lt;&gt;"",E1379=""),"Conversa sem agendamento",IF(OR(E1379&gt;TODAY(),F1379&gt;TODAY()),"Verificar evento futuro","OK"))))))</f>
        <v/>
      </c>
    </row>
    <row r="1380" spans="9:12">
      <c r="I1380" s="5">
        <f>IF(OR(A1380="",B1380=""),"",B1380-WEEKDAY(B1380,2)+1)</f>
        <v/>
      </c>
      <c r="J1380" s="5">
        <f>IF(I1380="","",I1380+6)</f>
        <v/>
      </c>
      <c r="K1380" s="6">
        <f>IF(OR(A1380="",B1380=""),"",DATE(YEAR(B1380),MONTH(B1380),1))</f>
        <v/>
      </c>
      <c r="L1380" s="7">
        <f>IF(COUNTA(A1380,B1380)=0,"",IF(OR(A1380="",B1380=""),"Preencher CPF e entrada",IF(COUNTIFS($A$12:$A$5011,A1380,$B$12:$B$5011,B1380)&gt;1,"CPF + dia duplicado",IF(OR(AND(E1380&lt;&gt;"",E1380&lt;B1380),AND(F1380&lt;&gt;"",F1380&lt;B1380)),"Evento anterior à entrada",IF(AND(F1380&lt;&gt;"",E1380=""),"Conversa sem agendamento",IF(OR(E1380&gt;TODAY(),F1380&gt;TODAY()),"Verificar evento futuro","OK"))))))</f>
        <v/>
      </c>
    </row>
    <row r="1381" spans="9:12">
      <c r="I1381" s="5">
        <f>IF(OR(A1381="",B1381=""),"",B1381-WEEKDAY(B1381,2)+1)</f>
        <v/>
      </c>
      <c r="J1381" s="5">
        <f>IF(I1381="","",I1381+6)</f>
        <v/>
      </c>
      <c r="K1381" s="6">
        <f>IF(OR(A1381="",B1381=""),"",DATE(YEAR(B1381),MONTH(B1381),1))</f>
        <v/>
      </c>
      <c r="L1381" s="7">
        <f>IF(COUNTA(A1381,B1381)=0,"",IF(OR(A1381="",B1381=""),"Preencher CPF e entrada",IF(COUNTIFS($A$12:$A$5011,A1381,$B$12:$B$5011,B1381)&gt;1,"CPF + dia duplicado",IF(OR(AND(E1381&lt;&gt;"",E1381&lt;B1381),AND(F1381&lt;&gt;"",F1381&lt;B1381)),"Evento anterior à entrada",IF(AND(F1381&lt;&gt;"",E1381=""),"Conversa sem agendamento",IF(OR(E1381&gt;TODAY(),F1381&gt;TODAY()),"Verificar evento futuro","OK"))))))</f>
        <v/>
      </c>
    </row>
    <row r="1382" spans="9:12">
      <c r="I1382" s="5">
        <f>IF(OR(A1382="",B1382=""),"",B1382-WEEKDAY(B1382,2)+1)</f>
        <v/>
      </c>
      <c r="J1382" s="5">
        <f>IF(I1382="","",I1382+6)</f>
        <v/>
      </c>
      <c r="K1382" s="6">
        <f>IF(OR(A1382="",B1382=""),"",DATE(YEAR(B1382),MONTH(B1382),1))</f>
        <v/>
      </c>
      <c r="L1382" s="7">
        <f>IF(COUNTA(A1382,B1382)=0,"",IF(OR(A1382="",B1382=""),"Preencher CPF e entrada",IF(COUNTIFS($A$12:$A$5011,A1382,$B$12:$B$5011,B1382)&gt;1,"CPF + dia duplicado",IF(OR(AND(E1382&lt;&gt;"",E1382&lt;B1382),AND(F1382&lt;&gt;"",F1382&lt;B1382)),"Evento anterior à entrada",IF(AND(F1382&lt;&gt;"",E1382=""),"Conversa sem agendamento",IF(OR(E1382&gt;TODAY(),F1382&gt;TODAY()),"Verificar evento futuro","OK"))))))</f>
        <v/>
      </c>
    </row>
    <row r="1383" spans="9:12">
      <c r="I1383" s="5">
        <f>IF(OR(A1383="",B1383=""),"",B1383-WEEKDAY(B1383,2)+1)</f>
        <v/>
      </c>
      <c r="J1383" s="5">
        <f>IF(I1383="","",I1383+6)</f>
        <v/>
      </c>
      <c r="K1383" s="6">
        <f>IF(OR(A1383="",B1383=""),"",DATE(YEAR(B1383),MONTH(B1383),1))</f>
        <v/>
      </c>
      <c r="L1383" s="7">
        <f>IF(COUNTA(A1383,B1383)=0,"",IF(OR(A1383="",B1383=""),"Preencher CPF e entrada",IF(COUNTIFS($A$12:$A$5011,A1383,$B$12:$B$5011,B1383)&gt;1,"CPF + dia duplicado",IF(OR(AND(E1383&lt;&gt;"",E1383&lt;B1383),AND(F1383&lt;&gt;"",F1383&lt;B1383)),"Evento anterior à entrada",IF(AND(F1383&lt;&gt;"",E1383=""),"Conversa sem agendamento",IF(OR(E1383&gt;TODAY(),F1383&gt;TODAY()),"Verificar evento futuro","OK"))))))</f>
        <v/>
      </c>
    </row>
    <row r="1384" spans="9:12">
      <c r="I1384" s="5">
        <f>IF(OR(A1384="",B1384=""),"",B1384-WEEKDAY(B1384,2)+1)</f>
        <v/>
      </c>
      <c r="J1384" s="5">
        <f>IF(I1384="","",I1384+6)</f>
        <v/>
      </c>
      <c r="K1384" s="6">
        <f>IF(OR(A1384="",B1384=""),"",DATE(YEAR(B1384),MONTH(B1384),1))</f>
        <v/>
      </c>
      <c r="L1384" s="7">
        <f>IF(COUNTA(A1384,B1384)=0,"",IF(OR(A1384="",B1384=""),"Preencher CPF e entrada",IF(COUNTIFS($A$12:$A$5011,A1384,$B$12:$B$5011,B1384)&gt;1,"CPF + dia duplicado",IF(OR(AND(E1384&lt;&gt;"",E1384&lt;B1384),AND(F1384&lt;&gt;"",F1384&lt;B1384)),"Evento anterior à entrada",IF(AND(F1384&lt;&gt;"",E1384=""),"Conversa sem agendamento",IF(OR(E1384&gt;TODAY(),F1384&gt;TODAY()),"Verificar evento futuro","OK"))))))</f>
        <v/>
      </c>
    </row>
    <row r="1385" spans="9:12">
      <c r="I1385" s="5">
        <f>IF(OR(A1385="",B1385=""),"",B1385-WEEKDAY(B1385,2)+1)</f>
        <v/>
      </c>
      <c r="J1385" s="5">
        <f>IF(I1385="","",I1385+6)</f>
        <v/>
      </c>
      <c r="K1385" s="6">
        <f>IF(OR(A1385="",B1385=""),"",DATE(YEAR(B1385),MONTH(B1385),1))</f>
        <v/>
      </c>
      <c r="L1385" s="7">
        <f>IF(COUNTA(A1385,B1385)=0,"",IF(OR(A1385="",B1385=""),"Preencher CPF e entrada",IF(COUNTIFS($A$12:$A$5011,A1385,$B$12:$B$5011,B1385)&gt;1,"CPF + dia duplicado",IF(OR(AND(E1385&lt;&gt;"",E1385&lt;B1385),AND(F1385&lt;&gt;"",F1385&lt;B1385)),"Evento anterior à entrada",IF(AND(F1385&lt;&gt;"",E1385=""),"Conversa sem agendamento",IF(OR(E1385&gt;TODAY(),F1385&gt;TODAY()),"Verificar evento futuro","OK"))))))</f>
        <v/>
      </c>
    </row>
    <row r="1386" spans="9:12">
      <c r="I1386" s="5">
        <f>IF(OR(A1386="",B1386=""),"",B1386-WEEKDAY(B1386,2)+1)</f>
        <v/>
      </c>
      <c r="J1386" s="5">
        <f>IF(I1386="","",I1386+6)</f>
        <v/>
      </c>
      <c r="K1386" s="6">
        <f>IF(OR(A1386="",B1386=""),"",DATE(YEAR(B1386),MONTH(B1386),1))</f>
        <v/>
      </c>
      <c r="L1386" s="7">
        <f>IF(COUNTA(A1386,B1386)=0,"",IF(OR(A1386="",B1386=""),"Preencher CPF e entrada",IF(COUNTIFS($A$12:$A$5011,A1386,$B$12:$B$5011,B1386)&gt;1,"CPF + dia duplicado",IF(OR(AND(E1386&lt;&gt;"",E1386&lt;B1386),AND(F1386&lt;&gt;"",F1386&lt;B1386)),"Evento anterior à entrada",IF(AND(F1386&lt;&gt;"",E1386=""),"Conversa sem agendamento",IF(OR(E1386&gt;TODAY(),F1386&gt;TODAY()),"Verificar evento futuro","OK"))))))</f>
        <v/>
      </c>
    </row>
    <row r="1387" spans="9:12">
      <c r="I1387" s="5">
        <f>IF(OR(A1387="",B1387=""),"",B1387-WEEKDAY(B1387,2)+1)</f>
        <v/>
      </c>
      <c r="J1387" s="5">
        <f>IF(I1387="","",I1387+6)</f>
        <v/>
      </c>
      <c r="K1387" s="6">
        <f>IF(OR(A1387="",B1387=""),"",DATE(YEAR(B1387),MONTH(B1387),1))</f>
        <v/>
      </c>
      <c r="L1387" s="7">
        <f>IF(COUNTA(A1387,B1387)=0,"",IF(OR(A1387="",B1387=""),"Preencher CPF e entrada",IF(COUNTIFS($A$12:$A$5011,A1387,$B$12:$B$5011,B1387)&gt;1,"CPF + dia duplicado",IF(OR(AND(E1387&lt;&gt;"",E1387&lt;B1387),AND(F1387&lt;&gt;"",F1387&lt;B1387)),"Evento anterior à entrada",IF(AND(F1387&lt;&gt;"",E1387=""),"Conversa sem agendamento",IF(OR(E1387&gt;TODAY(),F1387&gt;TODAY()),"Verificar evento futuro","OK"))))))</f>
        <v/>
      </c>
    </row>
    <row r="1388" spans="9:12">
      <c r="I1388" s="5">
        <f>IF(OR(A1388="",B1388=""),"",B1388-WEEKDAY(B1388,2)+1)</f>
        <v/>
      </c>
      <c r="J1388" s="5">
        <f>IF(I1388="","",I1388+6)</f>
        <v/>
      </c>
      <c r="K1388" s="6">
        <f>IF(OR(A1388="",B1388=""),"",DATE(YEAR(B1388),MONTH(B1388),1))</f>
        <v/>
      </c>
      <c r="L1388" s="7">
        <f>IF(COUNTA(A1388,B1388)=0,"",IF(OR(A1388="",B1388=""),"Preencher CPF e entrada",IF(COUNTIFS($A$12:$A$5011,A1388,$B$12:$B$5011,B1388)&gt;1,"CPF + dia duplicado",IF(OR(AND(E1388&lt;&gt;"",E1388&lt;B1388),AND(F1388&lt;&gt;"",F1388&lt;B1388)),"Evento anterior à entrada",IF(AND(F1388&lt;&gt;"",E1388=""),"Conversa sem agendamento",IF(OR(E1388&gt;TODAY(),F1388&gt;TODAY()),"Verificar evento futuro","OK"))))))</f>
        <v/>
      </c>
    </row>
    <row r="1389" spans="9:12">
      <c r="I1389" s="5">
        <f>IF(OR(A1389="",B1389=""),"",B1389-WEEKDAY(B1389,2)+1)</f>
        <v/>
      </c>
      <c r="J1389" s="5">
        <f>IF(I1389="","",I1389+6)</f>
        <v/>
      </c>
      <c r="K1389" s="6">
        <f>IF(OR(A1389="",B1389=""),"",DATE(YEAR(B1389),MONTH(B1389),1))</f>
        <v/>
      </c>
      <c r="L1389" s="7">
        <f>IF(COUNTA(A1389,B1389)=0,"",IF(OR(A1389="",B1389=""),"Preencher CPF e entrada",IF(COUNTIFS($A$12:$A$5011,A1389,$B$12:$B$5011,B1389)&gt;1,"CPF + dia duplicado",IF(OR(AND(E1389&lt;&gt;"",E1389&lt;B1389),AND(F1389&lt;&gt;"",F1389&lt;B1389)),"Evento anterior à entrada",IF(AND(F1389&lt;&gt;"",E1389=""),"Conversa sem agendamento",IF(OR(E1389&gt;TODAY(),F1389&gt;TODAY()),"Verificar evento futuro","OK"))))))</f>
        <v/>
      </c>
    </row>
    <row r="1390" spans="9:12">
      <c r="I1390" s="5">
        <f>IF(OR(A1390="",B1390=""),"",B1390-WEEKDAY(B1390,2)+1)</f>
        <v/>
      </c>
      <c r="J1390" s="5">
        <f>IF(I1390="","",I1390+6)</f>
        <v/>
      </c>
      <c r="K1390" s="6">
        <f>IF(OR(A1390="",B1390=""),"",DATE(YEAR(B1390),MONTH(B1390),1))</f>
        <v/>
      </c>
      <c r="L1390" s="7">
        <f>IF(COUNTA(A1390,B1390)=0,"",IF(OR(A1390="",B1390=""),"Preencher CPF e entrada",IF(COUNTIFS($A$12:$A$5011,A1390,$B$12:$B$5011,B1390)&gt;1,"CPF + dia duplicado",IF(OR(AND(E1390&lt;&gt;"",E1390&lt;B1390),AND(F1390&lt;&gt;"",F1390&lt;B1390)),"Evento anterior à entrada",IF(AND(F1390&lt;&gt;"",E1390=""),"Conversa sem agendamento",IF(OR(E1390&gt;TODAY(),F1390&gt;TODAY()),"Verificar evento futuro","OK"))))))</f>
        <v/>
      </c>
    </row>
    <row r="1391" spans="9:12">
      <c r="I1391" s="5">
        <f>IF(OR(A1391="",B1391=""),"",B1391-WEEKDAY(B1391,2)+1)</f>
        <v/>
      </c>
      <c r="J1391" s="5">
        <f>IF(I1391="","",I1391+6)</f>
        <v/>
      </c>
      <c r="K1391" s="6">
        <f>IF(OR(A1391="",B1391=""),"",DATE(YEAR(B1391),MONTH(B1391),1))</f>
        <v/>
      </c>
      <c r="L1391" s="7">
        <f>IF(COUNTA(A1391,B1391)=0,"",IF(OR(A1391="",B1391=""),"Preencher CPF e entrada",IF(COUNTIFS($A$12:$A$5011,A1391,$B$12:$B$5011,B1391)&gt;1,"CPF + dia duplicado",IF(OR(AND(E1391&lt;&gt;"",E1391&lt;B1391),AND(F1391&lt;&gt;"",F1391&lt;B1391)),"Evento anterior à entrada",IF(AND(F1391&lt;&gt;"",E1391=""),"Conversa sem agendamento",IF(OR(E1391&gt;TODAY(),F1391&gt;TODAY()),"Verificar evento futuro","OK"))))))</f>
        <v/>
      </c>
    </row>
    <row r="1392" spans="9:12">
      <c r="I1392" s="5">
        <f>IF(OR(A1392="",B1392=""),"",B1392-WEEKDAY(B1392,2)+1)</f>
        <v/>
      </c>
      <c r="J1392" s="5">
        <f>IF(I1392="","",I1392+6)</f>
        <v/>
      </c>
      <c r="K1392" s="6">
        <f>IF(OR(A1392="",B1392=""),"",DATE(YEAR(B1392),MONTH(B1392),1))</f>
        <v/>
      </c>
      <c r="L1392" s="7">
        <f>IF(COUNTA(A1392,B1392)=0,"",IF(OR(A1392="",B1392=""),"Preencher CPF e entrada",IF(COUNTIFS($A$12:$A$5011,A1392,$B$12:$B$5011,B1392)&gt;1,"CPF + dia duplicado",IF(OR(AND(E1392&lt;&gt;"",E1392&lt;B1392),AND(F1392&lt;&gt;"",F1392&lt;B1392)),"Evento anterior à entrada",IF(AND(F1392&lt;&gt;"",E1392=""),"Conversa sem agendamento",IF(OR(E1392&gt;TODAY(),F1392&gt;TODAY()),"Verificar evento futuro","OK"))))))</f>
        <v/>
      </c>
    </row>
    <row r="1393" spans="9:12">
      <c r="I1393" s="5">
        <f>IF(OR(A1393="",B1393=""),"",B1393-WEEKDAY(B1393,2)+1)</f>
        <v/>
      </c>
      <c r="J1393" s="5">
        <f>IF(I1393="","",I1393+6)</f>
        <v/>
      </c>
      <c r="K1393" s="6">
        <f>IF(OR(A1393="",B1393=""),"",DATE(YEAR(B1393),MONTH(B1393),1))</f>
        <v/>
      </c>
      <c r="L1393" s="7">
        <f>IF(COUNTA(A1393,B1393)=0,"",IF(OR(A1393="",B1393=""),"Preencher CPF e entrada",IF(COUNTIFS($A$12:$A$5011,A1393,$B$12:$B$5011,B1393)&gt;1,"CPF + dia duplicado",IF(OR(AND(E1393&lt;&gt;"",E1393&lt;B1393),AND(F1393&lt;&gt;"",F1393&lt;B1393)),"Evento anterior à entrada",IF(AND(F1393&lt;&gt;"",E1393=""),"Conversa sem agendamento",IF(OR(E1393&gt;TODAY(),F1393&gt;TODAY()),"Verificar evento futuro","OK"))))))</f>
        <v/>
      </c>
    </row>
    <row r="1394" spans="9:12">
      <c r="I1394" s="5">
        <f>IF(OR(A1394="",B1394=""),"",B1394-WEEKDAY(B1394,2)+1)</f>
        <v/>
      </c>
      <c r="J1394" s="5">
        <f>IF(I1394="","",I1394+6)</f>
        <v/>
      </c>
      <c r="K1394" s="6">
        <f>IF(OR(A1394="",B1394=""),"",DATE(YEAR(B1394),MONTH(B1394),1))</f>
        <v/>
      </c>
      <c r="L1394" s="7">
        <f>IF(COUNTA(A1394,B1394)=0,"",IF(OR(A1394="",B1394=""),"Preencher CPF e entrada",IF(COUNTIFS($A$12:$A$5011,A1394,$B$12:$B$5011,B1394)&gt;1,"CPF + dia duplicado",IF(OR(AND(E1394&lt;&gt;"",E1394&lt;B1394),AND(F1394&lt;&gt;"",F1394&lt;B1394)),"Evento anterior à entrada",IF(AND(F1394&lt;&gt;"",E1394=""),"Conversa sem agendamento",IF(OR(E1394&gt;TODAY(),F1394&gt;TODAY()),"Verificar evento futuro","OK"))))))</f>
        <v/>
      </c>
    </row>
    <row r="1395" spans="9:12">
      <c r="I1395" s="5">
        <f>IF(OR(A1395="",B1395=""),"",B1395-WEEKDAY(B1395,2)+1)</f>
        <v/>
      </c>
      <c r="J1395" s="5">
        <f>IF(I1395="","",I1395+6)</f>
        <v/>
      </c>
      <c r="K1395" s="6">
        <f>IF(OR(A1395="",B1395=""),"",DATE(YEAR(B1395),MONTH(B1395),1))</f>
        <v/>
      </c>
      <c r="L1395" s="7">
        <f>IF(COUNTA(A1395,B1395)=0,"",IF(OR(A1395="",B1395=""),"Preencher CPF e entrada",IF(COUNTIFS($A$12:$A$5011,A1395,$B$12:$B$5011,B1395)&gt;1,"CPF + dia duplicado",IF(OR(AND(E1395&lt;&gt;"",E1395&lt;B1395),AND(F1395&lt;&gt;"",F1395&lt;B1395)),"Evento anterior à entrada",IF(AND(F1395&lt;&gt;"",E1395=""),"Conversa sem agendamento",IF(OR(E1395&gt;TODAY(),F1395&gt;TODAY()),"Verificar evento futuro","OK"))))))</f>
        <v/>
      </c>
    </row>
    <row r="1396" spans="9:12">
      <c r="I1396" s="5">
        <f>IF(OR(A1396="",B1396=""),"",B1396-WEEKDAY(B1396,2)+1)</f>
        <v/>
      </c>
      <c r="J1396" s="5">
        <f>IF(I1396="","",I1396+6)</f>
        <v/>
      </c>
      <c r="K1396" s="6">
        <f>IF(OR(A1396="",B1396=""),"",DATE(YEAR(B1396),MONTH(B1396),1))</f>
        <v/>
      </c>
      <c r="L1396" s="7">
        <f>IF(COUNTA(A1396,B1396)=0,"",IF(OR(A1396="",B1396=""),"Preencher CPF e entrada",IF(COUNTIFS($A$12:$A$5011,A1396,$B$12:$B$5011,B1396)&gt;1,"CPF + dia duplicado",IF(OR(AND(E1396&lt;&gt;"",E1396&lt;B1396),AND(F1396&lt;&gt;"",F1396&lt;B1396)),"Evento anterior à entrada",IF(AND(F1396&lt;&gt;"",E1396=""),"Conversa sem agendamento",IF(OR(E1396&gt;TODAY(),F1396&gt;TODAY()),"Verificar evento futuro","OK"))))))</f>
        <v/>
      </c>
    </row>
    <row r="1397" spans="9:12">
      <c r="I1397" s="5">
        <f>IF(OR(A1397="",B1397=""),"",B1397-WEEKDAY(B1397,2)+1)</f>
        <v/>
      </c>
      <c r="J1397" s="5">
        <f>IF(I1397="","",I1397+6)</f>
        <v/>
      </c>
      <c r="K1397" s="6">
        <f>IF(OR(A1397="",B1397=""),"",DATE(YEAR(B1397),MONTH(B1397),1))</f>
        <v/>
      </c>
      <c r="L1397" s="7">
        <f>IF(COUNTA(A1397,B1397)=0,"",IF(OR(A1397="",B1397=""),"Preencher CPF e entrada",IF(COUNTIFS($A$12:$A$5011,A1397,$B$12:$B$5011,B1397)&gt;1,"CPF + dia duplicado",IF(OR(AND(E1397&lt;&gt;"",E1397&lt;B1397),AND(F1397&lt;&gt;"",F1397&lt;B1397)),"Evento anterior à entrada",IF(AND(F1397&lt;&gt;"",E1397=""),"Conversa sem agendamento",IF(OR(E1397&gt;TODAY(),F1397&gt;TODAY()),"Verificar evento futuro","OK"))))))</f>
        <v/>
      </c>
    </row>
    <row r="1398" spans="9:12">
      <c r="I1398" s="5">
        <f>IF(OR(A1398="",B1398=""),"",B1398-WEEKDAY(B1398,2)+1)</f>
        <v/>
      </c>
      <c r="J1398" s="5">
        <f>IF(I1398="","",I1398+6)</f>
        <v/>
      </c>
      <c r="K1398" s="6">
        <f>IF(OR(A1398="",B1398=""),"",DATE(YEAR(B1398),MONTH(B1398),1))</f>
        <v/>
      </c>
      <c r="L1398" s="7">
        <f>IF(COUNTA(A1398,B1398)=0,"",IF(OR(A1398="",B1398=""),"Preencher CPF e entrada",IF(COUNTIFS($A$12:$A$5011,A1398,$B$12:$B$5011,B1398)&gt;1,"CPF + dia duplicado",IF(OR(AND(E1398&lt;&gt;"",E1398&lt;B1398),AND(F1398&lt;&gt;"",F1398&lt;B1398)),"Evento anterior à entrada",IF(AND(F1398&lt;&gt;"",E1398=""),"Conversa sem agendamento",IF(OR(E1398&gt;TODAY(),F1398&gt;TODAY()),"Verificar evento futuro","OK"))))))</f>
        <v/>
      </c>
    </row>
    <row r="1399" spans="9:12">
      <c r="I1399" s="5">
        <f>IF(OR(A1399="",B1399=""),"",B1399-WEEKDAY(B1399,2)+1)</f>
        <v/>
      </c>
      <c r="J1399" s="5">
        <f>IF(I1399="","",I1399+6)</f>
        <v/>
      </c>
      <c r="K1399" s="6">
        <f>IF(OR(A1399="",B1399=""),"",DATE(YEAR(B1399),MONTH(B1399),1))</f>
        <v/>
      </c>
      <c r="L1399" s="7">
        <f>IF(COUNTA(A1399,B1399)=0,"",IF(OR(A1399="",B1399=""),"Preencher CPF e entrada",IF(COUNTIFS($A$12:$A$5011,A1399,$B$12:$B$5011,B1399)&gt;1,"CPF + dia duplicado",IF(OR(AND(E1399&lt;&gt;"",E1399&lt;B1399),AND(F1399&lt;&gt;"",F1399&lt;B1399)),"Evento anterior à entrada",IF(AND(F1399&lt;&gt;"",E1399=""),"Conversa sem agendamento",IF(OR(E1399&gt;TODAY(),F1399&gt;TODAY()),"Verificar evento futuro","OK"))))))</f>
        <v/>
      </c>
    </row>
    <row r="1400" spans="9:12">
      <c r="I1400" s="5">
        <f>IF(OR(A1400="",B1400=""),"",B1400-WEEKDAY(B1400,2)+1)</f>
        <v/>
      </c>
      <c r="J1400" s="5">
        <f>IF(I1400="","",I1400+6)</f>
        <v/>
      </c>
      <c r="K1400" s="6">
        <f>IF(OR(A1400="",B1400=""),"",DATE(YEAR(B1400),MONTH(B1400),1))</f>
        <v/>
      </c>
      <c r="L1400" s="7">
        <f>IF(COUNTA(A1400,B1400)=0,"",IF(OR(A1400="",B1400=""),"Preencher CPF e entrada",IF(COUNTIFS($A$12:$A$5011,A1400,$B$12:$B$5011,B1400)&gt;1,"CPF + dia duplicado",IF(OR(AND(E1400&lt;&gt;"",E1400&lt;B1400),AND(F1400&lt;&gt;"",F1400&lt;B1400)),"Evento anterior à entrada",IF(AND(F1400&lt;&gt;"",E1400=""),"Conversa sem agendamento",IF(OR(E1400&gt;TODAY(),F1400&gt;TODAY()),"Verificar evento futuro","OK"))))))</f>
        <v/>
      </c>
    </row>
    <row r="1401" spans="9:12">
      <c r="I1401" s="5">
        <f>IF(OR(A1401="",B1401=""),"",B1401-WEEKDAY(B1401,2)+1)</f>
        <v/>
      </c>
      <c r="J1401" s="5">
        <f>IF(I1401="","",I1401+6)</f>
        <v/>
      </c>
      <c r="K1401" s="6">
        <f>IF(OR(A1401="",B1401=""),"",DATE(YEAR(B1401),MONTH(B1401),1))</f>
        <v/>
      </c>
      <c r="L1401" s="7">
        <f>IF(COUNTA(A1401,B1401)=0,"",IF(OR(A1401="",B1401=""),"Preencher CPF e entrada",IF(COUNTIFS($A$12:$A$5011,A1401,$B$12:$B$5011,B1401)&gt;1,"CPF + dia duplicado",IF(OR(AND(E1401&lt;&gt;"",E1401&lt;B1401),AND(F1401&lt;&gt;"",F1401&lt;B1401)),"Evento anterior à entrada",IF(AND(F1401&lt;&gt;"",E1401=""),"Conversa sem agendamento",IF(OR(E1401&gt;TODAY(),F1401&gt;TODAY()),"Verificar evento futuro","OK"))))))</f>
        <v/>
      </c>
    </row>
    <row r="1402" spans="9:12">
      <c r="I1402" s="5">
        <f>IF(OR(A1402="",B1402=""),"",B1402-WEEKDAY(B1402,2)+1)</f>
        <v/>
      </c>
      <c r="J1402" s="5">
        <f>IF(I1402="","",I1402+6)</f>
        <v/>
      </c>
      <c r="K1402" s="6">
        <f>IF(OR(A1402="",B1402=""),"",DATE(YEAR(B1402),MONTH(B1402),1))</f>
        <v/>
      </c>
      <c r="L1402" s="7">
        <f>IF(COUNTA(A1402,B1402)=0,"",IF(OR(A1402="",B1402=""),"Preencher CPF e entrada",IF(COUNTIFS($A$12:$A$5011,A1402,$B$12:$B$5011,B1402)&gt;1,"CPF + dia duplicado",IF(OR(AND(E1402&lt;&gt;"",E1402&lt;B1402),AND(F1402&lt;&gt;"",F1402&lt;B1402)),"Evento anterior à entrada",IF(AND(F1402&lt;&gt;"",E1402=""),"Conversa sem agendamento",IF(OR(E1402&gt;TODAY(),F1402&gt;TODAY()),"Verificar evento futuro","OK"))))))</f>
        <v/>
      </c>
    </row>
    <row r="1403" spans="9:12">
      <c r="I1403" s="5">
        <f>IF(OR(A1403="",B1403=""),"",B1403-WEEKDAY(B1403,2)+1)</f>
        <v/>
      </c>
      <c r="J1403" s="5">
        <f>IF(I1403="","",I1403+6)</f>
        <v/>
      </c>
      <c r="K1403" s="6">
        <f>IF(OR(A1403="",B1403=""),"",DATE(YEAR(B1403),MONTH(B1403),1))</f>
        <v/>
      </c>
      <c r="L1403" s="7">
        <f>IF(COUNTA(A1403,B1403)=0,"",IF(OR(A1403="",B1403=""),"Preencher CPF e entrada",IF(COUNTIFS($A$12:$A$5011,A1403,$B$12:$B$5011,B1403)&gt;1,"CPF + dia duplicado",IF(OR(AND(E1403&lt;&gt;"",E1403&lt;B1403),AND(F1403&lt;&gt;"",F1403&lt;B1403)),"Evento anterior à entrada",IF(AND(F1403&lt;&gt;"",E1403=""),"Conversa sem agendamento",IF(OR(E1403&gt;TODAY(),F1403&gt;TODAY()),"Verificar evento futuro","OK"))))))</f>
        <v/>
      </c>
    </row>
    <row r="1404" spans="9:12">
      <c r="I1404" s="5">
        <f>IF(OR(A1404="",B1404=""),"",B1404-WEEKDAY(B1404,2)+1)</f>
        <v/>
      </c>
      <c r="J1404" s="5">
        <f>IF(I1404="","",I1404+6)</f>
        <v/>
      </c>
      <c r="K1404" s="6">
        <f>IF(OR(A1404="",B1404=""),"",DATE(YEAR(B1404),MONTH(B1404),1))</f>
        <v/>
      </c>
      <c r="L1404" s="7">
        <f>IF(COUNTA(A1404,B1404)=0,"",IF(OR(A1404="",B1404=""),"Preencher CPF e entrada",IF(COUNTIFS($A$12:$A$5011,A1404,$B$12:$B$5011,B1404)&gt;1,"CPF + dia duplicado",IF(OR(AND(E1404&lt;&gt;"",E1404&lt;B1404),AND(F1404&lt;&gt;"",F1404&lt;B1404)),"Evento anterior à entrada",IF(AND(F1404&lt;&gt;"",E1404=""),"Conversa sem agendamento",IF(OR(E1404&gt;TODAY(),F1404&gt;TODAY()),"Verificar evento futuro","OK"))))))</f>
        <v/>
      </c>
    </row>
    <row r="1405" spans="9:12">
      <c r="I1405" s="5">
        <f>IF(OR(A1405="",B1405=""),"",B1405-WEEKDAY(B1405,2)+1)</f>
        <v/>
      </c>
      <c r="J1405" s="5">
        <f>IF(I1405="","",I1405+6)</f>
        <v/>
      </c>
      <c r="K1405" s="6">
        <f>IF(OR(A1405="",B1405=""),"",DATE(YEAR(B1405),MONTH(B1405),1))</f>
        <v/>
      </c>
      <c r="L1405" s="7">
        <f>IF(COUNTA(A1405,B1405)=0,"",IF(OR(A1405="",B1405=""),"Preencher CPF e entrada",IF(COUNTIFS($A$12:$A$5011,A1405,$B$12:$B$5011,B1405)&gt;1,"CPF + dia duplicado",IF(OR(AND(E1405&lt;&gt;"",E1405&lt;B1405),AND(F1405&lt;&gt;"",F1405&lt;B1405)),"Evento anterior à entrada",IF(AND(F1405&lt;&gt;"",E1405=""),"Conversa sem agendamento",IF(OR(E1405&gt;TODAY(),F1405&gt;TODAY()),"Verificar evento futuro","OK"))))))</f>
        <v/>
      </c>
    </row>
    <row r="1406" spans="9:12">
      <c r="I1406" s="5">
        <f>IF(OR(A1406="",B1406=""),"",B1406-WEEKDAY(B1406,2)+1)</f>
        <v/>
      </c>
      <c r="J1406" s="5">
        <f>IF(I1406="","",I1406+6)</f>
        <v/>
      </c>
      <c r="K1406" s="6">
        <f>IF(OR(A1406="",B1406=""),"",DATE(YEAR(B1406),MONTH(B1406),1))</f>
        <v/>
      </c>
      <c r="L1406" s="7">
        <f>IF(COUNTA(A1406,B1406)=0,"",IF(OR(A1406="",B1406=""),"Preencher CPF e entrada",IF(COUNTIFS($A$12:$A$5011,A1406,$B$12:$B$5011,B1406)&gt;1,"CPF + dia duplicado",IF(OR(AND(E1406&lt;&gt;"",E1406&lt;B1406),AND(F1406&lt;&gt;"",F1406&lt;B1406)),"Evento anterior à entrada",IF(AND(F1406&lt;&gt;"",E1406=""),"Conversa sem agendamento",IF(OR(E1406&gt;TODAY(),F1406&gt;TODAY()),"Verificar evento futuro","OK"))))))</f>
        <v/>
      </c>
    </row>
    <row r="1407" spans="9:12">
      <c r="I1407" s="5">
        <f>IF(OR(A1407="",B1407=""),"",B1407-WEEKDAY(B1407,2)+1)</f>
        <v/>
      </c>
      <c r="J1407" s="5">
        <f>IF(I1407="","",I1407+6)</f>
        <v/>
      </c>
      <c r="K1407" s="6">
        <f>IF(OR(A1407="",B1407=""),"",DATE(YEAR(B1407),MONTH(B1407),1))</f>
        <v/>
      </c>
      <c r="L1407" s="7">
        <f>IF(COUNTA(A1407,B1407)=0,"",IF(OR(A1407="",B1407=""),"Preencher CPF e entrada",IF(COUNTIFS($A$12:$A$5011,A1407,$B$12:$B$5011,B1407)&gt;1,"CPF + dia duplicado",IF(OR(AND(E1407&lt;&gt;"",E1407&lt;B1407),AND(F1407&lt;&gt;"",F1407&lt;B1407)),"Evento anterior à entrada",IF(AND(F1407&lt;&gt;"",E1407=""),"Conversa sem agendamento",IF(OR(E1407&gt;TODAY(),F1407&gt;TODAY()),"Verificar evento futuro","OK"))))))</f>
        <v/>
      </c>
    </row>
    <row r="1408" spans="9:12">
      <c r="I1408" s="5">
        <f>IF(OR(A1408="",B1408=""),"",B1408-WEEKDAY(B1408,2)+1)</f>
        <v/>
      </c>
      <c r="J1408" s="5">
        <f>IF(I1408="","",I1408+6)</f>
        <v/>
      </c>
      <c r="K1408" s="6">
        <f>IF(OR(A1408="",B1408=""),"",DATE(YEAR(B1408),MONTH(B1408),1))</f>
        <v/>
      </c>
      <c r="L1408" s="7">
        <f>IF(COUNTA(A1408,B1408)=0,"",IF(OR(A1408="",B1408=""),"Preencher CPF e entrada",IF(COUNTIFS($A$12:$A$5011,A1408,$B$12:$B$5011,B1408)&gt;1,"CPF + dia duplicado",IF(OR(AND(E1408&lt;&gt;"",E1408&lt;B1408),AND(F1408&lt;&gt;"",F1408&lt;B1408)),"Evento anterior à entrada",IF(AND(F1408&lt;&gt;"",E1408=""),"Conversa sem agendamento",IF(OR(E1408&gt;TODAY(),F1408&gt;TODAY()),"Verificar evento futuro","OK"))))))</f>
        <v/>
      </c>
    </row>
    <row r="1409" spans="9:12">
      <c r="I1409" s="5">
        <f>IF(OR(A1409="",B1409=""),"",B1409-WEEKDAY(B1409,2)+1)</f>
        <v/>
      </c>
      <c r="J1409" s="5">
        <f>IF(I1409="","",I1409+6)</f>
        <v/>
      </c>
      <c r="K1409" s="6">
        <f>IF(OR(A1409="",B1409=""),"",DATE(YEAR(B1409),MONTH(B1409),1))</f>
        <v/>
      </c>
      <c r="L1409" s="7">
        <f>IF(COUNTA(A1409,B1409)=0,"",IF(OR(A1409="",B1409=""),"Preencher CPF e entrada",IF(COUNTIFS($A$12:$A$5011,A1409,$B$12:$B$5011,B1409)&gt;1,"CPF + dia duplicado",IF(OR(AND(E1409&lt;&gt;"",E1409&lt;B1409),AND(F1409&lt;&gt;"",F1409&lt;B1409)),"Evento anterior à entrada",IF(AND(F1409&lt;&gt;"",E1409=""),"Conversa sem agendamento",IF(OR(E1409&gt;TODAY(),F1409&gt;TODAY()),"Verificar evento futuro","OK"))))))</f>
        <v/>
      </c>
    </row>
    <row r="1410" spans="9:12">
      <c r="I1410" s="5">
        <f>IF(OR(A1410="",B1410=""),"",B1410-WEEKDAY(B1410,2)+1)</f>
        <v/>
      </c>
      <c r="J1410" s="5">
        <f>IF(I1410="","",I1410+6)</f>
        <v/>
      </c>
      <c r="K1410" s="6">
        <f>IF(OR(A1410="",B1410=""),"",DATE(YEAR(B1410),MONTH(B1410),1))</f>
        <v/>
      </c>
      <c r="L1410" s="7">
        <f>IF(COUNTA(A1410,B1410)=0,"",IF(OR(A1410="",B1410=""),"Preencher CPF e entrada",IF(COUNTIFS($A$12:$A$5011,A1410,$B$12:$B$5011,B1410)&gt;1,"CPF + dia duplicado",IF(OR(AND(E1410&lt;&gt;"",E1410&lt;B1410),AND(F1410&lt;&gt;"",F1410&lt;B1410)),"Evento anterior à entrada",IF(AND(F1410&lt;&gt;"",E1410=""),"Conversa sem agendamento",IF(OR(E1410&gt;TODAY(),F1410&gt;TODAY()),"Verificar evento futuro","OK"))))))</f>
        <v/>
      </c>
    </row>
    <row r="1411" spans="9:12">
      <c r="I1411" s="5">
        <f>IF(OR(A1411="",B1411=""),"",B1411-WEEKDAY(B1411,2)+1)</f>
        <v/>
      </c>
      <c r="J1411" s="5">
        <f>IF(I1411="","",I1411+6)</f>
        <v/>
      </c>
      <c r="K1411" s="6">
        <f>IF(OR(A1411="",B1411=""),"",DATE(YEAR(B1411),MONTH(B1411),1))</f>
        <v/>
      </c>
      <c r="L1411" s="7">
        <f>IF(COUNTA(A1411,B1411)=0,"",IF(OR(A1411="",B1411=""),"Preencher CPF e entrada",IF(COUNTIFS($A$12:$A$5011,A1411,$B$12:$B$5011,B1411)&gt;1,"CPF + dia duplicado",IF(OR(AND(E1411&lt;&gt;"",E1411&lt;B1411),AND(F1411&lt;&gt;"",F1411&lt;B1411)),"Evento anterior à entrada",IF(AND(F1411&lt;&gt;"",E1411=""),"Conversa sem agendamento",IF(OR(E1411&gt;TODAY(),F1411&gt;TODAY()),"Verificar evento futuro","OK"))))))</f>
        <v/>
      </c>
    </row>
    <row r="1412" spans="9:12">
      <c r="I1412" s="5">
        <f>IF(OR(A1412="",B1412=""),"",B1412-WEEKDAY(B1412,2)+1)</f>
        <v/>
      </c>
      <c r="J1412" s="5">
        <f>IF(I1412="","",I1412+6)</f>
        <v/>
      </c>
      <c r="K1412" s="6">
        <f>IF(OR(A1412="",B1412=""),"",DATE(YEAR(B1412),MONTH(B1412),1))</f>
        <v/>
      </c>
      <c r="L1412" s="7">
        <f>IF(COUNTA(A1412,B1412)=0,"",IF(OR(A1412="",B1412=""),"Preencher CPF e entrada",IF(COUNTIFS($A$12:$A$5011,A1412,$B$12:$B$5011,B1412)&gt;1,"CPF + dia duplicado",IF(OR(AND(E1412&lt;&gt;"",E1412&lt;B1412),AND(F1412&lt;&gt;"",F1412&lt;B1412)),"Evento anterior à entrada",IF(AND(F1412&lt;&gt;"",E1412=""),"Conversa sem agendamento",IF(OR(E1412&gt;TODAY(),F1412&gt;TODAY()),"Verificar evento futuro","OK"))))))</f>
        <v/>
      </c>
    </row>
    <row r="1413" spans="9:12">
      <c r="I1413" s="5">
        <f>IF(OR(A1413="",B1413=""),"",B1413-WEEKDAY(B1413,2)+1)</f>
        <v/>
      </c>
      <c r="J1413" s="5">
        <f>IF(I1413="","",I1413+6)</f>
        <v/>
      </c>
      <c r="K1413" s="6">
        <f>IF(OR(A1413="",B1413=""),"",DATE(YEAR(B1413),MONTH(B1413),1))</f>
        <v/>
      </c>
      <c r="L1413" s="7">
        <f>IF(COUNTA(A1413,B1413)=0,"",IF(OR(A1413="",B1413=""),"Preencher CPF e entrada",IF(COUNTIFS($A$12:$A$5011,A1413,$B$12:$B$5011,B1413)&gt;1,"CPF + dia duplicado",IF(OR(AND(E1413&lt;&gt;"",E1413&lt;B1413),AND(F1413&lt;&gt;"",F1413&lt;B1413)),"Evento anterior à entrada",IF(AND(F1413&lt;&gt;"",E1413=""),"Conversa sem agendamento",IF(OR(E1413&gt;TODAY(),F1413&gt;TODAY()),"Verificar evento futuro","OK"))))))</f>
        <v/>
      </c>
    </row>
    <row r="1414" spans="9:12">
      <c r="I1414" s="5">
        <f>IF(OR(A1414="",B1414=""),"",B1414-WEEKDAY(B1414,2)+1)</f>
        <v/>
      </c>
      <c r="J1414" s="5">
        <f>IF(I1414="","",I1414+6)</f>
        <v/>
      </c>
      <c r="K1414" s="6">
        <f>IF(OR(A1414="",B1414=""),"",DATE(YEAR(B1414),MONTH(B1414),1))</f>
        <v/>
      </c>
      <c r="L1414" s="7">
        <f>IF(COUNTA(A1414,B1414)=0,"",IF(OR(A1414="",B1414=""),"Preencher CPF e entrada",IF(COUNTIFS($A$12:$A$5011,A1414,$B$12:$B$5011,B1414)&gt;1,"CPF + dia duplicado",IF(OR(AND(E1414&lt;&gt;"",E1414&lt;B1414),AND(F1414&lt;&gt;"",F1414&lt;B1414)),"Evento anterior à entrada",IF(AND(F1414&lt;&gt;"",E1414=""),"Conversa sem agendamento",IF(OR(E1414&gt;TODAY(),F1414&gt;TODAY()),"Verificar evento futuro","OK"))))))</f>
        <v/>
      </c>
    </row>
    <row r="1415" spans="9:12">
      <c r="I1415" s="5">
        <f>IF(OR(A1415="",B1415=""),"",B1415-WEEKDAY(B1415,2)+1)</f>
        <v/>
      </c>
      <c r="J1415" s="5">
        <f>IF(I1415="","",I1415+6)</f>
        <v/>
      </c>
      <c r="K1415" s="6">
        <f>IF(OR(A1415="",B1415=""),"",DATE(YEAR(B1415),MONTH(B1415),1))</f>
        <v/>
      </c>
      <c r="L1415" s="7">
        <f>IF(COUNTA(A1415,B1415)=0,"",IF(OR(A1415="",B1415=""),"Preencher CPF e entrada",IF(COUNTIFS($A$12:$A$5011,A1415,$B$12:$B$5011,B1415)&gt;1,"CPF + dia duplicado",IF(OR(AND(E1415&lt;&gt;"",E1415&lt;B1415),AND(F1415&lt;&gt;"",F1415&lt;B1415)),"Evento anterior à entrada",IF(AND(F1415&lt;&gt;"",E1415=""),"Conversa sem agendamento",IF(OR(E1415&gt;TODAY(),F1415&gt;TODAY()),"Verificar evento futuro","OK"))))))</f>
        <v/>
      </c>
    </row>
    <row r="1416" spans="9:12">
      <c r="I1416" s="5">
        <f>IF(OR(A1416="",B1416=""),"",B1416-WEEKDAY(B1416,2)+1)</f>
        <v/>
      </c>
      <c r="J1416" s="5">
        <f>IF(I1416="","",I1416+6)</f>
        <v/>
      </c>
      <c r="K1416" s="6">
        <f>IF(OR(A1416="",B1416=""),"",DATE(YEAR(B1416),MONTH(B1416),1))</f>
        <v/>
      </c>
      <c r="L1416" s="7">
        <f>IF(COUNTA(A1416,B1416)=0,"",IF(OR(A1416="",B1416=""),"Preencher CPF e entrada",IF(COUNTIFS($A$12:$A$5011,A1416,$B$12:$B$5011,B1416)&gt;1,"CPF + dia duplicado",IF(OR(AND(E1416&lt;&gt;"",E1416&lt;B1416),AND(F1416&lt;&gt;"",F1416&lt;B1416)),"Evento anterior à entrada",IF(AND(F1416&lt;&gt;"",E1416=""),"Conversa sem agendamento",IF(OR(E1416&gt;TODAY(),F1416&gt;TODAY()),"Verificar evento futuro","OK"))))))</f>
        <v/>
      </c>
    </row>
    <row r="1417" spans="9:12">
      <c r="I1417" s="5">
        <f>IF(OR(A1417="",B1417=""),"",B1417-WEEKDAY(B1417,2)+1)</f>
        <v/>
      </c>
      <c r="J1417" s="5">
        <f>IF(I1417="","",I1417+6)</f>
        <v/>
      </c>
      <c r="K1417" s="6">
        <f>IF(OR(A1417="",B1417=""),"",DATE(YEAR(B1417),MONTH(B1417),1))</f>
        <v/>
      </c>
      <c r="L1417" s="7">
        <f>IF(COUNTA(A1417,B1417)=0,"",IF(OR(A1417="",B1417=""),"Preencher CPF e entrada",IF(COUNTIFS($A$12:$A$5011,A1417,$B$12:$B$5011,B1417)&gt;1,"CPF + dia duplicado",IF(OR(AND(E1417&lt;&gt;"",E1417&lt;B1417),AND(F1417&lt;&gt;"",F1417&lt;B1417)),"Evento anterior à entrada",IF(AND(F1417&lt;&gt;"",E1417=""),"Conversa sem agendamento",IF(OR(E1417&gt;TODAY(),F1417&gt;TODAY()),"Verificar evento futuro","OK"))))))</f>
        <v/>
      </c>
    </row>
    <row r="1418" spans="9:12">
      <c r="I1418" s="5">
        <f>IF(OR(A1418="",B1418=""),"",B1418-WEEKDAY(B1418,2)+1)</f>
        <v/>
      </c>
      <c r="J1418" s="5">
        <f>IF(I1418="","",I1418+6)</f>
        <v/>
      </c>
      <c r="K1418" s="6">
        <f>IF(OR(A1418="",B1418=""),"",DATE(YEAR(B1418),MONTH(B1418),1))</f>
        <v/>
      </c>
      <c r="L1418" s="7">
        <f>IF(COUNTA(A1418,B1418)=0,"",IF(OR(A1418="",B1418=""),"Preencher CPF e entrada",IF(COUNTIFS($A$12:$A$5011,A1418,$B$12:$B$5011,B1418)&gt;1,"CPF + dia duplicado",IF(OR(AND(E1418&lt;&gt;"",E1418&lt;B1418),AND(F1418&lt;&gt;"",F1418&lt;B1418)),"Evento anterior à entrada",IF(AND(F1418&lt;&gt;"",E1418=""),"Conversa sem agendamento",IF(OR(E1418&gt;TODAY(),F1418&gt;TODAY()),"Verificar evento futuro","OK"))))))</f>
        <v/>
      </c>
    </row>
    <row r="1419" spans="9:12">
      <c r="I1419" s="5">
        <f>IF(OR(A1419="",B1419=""),"",B1419-WEEKDAY(B1419,2)+1)</f>
        <v/>
      </c>
      <c r="J1419" s="5">
        <f>IF(I1419="","",I1419+6)</f>
        <v/>
      </c>
      <c r="K1419" s="6">
        <f>IF(OR(A1419="",B1419=""),"",DATE(YEAR(B1419),MONTH(B1419),1))</f>
        <v/>
      </c>
      <c r="L1419" s="7">
        <f>IF(COUNTA(A1419,B1419)=0,"",IF(OR(A1419="",B1419=""),"Preencher CPF e entrada",IF(COUNTIFS($A$12:$A$5011,A1419,$B$12:$B$5011,B1419)&gt;1,"CPF + dia duplicado",IF(OR(AND(E1419&lt;&gt;"",E1419&lt;B1419),AND(F1419&lt;&gt;"",F1419&lt;B1419)),"Evento anterior à entrada",IF(AND(F1419&lt;&gt;"",E1419=""),"Conversa sem agendamento",IF(OR(E1419&gt;TODAY(),F1419&gt;TODAY()),"Verificar evento futuro","OK"))))))</f>
        <v/>
      </c>
    </row>
    <row r="1420" spans="9:12">
      <c r="I1420" s="5">
        <f>IF(OR(A1420="",B1420=""),"",B1420-WEEKDAY(B1420,2)+1)</f>
        <v/>
      </c>
      <c r="J1420" s="5">
        <f>IF(I1420="","",I1420+6)</f>
        <v/>
      </c>
      <c r="K1420" s="6">
        <f>IF(OR(A1420="",B1420=""),"",DATE(YEAR(B1420),MONTH(B1420),1))</f>
        <v/>
      </c>
      <c r="L1420" s="7">
        <f>IF(COUNTA(A1420,B1420)=0,"",IF(OR(A1420="",B1420=""),"Preencher CPF e entrada",IF(COUNTIFS($A$12:$A$5011,A1420,$B$12:$B$5011,B1420)&gt;1,"CPF + dia duplicado",IF(OR(AND(E1420&lt;&gt;"",E1420&lt;B1420),AND(F1420&lt;&gt;"",F1420&lt;B1420)),"Evento anterior à entrada",IF(AND(F1420&lt;&gt;"",E1420=""),"Conversa sem agendamento",IF(OR(E1420&gt;TODAY(),F1420&gt;TODAY()),"Verificar evento futuro","OK"))))))</f>
        <v/>
      </c>
    </row>
    <row r="1421" spans="9:12">
      <c r="I1421" s="5">
        <f>IF(OR(A1421="",B1421=""),"",B1421-WEEKDAY(B1421,2)+1)</f>
        <v/>
      </c>
      <c r="J1421" s="5">
        <f>IF(I1421="","",I1421+6)</f>
        <v/>
      </c>
      <c r="K1421" s="6">
        <f>IF(OR(A1421="",B1421=""),"",DATE(YEAR(B1421),MONTH(B1421),1))</f>
        <v/>
      </c>
      <c r="L1421" s="7">
        <f>IF(COUNTA(A1421,B1421)=0,"",IF(OR(A1421="",B1421=""),"Preencher CPF e entrada",IF(COUNTIFS($A$12:$A$5011,A1421,$B$12:$B$5011,B1421)&gt;1,"CPF + dia duplicado",IF(OR(AND(E1421&lt;&gt;"",E1421&lt;B1421),AND(F1421&lt;&gt;"",F1421&lt;B1421)),"Evento anterior à entrada",IF(AND(F1421&lt;&gt;"",E1421=""),"Conversa sem agendamento",IF(OR(E1421&gt;TODAY(),F1421&gt;TODAY()),"Verificar evento futuro","OK"))))))</f>
        <v/>
      </c>
    </row>
    <row r="1422" spans="9:12">
      <c r="I1422" s="5">
        <f>IF(OR(A1422="",B1422=""),"",B1422-WEEKDAY(B1422,2)+1)</f>
        <v/>
      </c>
      <c r="J1422" s="5">
        <f>IF(I1422="","",I1422+6)</f>
        <v/>
      </c>
      <c r="K1422" s="6">
        <f>IF(OR(A1422="",B1422=""),"",DATE(YEAR(B1422),MONTH(B1422),1))</f>
        <v/>
      </c>
      <c r="L1422" s="7">
        <f>IF(COUNTA(A1422,B1422)=0,"",IF(OR(A1422="",B1422=""),"Preencher CPF e entrada",IF(COUNTIFS($A$12:$A$5011,A1422,$B$12:$B$5011,B1422)&gt;1,"CPF + dia duplicado",IF(OR(AND(E1422&lt;&gt;"",E1422&lt;B1422),AND(F1422&lt;&gt;"",F1422&lt;B1422)),"Evento anterior à entrada",IF(AND(F1422&lt;&gt;"",E1422=""),"Conversa sem agendamento",IF(OR(E1422&gt;TODAY(),F1422&gt;TODAY()),"Verificar evento futuro","OK"))))))</f>
        <v/>
      </c>
    </row>
    <row r="1423" spans="9:12">
      <c r="I1423" s="5">
        <f>IF(OR(A1423="",B1423=""),"",B1423-WEEKDAY(B1423,2)+1)</f>
        <v/>
      </c>
      <c r="J1423" s="5">
        <f>IF(I1423="","",I1423+6)</f>
        <v/>
      </c>
      <c r="K1423" s="6">
        <f>IF(OR(A1423="",B1423=""),"",DATE(YEAR(B1423),MONTH(B1423),1))</f>
        <v/>
      </c>
      <c r="L1423" s="7">
        <f>IF(COUNTA(A1423,B1423)=0,"",IF(OR(A1423="",B1423=""),"Preencher CPF e entrada",IF(COUNTIFS($A$12:$A$5011,A1423,$B$12:$B$5011,B1423)&gt;1,"CPF + dia duplicado",IF(OR(AND(E1423&lt;&gt;"",E1423&lt;B1423),AND(F1423&lt;&gt;"",F1423&lt;B1423)),"Evento anterior à entrada",IF(AND(F1423&lt;&gt;"",E1423=""),"Conversa sem agendamento",IF(OR(E1423&gt;TODAY(),F1423&gt;TODAY()),"Verificar evento futuro","OK"))))))</f>
        <v/>
      </c>
    </row>
    <row r="1424" spans="9:12">
      <c r="I1424" s="5">
        <f>IF(OR(A1424="",B1424=""),"",B1424-WEEKDAY(B1424,2)+1)</f>
        <v/>
      </c>
      <c r="J1424" s="5">
        <f>IF(I1424="","",I1424+6)</f>
        <v/>
      </c>
      <c r="K1424" s="6">
        <f>IF(OR(A1424="",B1424=""),"",DATE(YEAR(B1424),MONTH(B1424),1))</f>
        <v/>
      </c>
      <c r="L1424" s="7">
        <f>IF(COUNTA(A1424,B1424)=0,"",IF(OR(A1424="",B1424=""),"Preencher CPF e entrada",IF(COUNTIFS($A$12:$A$5011,A1424,$B$12:$B$5011,B1424)&gt;1,"CPF + dia duplicado",IF(OR(AND(E1424&lt;&gt;"",E1424&lt;B1424),AND(F1424&lt;&gt;"",F1424&lt;B1424)),"Evento anterior à entrada",IF(AND(F1424&lt;&gt;"",E1424=""),"Conversa sem agendamento",IF(OR(E1424&gt;TODAY(),F1424&gt;TODAY()),"Verificar evento futuro","OK"))))))</f>
        <v/>
      </c>
    </row>
    <row r="1425" spans="9:12">
      <c r="I1425" s="5">
        <f>IF(OR(A1425="",B1425=""),"",B1425-WEEKDAY(B1425,2)+1)</f>
        <v/>
      </c>
      <c r="J1425" s="5">
        <f>IF(I1425="","",I1425+6)</f>
        <v/>
      </c>
      <c r="K1425" s="6">
        <f>IF(OR(A1425="",B1425=""),"",DATE(YEAR(B1425),MONTH(B1425),1))</f>
        <v/>
      </c>
      <c r="L1425" s="7">
        <f>IF(COUNTA(A1425,B1425)=0,"",IF(OR(A1425="",B1425=""),"Preencher CPF e entrada",IF(COUNTIFS($A$12:$A$5011,A1425,$B$12:$B$5011,B1425)&gt;1,"CPF + dia duplicado",IF(OR(AND(E1425&lt;&gt;"",E1425&lt;B1425),AND(F1425&lt;&gt;"",F1425&lt;B1425)),"Evento anterior à entrada",IF(AND(F1425&lt;&gt;"",E1425=""),"Conversa sem agendamento",IF(OR(E1425&gt;TODAY(),F1425&gt;TODAY()),"Verificar evento futuro","OK"))))))</f>
        <v/>
      </c>
    </row>
    <row r="1426" spans="9:12">
      <c r="I1426" s="5">
        <f>IF(OR(A1426="",B1426=""),"",B1426-WEEKDAY(B1426,2)+1)</f>
        <v/>
      </c>
      <c r="J1426" s="5">
        <f>IF(I1426="","",I1426+6)</f>
        <v/>
      </c>
      <c r="K1426" s="6">
        <f>IF(OR(A1426="",B1426=""),"",DATE(YEAR(B1426),MONTH(B1426),1))</f>
        <v/>
      </c>
      <c r="L1426" s="7">
        <f>IF(COUNTA(A1426,B1426)=0,"",IF(OR(A1426="",B1426=""),"Preencher CPF e entrada",IF(COUNTIFS($A$12:$A$5011,A1426,$B$12:$B$5011,B1426)&gt;1,"CPF + dia duplicado",IF(OR(AND(E1426&lt;&gt;"",E1426&lt;B1426),AND(F1426&lt;&gt;"",F1426&lt;B1426)),"Evento anterior à entrada",IF(AND(F1426&lt;&gt;"",E1426=""),"Conversa sem agendamento",IF(OR(E1426&gt;TODAY(),F1426&gt;TODAY()),"Verificar evento futuro","OK"))))))</f>
        <v/>
      </c>
    </row>
    <row r="1427" spans="9:12">
      <c r="I1427" s="5">
        <f>IF(OR(A1427="",B1427=""),"",B1427-WEEKDAY(B1427,2)+1)</f>
        <v/>
      </c>
      <c r="J1427" s="5">
        <f>IF(I1427="","",I1427+6)</f>
        <v/>
      </c>
      <c r="K1427" s="6">
        <f>IF(OR(A1427="",B1427=""),"",DATE(YEAR(B1427),MONTH(B1427),1))</f>
        <v/>
      </c>
      <c r="L1427" s="7">
        <f>IF(COUNTA(A1427,B1427)=0,"",IF(OR(A1427="",B1427=""),"Preencher CPF e entrada",IF(COUNTIFS($A$12:$A$5011,A1427,$B$12:$B$5011,B1427)&gt;1,"CPF + dia duplicado",IF(OR(AND(E1427&lt;&gt;"",E1427&lt;B1427),AND(F1427&lt;&gt;"",F1427&lt;B1427)),"Evento anterior à entrada",IF(AND(F1427&lt;&gt;"",E1427=""),"Conversa sem agendamento",IF(OR(E1427&gt;TODAY(),F1427&gt;TODAY()),"Verificar evento futuro","OK"))))))</f>
        <v/>
      </c>
    </row>
    <row r="1428" spans="9:12">
      <c r="I1428" s="5">
        <f>IF(OR(A1428="",B1428=""),"",B1428-WEEKDAY(B1428,2)+1)</f>
        <v/>
      </c>
      <c r="J1428" s="5">
        <f>IF(I1428="","",I1428+6)</f>
        <v/>
      </c>
      <c r="K1428" s="6">
        <f>IF(OR(A1428="",B1428=""),"",DATE(YEAR(B1428),MONTH(B1428),1))</f>
        <v/>
      </c>
      <c r="L1428" s="7">
        <f>IF(COUNTA(A1428,B1428)=0,"",IF(OR(A1428="",B1428=""),"Preencher CPF e entrada",IF(COUNTIFS($A$12:$A$5011,A1428,$B$12:$B$5011,B1428)&gt;1,"CPF + dia duplicado",IF(OR(AND(E1428&lt;&gt;"",E1428&lt;B1428),AND(F1428&lt;&gt;"",F1428&lt;B1428)),"Evento anterior à entrada",IF(AND(F1428&lt;&gt;"",E1428=""),"Conversa sem agendamento",IF(OR(E1428&gt;TODAY(),F1428&gt;TODAY()),"Verificar evento futuro","OK"))))))</f>
        <v/>
      </c>
    </row>
    <row r="1429" spans="9:12">
      <c r="I1429" s="5">
        <f>IF(OR(A1429="",B1429=""),"",B1429-WEEKDAY(B1429,2)+1)</f>
        <v/>
      </c>
      <c r="J1429" s="5">
        <f>IF(I1429="","",I1429+6)</f>
        <v/>
      </c>
      <c r="K1429" s="6">
        <f>IF(OR(A1429="",B1429=""),"",DATE(YEAR(B1429),MONTH(B1429),1))</f>
        <v/>
      </c>
      <c r="L1429" s="7">
        <f>IF(COUNTA(A1429,B1429)=0,"",IF(OR(A1429="",B1429=""),"Preencher CPF e entrada",IF(COUNTIFS($A$12:$A$5011,A1429,$B$12:$B$5011,B1429)&gt;1,"CPF + dia duplicado",IF(OR(AND(E1429&lt;&gt;"",E1429&lt;B1429),AND(F1429&lt;&gt;"",F1429&lt;B1429)),"Evento anterior à entrada",IF(AND(F1429&lt;&gt;"",E1429=""),"Conversa sem agendamento",IF(OR(E1429&gt;TODAY(),F1429&gt;TODAY()),"Verificar evento futuro","OK"))))))</f>
        <v/>
      </c>
    </row>
    <row r="1430" spans="9:12">
      <c r="I1430" s="5">
        <f>IF(OR(A1430="",B1430=""),"",B1430-WEEKDAY(B1430,2)+1)</f>
        <v/>
      </c>
      <c r="J1430" s="5">
        <f>IF(I1430="","",I1430+6)</f>
        <v/>
      </c>
      <c r="K1430" s="6">
        <f>IF(OR(A1430="",B1430=""),"",DATE(YEAR(B1430),MONTH(B1430),1))</f>
        <v/>
      </c>
      <c r="L1430" s="7">
        <f>IF(COUNTA(A1430,B1430)=0,"",IF(OR(A1430="",B1430=""),"Preencher CPF e entrada",IF(COUNTIFS($A$12:$A$5011,A1430,$B$12:$B$5011,B1430)&gt;1,"CPF + dia duplicado",IF(OR(AND(E1430&lt;&gt;"",E1430&lt;B1430),AND(F1430&lt;&gt;"",F1430&lt;B1430)),"Evento anterior à entrada",IF(AND(F1430&lt;&gt;"",E1430=""),"Conversa sem agendamento",IF(OR(E1430&gt;TODAY(),F1430&gt;TODAY()),"Verificar evento futuro","OK"))))))</f>
        <v/>
      </c>
    </row>
    <row r="1431" spans="9:12">
      <c r="I1431" s="5">
        <f>IF(OR(A1431="",B1431=""),"",B1431-WEEKDAY(B1431,2)+1)</f>
        <v/>
      </c>
      <c r="J1431" s="5">
        <f>IF(I1431="","",I1431+6)</f>
        <v/>
      </c>
      <c r="K1431" s="6">
        <f>IF(OR(A1431="",B1431=""),"",DATE(YEAR(B1431),MONTH(B1431),1))</f>
        <v/>
      </c>
      <c r="L1431" s="7">
        <f>IF(COUNTA(A1431,B1431)=0,"",IF(OR(A1431="",B1431=""),"Preencher CPF e entrada",IF(COUNTIFS($A$12:$A$5011,A1431,$B$12:$B$5011,B1431)&gt;1,"CPF + dia duplicado",IF(OR(AND(E1431&lt;&gt;"",E1431&lt;B1431),AND(F1431&lt;&gt;"",F1431&lt;B1431)),"Evento anterior à entrada",IF(AND(F1431&lt;&gt;"",E1431=""),"Conversa sem agendamento",IF(OR(E1431&gt;TODAY(),F1431&gt;TODAY()),"Verificar evento futuro","OK"))))))</f>
        <v/>
      </c>
    </row>
    <row r="1432" spans="9:12">
      <c r="I1432" s="5">
        <f>IF(OR(A1432="",B1432=""),"",B1432-WEEKDAY(B1432,2)+1)</f>
        <v/>
      </c>
      <c r="J1432" s="5">
        <f>IF(I1432="","",I1432+6)</f>
        <v/>
      </c>
      <c r="K1432" s="6">
        <f>IF(OR(A1432="",B1432=""),"",DATE(YEAR(B1432),MONTH(B1432),1))</f>
        <v/>
      </c>
      <c r="L1432" s="7">
        <f>IF(COUNTA(A1432,B1432)=0,"",IF(OR(A1432="",B1432=""),"Preencher CPF e entrada",IF(COUNTIFS($A$12:$A$5011,A1432,$B$12:$B$5011,B1432)&gt;1,"CPF + dia duplicado",IF(OR(AND(E1432&lt;&gt;"",E1432&lt;B1432),AND(F1432&lt;&gt;"",F1432&lt;B1432)),"Evento anterior à entrada",IF(AND(F1432&lt;&gt;"",E1432=""),"Conversa sem agendamento",IF(OR(E1432&gt;TODAY(),F1432&gt;TODAY()),"Verificar evento futuro","OK"))))))</f>
        <v/>
      </c>
    </row>
    <row r="1433" spans="9:12">
      <c r="I1433" s="5">
        <f>IF(OR(A1433="",B1433=""),"",B1433-WEEKDAY(B1433,2)+1)</f>
        <v/>
      </c>
      <c r="J1433" s="5">
        <f>IF(I1433="","",I1433+6)</f>
        <v/>
      </c>
      <c r="K1433" s="6">
        <f>IF(OR(A1433="",B1433=""),"",DATE(YEAR(B1433),MONTH(B1433),1))</f>
        <v/>
      </c>
      <c r="L1433" s="7">
        <f>IF(COUNTA(A1433,B1433)=0,"",IF(OR(A1433="",B1433=""),"Preencher CPF e entrada",IF(COUNTIFS($A$12:$A$5011,A1433,$B$12:$B$5011,B1433)&gt;1,"CPF + dia duplicado",IF(OR(AND(E1433&lt;&gt;"",E1433&lt;B1433),AND(F1433&lt;&gt;"",F1433&lt;B1433)),"Evento anterior à entrada",IF(AND(F1433&lt;&gt;"",E1433=""),"Conversa sem agendamento",IF(OR(E1433&gt;TODAY(),F1433&gt;TODAY()),"Verificar evento futuro","OK"))))))</f>
        <v/>
      </c>
    </row>
    <row r="1434" spans="9:12">
      <c r="I1434" s="5">
        <f>IF(OR(A1434="",B1434=""),"",B1434-WEEKDAY(B1434,2)+1)</f>
        <v/>
      </c>
      <c r="J1434" s="5">
        <f>IF(I1434="","",I1434+6)</f>
        <v/>
      </c>
      <c r="K1434" s="6">
        <f>IF(OR(A1434="",B1434=""),"",DATE(YEAR(B1434),MONTH(B1434),1))</f>
        <v/>
      </c>
      <c r="L1434" s="7">
        <f>IF(COUNTA(A1434,B1434)=0,"",IF(OR(A1434="",B1434=""),"Preencher CPF e entrada",IF(COUNTIFS($A$12:$A$5011,A1434,$B$12:$B$5011,B1434)&gt;1,"CPF + dia duplicado",IF(OR(AND(E1434&lt;&gt;"",E1434&lt;B1434),AND(F1434&lt;&gt;"",F1434&lt;B1434)),"Evento anterior à entrada",IF(AND(F1434&lt;&gt;"",E1434=""),"Conversa sem agendamento",IF(OR(E1434&gt;TODAY(),F1434&gt;TODAY()),"Verificar evento futuro","OK"))))))</f>
        <v/>
      </c>
    </row>
    <row r="1435" spans="9:12">
      <c r="I1435" s="5">
        <f>IF(OR(A1435="",B1435=""),"",B1435-WEEKDAY(B1435,2)+1)</f>
        <v/>
      </c>
      <c r="J1435" s="5">
        <f>IF(I1435="","",I1435+6)</f>
        <v/>
      </c>
      <c r="K1435" s="6">
        <f>IF(OR(A1435="",B1435=""),"",DATE(YEAR(B1435),MONTH(B1435),1))</f>
        <v/>
      </c>
      <c r="L1435" s="7">
        <f>IF(COUNTA(A1435,B1435)=0,"",IF(OR(A1435="",B1435=""),"Preencher CPF e entrada",IF(COUNTIFS($A$12:$A$5011,A1435,$B$12:$B$5011,B1435)&gt;1,"CPF + dia duplicado",IF(OR(AND(E1435&lt;&gt;"",E1435&lt;B1435),AND(F1435&lt;&gt;"",F1435&lt;B1435)),"Evento anterior à entrada",IF(AND(F1435&lt;&gt;"",E1435=""),"Conversa sem agendamento",IF(OR(E1435&gt;TODAY(),F1435&gt;TODAY()),"Verificar evento futuro","OK"))))))</f>
        <v/>
      </c>
    </row>
    <row r="1436" spans="9:12">
      <c r="I1436" s="5">
        <f>IF(OR(A1436="",B1436=""),"",B1436-WEEKDAY(B1436,2)+1)</f>
        <v/>
      </c>
      <c r="J1436" s="5">
        <f>IF(I1436="","",I1436+6)</f>
        <v/>
      </c>
      <c r="K1436" s="6">
        <f>IF(OR(A1436="",B1436=""),"",DATE(YEAR(B1436),MONTH(B1436),1))</f>
        <v/>
      </c>
      <c r="L1436" s="7">
        <f>IF(COUNTA(A1436,B1436)=0,"",IF(OR(A1436="",B1436=""),"Preencher CPF e entrada",IF(COUNTIFS($A$12:$A$5011,A1436,$B$12:$B$5011,B1436)&gt;1,"CPF + dia duplicado",IF(OR(AND(E1436&lt;&gt;"",E1436&lt;B1436),AND(F1436&lt;&gt;"",F1436&lt;B1436)),"Evento anterior à entrada",IF(AND(F1436&lt;&gt;"",E1436=""),"Conversa sem agendamento",IF(OR(E1436&gt;TODAY(),F1436&gt;TODAY()),"Verificar evento futuro","OK"))))))</f>
        <v/>
      </c>
    </row>
    <row r="1437" spans="9:12">
      <c r="I1437" s="5">
        <f>IF(OR(A1437="",B1437=""),"",B1437-WEEKDAY(B1437,2)+1)</f>
        <v/>
      </c>
      <c r="J1437" s="5">
        <f>IF(I1437="","",I1437+6)</f>
        <v/>
      </c>
      <c r="K1437" s="6">
        <f>IF(OR(A1437="",B1437=""),"",DATE(YEAR(B1437),MONTH(B1437),1))</f>
        <v/>
      </c>
      <c r="L1437" s="7">
        <f>IF(COUNTA(A1437,B1437)=0,"",IF(OR(A1437="",B1437=""),"Preencher CPF e entrada",IF(COUNTIFS($A$12:$A$5011,A1437,$B$12:$B$5011,B1437)&gt;1,"CPF + dia duplicado",IF(OR(AND(E1437&lt;&gt;"",E1437&lt;B1437),AND(F1437&lt;&gt;"",F1437&lt;B1437)),"Evento anterior à entrada",IF(AND(F1437&lt;&gt;"",E1437=""),"Conversa sem agendamento",IF(OR(E1437&gt;TODAY(),F1437&gt;TODAY()),"Verificar evento futuro","OK"))))))</f>
        <v/>
      </c>
    </row>
    <row r="1438" spans="9:12">
      <c r="I1438" s="5">
        <f>IF(OR(A1438="",B1438=""),"",B1438-WEEKDAY(B1438,2)+1)</f>
        <v/>
      </c>
      <c r="J1438" s="5">
        <f>IF(I1438="","",I1438+6)</f>
        <v/>
      </c>
      <c r="K1438" s="6">
        <f>IF(OR(A1438="",B1438=""),"",DATE(YEAR(B1438),MONTH(B1438),1))</f>
        <v/>
      </c>
      <c r="L1438" s="7">
        <f>IF(COUNTA(A1438,B1438)=0,"",IF(OR(A1438="",B1438=""),"Preencher CPF e entrada",IF(COUNTIFS($A$12:$A$5011,A1438,$B$12:$B$5011,B1438)&gt;1,"CPF + dia duplicado",IF(OR(AND(E1438&lt;&gt;"",E1438&lt;B1438),AND(F1438&lt;&gt;"",F1438&lt;B1438)),"Evento anterior à entrada",IF(AND(F1438&lt;&gt;"",E1438=""),"Conversa sem agendamento",IF(OR(E1438&gt;TODAY(),F1438&gt;TODAY()),"Verificar evento futuro","OK"))))))</f>
        <v/>
      </c>
    </row>
    <row r="1439" spans="9:12">
      <c r="I1439" s="5">
        <f>IF(OR(A1439="",B1439=""),"",B1439-WEEKDAY(B1439,2)+1)</f>
        <v/>
      </c>
      <c r="J1439" s="5">
        <f>IF(I1439="","",I1439+6)</f>
        <v/>
      </c>
      <c r="K1439" s="6">
        <f>IF(OR(A1439="",B1439=""),"",DATE(YEAR(B1439),MONTH(B1439),1))</f>
        <v/>
      </c>
      <c r="L1439" s="7">
        <f>IF(COUNTA(A1439,B1439)=0,"",IF(OR(A1439="",B1439=""),"Preencher CPF e entrada",IF(COUNTIFS($A$12:$A$5011,A1439,$B$12:$B$5011,B1439)&gt;1,"CPF + dia duplicado",IF(OR(AND(E1439&lt;&gt;"",E1439&lt;B1439),AND(F1439&lt;&gt;"",F1439&lt;B1439)),"Evento anterior à entrada",IF(AND(F1439&lt;&gt;"",E1439=""),"Conversa sem agendamento",IF(OR(E1439&gt;TODAY(),F1439&gt;TODAY()),"Verificar evento futuro","OK"))))))</f>
        <v/>
      </c>
    </row>
    <row r="1440" spans="9:12">
      <c r="I1440" s="5">
        <f>IF(OR(A1440="",B1440=""),"",B1440-WEEKDAY(B1440,2)+1)</f>
        <v/>
      </c>
      <c r="J1440" s="5">
        <f>IF(I1440="","",I1440+6)</f>
        <v/>
      </c>
      <c r="K1440" s="6">
        <f>IF(OR(A1440="",B1440=""),"",DATE(YEAR(B1440),MONTH(B1440),1))</f>
        <v/>
      </c>
      <c r="L1440" s="7">
        <f>IF(COUNTA(A1440,B1440)=0,"",IF(OR(A1440="",B1440=""),"Preencher CPF e entrada",IF(COUNTIFS($A$12:$A$5011,A1440,$B$12:$B$5011,B1440)&gt;1,"CPF + dia duplicado",IF(OR(AND(E1440&lt;&gt;"",E1440&lt;B1440),AND(F1440&lt;&gt;"",F1440&lt;B1440)),"Evento anterior à entrada",IF(AND(F1440&lt;&gt;"",E1440=""),"Conversa sem agendamento",IF(OR(E1440&gt;TODAY(),F1440&gt;TODAY()),"Verificar evento futuro","OK"))))))</f>
        <v/>
      </c>
    </row>
    <row r="1441" spans="9:12">
      <c r="I1441" s="5">
        <f>IF(OR(A1441="",B1441=""),"",B1441-WEEKDAY(B1441,2)+1)</f>
        <v/>
      </c>
      <c r="J1441" s="5">
        <f>IF(I1441="","",I1441+6)</f>
        <v/>
      </c>
      <c r="K1441" s="6">
        <f>IF(OR(A1441="",B1441=""),"",DATE(YEAR(B1441),MONTH(B1441),1))</f>
        <v/>
      </c>
      <c r="L1441" s="7">
        <f>IF(COUNTA(A1441,B1441)=0,"",IF(OR(A1441="",B1441=""),"Preencher CPF e entrada",IF(COUNTIFS($A$12:$A$5011,A1441,$B$12:$B$5011,B1441)&gt;1,"CPF + dia duplicado",IF(OR(AND(E1441&lt;&gt;"",E1441&lt;B1441),AND(F1441&lt;&gt;"",F1441&lt;B1441)),"Evento anterior à entrada",IF(AND(F1441&lt;&gt;"",E1441=""),"Conversa sem agendamento",IF(OR(E1441&gt;TODAY(),F1441&gt;TODAY()),"Verificar evento futuro","OK"))))))</f>
        <v/>
      </c>
    </row>
    <row r="1442" spans="9:12">
      <c r="I1442" s="5">
        <f>IF(OR(A1442="",B1442=""),"",B1442-WEEKDAY(B1442,2)+1)</f>
        <v/>
      </c>
      <c r="J1442" s="5">
        <f>IF(I1442="","",I1442+6)</f>
        <v/>
      </c>
      <c r="K1442" s="6">
        <f>IF(OR(A1442="",B1442=""),"",DATE(YEAR(B1442),MONTH(B1442),1))</f>
        <v/>
      </c>
      <c r="L1442" s="7">
        <f>IF(COUNTA(A1442,B1442)=0,"",IF(OR(A1442="",B1442=""),"Preencher CPF e entrada",IF(COUNTIFS($A$12:$A$5011,A1442,$B$12:$B$5011,B1442)&gt;1,"CPF + dia duplicado",IF(OR(AND(E1442&lt;&gt;"",E1442&lt;B1442),AND(F1442&lt;&gt;"",F1442&lt;B1442)),"Evento anterior à entrada",IF(AND(F1442&lt;&gt;"",E1442=""),"Conversa sem agendamento",IF(OR(E1442&gt;TODAY(),F1442&gt;TODAY()),"Verificar evento futuro","OK"))))))</f>
        <v/>
      </c>
    </row>
    <row r="1443" spans="9:12">
      <c r="I1443" s="5">
        <f>IF(OR(A1443="",B1443=""),"",B1443-WEEKDAY(B1443,2)+1)</f>
        <v/>
      </c>
      <c r="J1443" s="5">
        <f>IF(I1443="","",I1443+6)</f>
        <v/>
      </c>
      <c r="K1443" s="6">
        <f>IF(OR(A1443="",B1443=""),"",DATE(YEAR(B1443),MONTH(B1443),1))</f>
        <v/>
      </c>
      <c r="L1443" s="7">
        <f>IF(COUNTA(A1443,B1443)=0,"",IF(OR(A1443="",B1443=""),"Preencher CPF e entrada",IF(COUNTIFS($A$12:$A$5011,A1443,$B$12:$B$5011,B1443)&gt;1,"CPF + dia duplicado",IF(OR(AND(E1443&lt;&gt;"",E1443&lt;B1443),AND(F1443&lt;&gt;"",F1443&lt;B1443)),"Evento anterior à entrada",IF(AND(F1443&lt;&gt;"",E1443=""),"Conversa sem agendamento",IF(OR(E1443&gt;TODAY(),F1443&gt;TODAY()),"Verificar evento futuro","OK"))))))</f>
        <v/>
      </c>
    </row>
    <row r="1444" spans="9:12">
      <c r="I1444" s="5">
        <f>IF(OR(A1444="",B1444=""),"",B1444-WEEKDAY(B1444,2)+1)</f>
        <v/>
      </c>
      <c r="J1444" s="5">
        <f>IF(I1444="","",I1444+6)</f>
        <v/>
      </c>
      <c r="K1444" s="6">
        <f>IF(OR(A1444="",B1444=""),"",DATE(YEAR(B1444),MONTH(B1444),1))</f>
        <v/>
      </c>
      <c r="L1444" s="7">
        <f>IF(COUNTA(A1444,B1444)=0,"",IF(OR(A1444="",B1444=""),"Preencher CPF e entrada",IF(COUNTIFS($A$12:$A$5011,A1444,$B$12:$B$5011,B1444)&gt;1,"CPF + dia duplicado",IF(OR(AND(E1444&lt;&gt;"",E1444&lt;B1444),AND(F1444&lt;&gt;"",F1444&lt;B1444)),"Evento anterior à entrada",IF(AND(F1444&lt;&gt;"",E1444=""),"Conversa sem agendamento",IF(OR(E1444&gt;TODAY(),F1444&gt;TODAY()),"Verificar evento futuro","OK"))))))</f>
        <v/>
      </c>
    </row>
    <row r="1445" spans="9:12">
      <c r="I1445" s="5">
        <f>IF(OR(A1445="",B1445=""),"",B1445-WEEKDAY(B1445,2)+1)</f>
        <v/>
      </c>
      <c r="J1445" s="5">
        <f>IF(I1445="","",I1445+6)</f>
        <v/>
      </c>
      <c r="K1445" s="6">
        <f>IF(OR(A1445="",B1445=""),"",DATE(YEAR(B1445),MONTH(B1445),1))</f>
        <v/>
      </c>
      <c r="L1445" s="7">
        <f>IF(COUNTA(A1445,B1445)=0,"",IF(OR(A1445="",B1445=""),"Preencher CPF e entrada",IF(COUNTIFS($A$12:$A$5011,A1445,$B$12:$B$5011,B1445)&gt;1,"CPF + dia duplicado",IF(OR(AND(E1445&lt;&gt;"",E1445&lt;B1445),AND(F1445&lt;&gt;"",F1445&lt;B1445)),"Evento anterior à entrada",IF(AND(F1445&lt;&gt;"",E1445=""),"Conversa sem agendamento",IF(OR(E1445&gt;TODAY(),F1445&gt;TODAY()),"Verificar evento futuro","OK"))))))</f>
        <v/>
      </c>
    </row>
    <row r="1446" spans="9:12">
      <c r="I1446" s="5">
        <f>IF(OR(A1446="",B1446=""),"",B1446-WEEKDAY(B1446,2)+1)</f>
        <v/>
      </c>
      <c r="J1446" s="5">
        <f>IF(I1446="","",I1446+6)</f>
        <v/>
      </c>
      <c r="K1446" s="6">
        <f>IF(OR(A1446="",B1446=""),"",DATE(YEAR(B1446),MONTH(B1446),1))</f>
        <v/>
      </c>
      <c r="L1446" s="7">
        <f>IF(COUNTA(A1446,B1446)=0,"",IF(OR(A1446="",B1446=""),"Preencher CPF e entrada",IF(COUNTIFS($A$12:$A$5011,A1446,$B$12:$B$5011,B1446)&gt;1,"CPF + dia duplicado",IF(OR(AND(E1446&lt;&gt;"",E1446&lt;B1446),AND(F1446&lt;&gt;"",F1446&lt;B1446)),"Evento anterior à entrada",IF(AND(F1446&lt;&gt;"",E1446=""),"Conversa sem agendamento",IF(OR(E1446&gt;TODAY(),F1446&gt;TODAY()),"Verificar evento futuro","OK"))))))</f>
        <v/>
      </c>
    </row>
    <row r="1447" spans="9:12">
      <c r="I1447" s="5">
        <f>IF(OR(A1447="",B1447=""),"",B1447-WEEKDAY(B1447,2)+1)</f>
        <v/>
      </c>
      <c r="J1447" s="5">
        <f>IF(I1447="","",I1447+6)</f>
        <v/>
      </c>
      <c r="K1447" s="6">
        <f>IF(OR(A1447="",B1447=""),"",DATE(YEAR(B1447),MONTH(B1447),1))</f>
        <v/>
      </c>
      <c r="L1447" s="7">
        <f>IF(COUNTA(A1447,B1447)=0,"",IF(OR(A1447="",B1447=""),"Preencher CPF e entrada",IF(COUNTIFS($A$12:$A$5011,A1447,$B$12:$B$5011,B1447)&gt;1,"CPF + dia duplicado",IF(OR(AND(E1447&lt;&gt;"",E1447&lt;B1447),AND(F1447&lt;&gt;"",F1447&lt;B1447)),"Evento anterior à entrada",IF(AND(F1447&lt;&gt;"",E1447=""),"Conversa sem agendamento",IF(OR(E1447&gt;TODAY(),F1447&gt;TODAY()),"Verificar evento futuro","OK"))))))</f>
        <v/>
      </c>
    </row>
    <row r="1448" spans="9:12">
      <c r="I1448" s="5">
        <f>IF(OR(A1448="",B1448=""),"",B1448-WEEKDAY(B1448,2)+1)</f>
        <v/>
      </c>
      <c r="J1448" s="5">
        <f>IF(I1448="","",I1448+6)</f>
        <v/>
      </c>
      <c r="K1448" s="6">
        <f>IF(OR(A1448="",B1448=""),"",DATE(YEAR(B1448),MONTH(B1448),1))</f>
        <v/>
      </c>
      <c r="L1448" s="7">
        <f>IF(COUNTA(A1448,B1448)=0,"",IF(OR(A1448="",B1448=""),"Preencher CPF e entrada",IF(COUNTIFS($A$12:$A$5011,A1448,$B$12:$B$5011,B1448)&gt;1,"CPF + dia duplicado",IF(OR(AND(E1448&lt;&gt;"",E1448&lt;B1448),AND(F1448&lt;&gt;"",F1448&lt;B1448)),"Evento anterior à entrada",IF(AND(F1448&lt;&gt;"",E1448=""),"Conversa sem agendamento",IF(OR(E1448&gt;TODAY(),F1448&gt;TODAY()),"Verificar evento futuro","OK"))))))</f>
        <v/>
      </c>
    </row>
    <row r="1449" spans="9:12">
      <c r="I1449" s="5">
        <f>IF(OR(A1449="",B1449=""),"",B1449-WEEKDAY(B1449,2)+1)</f>
        <v/>
      </c>
      <c r="J1449" s="5">
        <f>IF(I1449="","",I1449+6)</f>
        <v/>
      </c>
      <c r="K1449" s="6">
        <f>IF(OR(A1449="",B1449=""),"",DATE(YEAR(B1449),MONTH(B1449),1))</f>
        <v/>
      </c>
      <c r="L1449" s="7">
        <f>IF(COUNTA(A1449,B1449)=0,"",IF(OR(A1449="",B1449=""),"Preencher CPF e entrada",IF(COUNTIFS($A$12:$A$5011,A1449,$B$12:$B$5011,B1449)&gt;1,"CPF + dia duplicado",IF(OR(AND(E1449&lt;&gt;"",E1449&lt;B1449),AND(F1449&lt;&gt;"",F1449&lt;B1449)),"Evento anterior à entrada",IF(AND(F1449&lt;&gt;"",E1449=""),"Conversa sem agendamento",IF(OR(E1449&gt;TODAY(),F1449&gt;TODAY()),"Verificar evento futuro","OK"))))))</f>
        <v/>
      </c>
    </row>
    <row r="1450" spans="9:12">
      <c r="I1450" s="5">
        <f>IF(OR(A1450="",B1450=""),"",B1450-WEEKDAY(B1450,2)+1)</f>
        <v/>
      </c>
      <c r="J1450" s="5">
        <f>IF(I1450="","",I1450+6)</f>
        <v/>
      </c>
      <c r="K1450" s="6">
        <f>IF(OR(A1450="",B1450=""),"",DATE(YEAR(B1450),MONTH(B1450),1))</f>
        <v/>
      </c>
      <c r="L1450" s="7">
        <f>IF(COUNTA(A1450,B1450)=0,"",IF(OR(A1450="",B1450=""),"Preencher CPF e entrada",IF(COUNTIFS($A$12:$A$5011,A1450,$B$12:$B$5011,B1450)&gt;1,"CPF + dia duplicado",IF(OR(AND(E1450&lt;&gt;"",E1450&lt;B1450),AND(F1450&lt;&gt;"",F1450&lt;B1450)),"Evento anterior à entrada",IF(AND(F1450&lt;&gt;"",E1450=""),"Conversa sem agendamento",IF(OR(E1450&gt;TODAY(),F1450&gt;TODAY()),"Verificar evento futuro","OK"))))))</f>
        <v/>
      </c>
    </row>
    <row r="1451" spans="9:12">
      <c r="I1451" s="5">
        <f>IF(OR(A1451="",B1451=""),"",B1451-WEEKDAY(B1451,2)+1)</f>
        <v/>
      </c>
      <c r="J1451" s="5">
        <f>IF(I1451="","",I1451+6)</f>
        <v/>
      </c>
      <c r="K1451" s="6">
        <f>IF(OR(A1451="",B1451=""),"",DATE(YEAR(B1451),MONTH(B1451),1))</f>
        <v/>
      </c>
      <c r="L1451" s="7">
        <f>IF(COUNTA(A1451,B1451)=0,"",IF(OR(A1451="",B1451=""),"Preencher CPF e entrada",IF(COUNTIFS($A$12:$A$5011,A1451,$B$12:$B$5011,B1451)&gt;1,"CPF + dia duplicado",IF(OR(AND(E1451&lt;&gt;"",E1451&lt;B1451),AND(F1451&lt;&gt;"",F1451&lt;B1451)),"Evento anterior à entrada",IF(AND(F1451&lt;&gt;"",E1451=""),"Conversa sem agendamento",IF(OR(E1451&gt;TODAY(),F1451&gt;TODAY()),"Verificar evento futuro","OK"))))))</f>
        <v/>
      </c>
    </row>
    <row r="1452" spans="9:12">
      <c r="I1452" s="5">
        <f>IF(OR(A1452="",B1452=""),"",B1452-WEEKDAY(B1452,2)+1)</f>
        <v/>
      </c>
      <c r="J1452" s="5">
        <f>IF(I1452="","",I1452+6)</f>
        <v/>
      </c>
      <c r="K1452" s="6">
        <f>IF(OR(A1452="",B1452=""),"",DATE(YEAR(B1452),MONTH(B1452),1))</f>
        <v/>
      </c>
      <c r="L1452" s="7">
        <f>IF(COUNTA(A1452,B1452)=0,"",IF(OR(A1452="",B1452=""),"Preencher CPF e entrada",IF(COUNTIFS($A$12:$A$5011,A1452,$B$12:$B$5011,B1452)&gt;1,"CPF + dia duplicado",IF(OR(AND(E1452&lt;&gt;"",E1452&lt;B1452),AND(F1452&lt;&gt;"",F1452&lt;B1452)),"Evento anterior à entrada",IF(AND(F1452&lt;&gt;"",E1452=""),"Conversa sem agendamento",IF(OR(E1452&gt;TODAY(),F1452&gt;TODAY()),"Verificar evento futuro","OK"))))))</f>
        <v/>
      </c>
    </row>
    <row r="1453" spans="9:12">
      <c r="I1453" s="5">
        <f>IF(OR(A1453="",B1453=""),"",B1453-WEEKDAY(B1453,2)+1)</f>
        <v/>
      </c>
      <c r="J1453" s="5">
        <f>IF(I1453="","",I1453+6)</f>
        <v/>
      </c>
      <c r="K1453" s="6">
        <f>IF(OR(A1453="",B1453=""),"",DATE(YEAR(B1453),MONTH(B1453),1))</f>
        <v/>
      </c>
      <c r="L1453" s="7">
        <f>IF(COUNTA(A1453,B1453)=0,"",IF(OR(A1453="",B1453=""),"Preencher CPF e entrada",IF(COUNTIFS($A$12:$A$5011,A1453,$B$12:$B$5011,B1453)&gt;1,"CPF + dia duplicado",IF(OR(AND(E1453&lt;&gt;"",E1453&lt;B1453),AND(F1453&lt;&gt;"",F1453&lt;B1453)),"Evento anterior à entrada",IF(AND(F1453&lt;&gt;"",E1453=""),"Conversa sem agendamento",IF(OR(E1453&gt;TODAY(),F1453&gt;TODAY()),"Verificar evento futuro","OK"))))))</f>
        <v/>
      </c>
    </row>
    <row r="1454" spans="9:12">
      <c r="I1454" s="5">
        <f>IF(OR(A1454="",B1454=""),"",B1454-WEEKDAY(B1454,2)+1)</f>
        <v/>
      </c>
      <c r="J1454" s="5">
        <f>IF(I1454="","",I1454+6)</f>
        <v/>
      </c>
      <c r="K1454" s="6">
        <f>IF(OR(A1454="",B1454=""),"",DATE(YEAR(B1454),MONTH(B1454),1))</f>
        <v/>
      </c>
      <c r="L1454" s="7">
        <f>IF(COUNTA(A1454,B1454)=0,"",IF(OR(A1454="",B1454=""),"Preencher CPF e entrada",IF(COUNTIFS($A$12:$A$5011,A1454,$B$12:$B$5011,B1454)&gt;1,"CPF + dia duplicado",IF(OR(AND(E1454&lt;&gt;"",E1454&lt;B1454),AND(F1454&lt;&gt;"",F1454&lt;B1454)),"Evento anterior à entrada",IF(AND(F1454&lt;&gt;"",E1454=""),"Conversa sem agendamento",IF(OR(E1454&gt;TODAY(),F1454&gt;TODAY()),"Verificar evento futuro","OK"))))))</f>
        <v/>
      </c>
    </row>
    <row r="1455" spans="9:12">
      <c r="I1455" s="5">
        <f>IF(OR(A1455="",B1455=""),"",B1455-WEEKDAY(B1455,2)+1)</f>
        <v/>
      </c>
      <c r="J1455" s="5">
        <f>IF(I1455="","",I1455+6)</f>
        <v/>
      </c>
      <c r="K1455" s="6">
        <f>IF(OR(A1455="",B1455=""),"",DATE(YEAR(B1455),MONTH(B1455),1))</f>
        <v/>
      </c>
      <c r="L1455" s="7">
        <f>IF(COUNTA(A1455,B1455)=0,"",IF(OR(A1455="",B1455=""),"Preencher CPF e entrada",IF(COUNTIFS($A$12:$A$5011,A1455,$B$12:$B$5011,B1455)&gt;1,"CPF + dia duplicado",IF(OR(AND(E1455&lt;&gt;"",E1455&lt;B1455),AND(F1455&lt;&gt;"",F1455&lt;B1455)),"Evento anterior à entrada",IF(AND(F1455&lt;&gt;"",E1455=""),"Conversa sem agendamento",IF(OR(E1455&gt;TODAY(),F1455&gt;TODAY()),"Verificar evento futuro","OK"))))))</f>
        <v/>
      </c>
    </row>
    <row r="1456" spans="9:12">
      <c r="I1456" s="5">
        <f>IF(OR(A1456="",B1456=""),"",B1456-WEEKDAY(B1456,2)+1)</f>
        <v/>
      </c>
      <c r="J1456" s="5">
        <f>IF(I1456="","",I1456+6)</f>
        <v/>
      </c>
      <c r="K1456" s="6">
        <f>IF(OR(A1456="",B1456=""),"",DATE(YEAR(B1456),MONTH(B1456),1))</f>
        <v/>
      </c>
      <c r="L1456" s="7">
        <f>IF(COUNTA(A1456,B1456)=0,"",IF(OR(A1456="",B1456=""),"Preencher CPF e entrada",IF(COUNTIFS($A$12:$A$5011,A1456,$B$12:$B$5011,B1456)&gt;1,"CPF + dia duplicado",IF(OR(AND(E1456&lt;&gt;"",E1456&lt;B1456),AND(F1456&lt;&gt;"",F1456&lt;B1456)),"Evento anterior à entrada",IF(AND(F1456&lt;&gt;"",E1456=""),"Conversa sem agendamento",IF(OR(E1456&gt;TODAY(),F1456&gt;TODAY()),"Verificar evento futuro","OK"))))))</f>
        <v/>
      </c>
    </row>
    <row r="1457" spans="9:12">
      <c r="I1457" s="5">
        <f>IF(OR(A1457="",B1457=""),"",B1457-WEEKDAY(B1457,2)+1)</f>
        <v/>
      </c>
      <c r="J1457" s="5">
        <f>IF(I1457="","",I1457+6)</f>
        <v/>
      </c>
      <c r="K1457" s="6">
        <f>IF(OR(A1457="",B1457=""),"",DATE(YEAR(B1457),MONTH(B1457),1))</f>
        <v/>
      </c>
      <c r="L1457" s="7">
        <f>IF(COUNTA(A1457,B1457)=0,"",IF(OR(A1457="",B1457=""),"Preencher CPF e entrada",IF(COUNTIFS($A$12:$A$5011,A1457,$B$12:$B$5011,B1457)&gt;1,"CPF + dia duplicado",IF(OR(AND(E1457&lt;&gt;"",E1457&lt;B1457),AND(F1457&lt;&gt;"",F1457&lt;B1457)),"Evento anterior à entrada",IF(AND(F1457&lt;&gt;"",E1457=""),"Conversa sem agendamento",IF(OR(E1457&gt;TODAY(),F1457&gt;TODAY()),"Verificar evento futuro","OK"))))))</f>
        <v/>
      </c>
    </row>
    <row r="1458" spans="9:12">
      <c r="I1458" s="5">
        <f>IF(OR(A1458="",B1458=""),"",B1458-WEEKDAY(B1458,2)+1)</f>
        <v/>
      </c>
      <c r="J1458" s="5">
        <f>IF(I1458="","",I1458+6)</f>
        <v/>
      </c>
      <c r="K1458" s="6">
        <f>IF(OR(A1458="",B1458=""),"",DATE(YEAR(B1458),MONTH(B1458),1))</f>
        <v/>
      </c>
      <c r="L1458" s="7">
        <f>IF(COUNTA(A1458,B1458)=0,"",IF(OR(A1458="",B1458=""),"Preencher CPF e entrada",IF(COUNTIFS($A$12:$A$5011,A1458,$B$12:$B$5011,B1458)&gt;1,"CPF + dia duplicado",IF(OR(AND(E1458&lt;&gt;"",E1458&lt;B1458),AND(F1458&lt;&gt;"",F1458&lt;B1458)),"Evento anterior à entrada",IF(AND(F1458&lt;&gt;"",E1458=""),"Conversa sem agendamento",IF(OR(E1458&gt;TODAY(),F1458&gt;TODAY()),"Verificar evento futuro","OK"))))))</f>
        <v/>
      </c>
    </row>
    <row r="1459" spans="9:12">
      <c r="I1459" s="5">
        <f>IF(OR(A1459="",B1459=""),"",B1459-WEEKDAY(B1459,2)+1)</f>
        <v/>
      </c>
      <c r="J1459" s="5">
        <f>IF(I1459="","",I1459+6)</f>
        <v/>
      </c>
      <c r="K1459" s="6">
        <f>IF(OR(A1459="",B1459=""),"",DATE(YEAR(B1459),MONTH(B1459),1))</f>
        <v/>
      </c>
      <c r="L1459" s="7">
        <f>IF(COUNTA(A1459,B1459)=0,"",IF(OR(A1459="",B1459=""),"Preencher CPF e entrada",IF(COUNTIFS($A$12:$A$5011,A1459,$B$12:$B$5011,B1459)&gt;1,"CPF + dia duplicado",IF(OR(AND(E1459&lt;&gt;"",E1459&lt;B1459),AND(F1459&lt;&gt;"",F1459&lt;B1459)),"Evento anterior à entrada",IF(AND(F1459&lt;&gt;"",E1459=""),"Conversa sem agendamento",IF(OR(E1459&gt;TODAY(),F1459&gt;TODAY()),"Verificar evento futuro","OK"))))))</f>
        <v/>
      </c>
    </row>
    <row r="1460" spans="9:12">
      <c r="I1460" s="5">
        <f>IF(OR(A1460="",B1460=""),"",B1460-WEEKDAY(B1460,2)+1)</f>
        <v/>
      </c>
      <c r="J1460" s="5">
        <f>IF(I1460="","",I1460+6)</f>
        <v/>
      </c>
      <c r="K1460" s="6">
        <f>IF(OR(A1460="",B1460=""),"",DATE(YEAR(B1460),MONTH(B1460),1))</f>
        <v/>
      </c>
      <c r="L1460" s="7">
        <f>IF(COUNTA(A1460,B1460)=0,"",IF(OR(A1460="",B1460=""),"Preencher CPF e entrada",IF(COUNTIFS($A$12:$A$5011,A1460,$B$12:$B$5011,B1460)&gt;1,"CPF + dia duplicado",IF(OR(AND(E1460&lt;&gt;"",E1460&lt;B1460),AND(F1460&lt;&gt;"",F1460&lt;B1460)),"Evento anterior à entrada",IF(AND(F1460&lt;&gt;"",E1460=""),"Conversa sem agendamento",IF(OR(E1460&gt;TODAY(),F1460&gt;TODAY()),"Verificar evento futuro","OK"))))))</f>
        <v/>
      </c>
    </row>
    <row r="1461" spans="9:12">
      <c r="I1461" s="5">
        <f>IF(OR(A1461="",B1461=""),"",B1461-WEEKDAY(B1461,2)+1)</f>
        <v/>
      </c>
      <c r="J1461" s="5">
        <f>IF(I1461="","",I1461+6)</f>
        <v/>
      </c>
      <c r="K1461" s="6">
        <f>IF(OR(A1461="",B1461=""),"",DATE(YEAR(B1461),MONTH(B1461),1))</f>
        <v/>
      </c>
      <c r="L1461" s="7">
        <f>IF(COUNTA(A1461,B1461)=0,"",IF(OR(A1461="",B1461=""),"Preencher CPF e entrada",IF(COUNTIFS($A$12:$A$5011,A1461,$B$12:$B$5011,B1461)&gt;1,"CPF + dia duplicado",IF(OR(AND(E1461&lt;&gt;"",E1461&lt;B1461),AND(F1461&lt;&gt;"",F1461&lt;B1461)),"Evento anterior à entrada",IF(AND(F1461&lt;&gt;"",E1461=""),"Conversa sem agendamento",IF(OR(E1461&gt;TODAY(),F1461&gt;TODAY()),"Verificar evento futuro","OK"))))))</f>
        <v/>
      </c>
    </row>
    <row r="1462" spans="9:12">
      <c r="I1462" s="5">
        <f>IF(OR(A1462="",B1462=""),"",B1462-WEEKDAY(B1462,2)+1)</f>
        <v/>
      </c>
      <c r="J1462" s="5">
        <f>IF(I1462="","",I1462+6)</f>
        <v/>
      </c>
      <c r="K1462" s="6">
        <f>IF(OR(A1462="",B1462=""),"",DATE(YEAR(B1462),MONTH(B1462),1))</f>
        <v/>
      </c>
      <c r="L1462" s="7">
        <f>IF(COUNTA(A1462,B1462)=0,"",IF(OR(A1462="",B1462=""),"Preencher CPF e entrada",IF(COUNTIFS($A$12:$A$5011,A1462,$B$12:$B$5011,B1462)&gt;1,"CPF + dia duplicado",IF(OR(AND(E1462&lt;&gt;"",E1462&lt;B1462),AND(F1462&lt;&gt;"",F1462&lt;B1462)),"Evento anterior à entrada",IF(AND(F1462&lt;&gt;"",E1462=""),"Conversa sem agendamento",IF(OR(E1462&gt;TODAY(),F1462&gt;TODAY()),"Verificar evento futuro","OK"))))))</f>
        <v/>
      </c>
    </row>
    <row r="1463" spans="9:12">
      <c r="I1463" s="5">
        <f>IF(OR(A1463="",B1463=""),"",B1463-WEEKDAY(B1463,2)+1)</f>
        <v/>
      </c>
      <c r="J1463" s="5">
        <f>IF(I1463="","",I1463+6)</f>
        <v/>
      </c>
      <c r="K1463" s="6">
        <f>IF(OR(A1463="",B1463=""),"",DATE(YEAR(B1463),MONTH(B1463),1))</f>
        <v/>
      </c>
      <c r="L1463" s="7">
        <f>IF(COUNTA(A1463,B1463)=0,"",IF(OR(A1463="",B1463=""),"Preencher CPF e entrada",IF(COUNTIFS($A$12:$A$5011,A1463,$B$12:$B$5011,B1463)&gt;1,"CPF + dia duplicado",IF(OR(AND(E1463&lt;&gt;"",E1463&lt;B1463),AND(F1463&lt;&gt;"",F1463&lt;B1463)),"Evento anterior à entrada",IF(AND(F1463&lt;&gt;"",E1463=""),"Conversa sem agendamento",IF(OR(E1463&gt;TODAY(),F1463&gt;TODAY()),"Verificar evento futuro","OK"))))))</f>
        <v/>
      </c>
    </row>
    <row r="1464" spans="9:12">
      <c r="I1464" s="5">
        <f>IF(OR(A1464="",B1464=""),"",B1464-WEEKDAY(B1464,2)+1)</f>
        <v/>
      </c>
      <c r="J1464" s="5">
        <f>IF(I1464="","",I1464+6)</f>
        <v/>
      </c>
      <c r="K1464" s="6">
        <f>IF(OR(A1464="",B1464=""),"",DATE(YEAR(B1464),MONTH(B1464),1))</f>
        <v/>
      </c>
      <c r="L1464" s="7">
        <f>IF(COUNTA(A1464,B1464)=0,"",IF(OR(A1464="",B1464=""),"Preencher CPF e entrada",IF(COUNTIFS($A$12:$A$5011,A1464,$B$12:$B$5011,B1464)&gt;1,"CPF + dia duplicado",IF(OR(AND(E1464&lt;&gt;"",E1464&lt;B1464),AND(F1464&lt;&gt;"",F1464&lt;B1464)),"Evento anterior à entrada",IF(AND(F1464&lt;&gt;"",E1464=""),"Conversa sem agendamento",IF(OR(E1464&gt;TODAY(),F1464&gt;TODAY()),"Verificar evento futuro","OK"))))))</f>
        <v/>
      </c>
    </row>
    <row r="1465" spans="9:12">
      <c r="I1465" s="5">
        <f>IF(OR(A1465="",B1465=""),"",B1465-WEEKDAY(B1465,2)+1)</f>
        <v/>
      </c>
      <c r="J1465" s="5">
        <f>IF(I1465="","",I1465+6)</f>
        <v/>
      </c>
      <c r="K1465" s="6">
        <f>IF(OR(A1465="",B1465=""),"",DATE(YEAR(B1465),MONTH(B1465),1))</f>
        <v/>
      </c>
      <c r="L1465" s="7">
        <f>IF(COUNTA(A1465,B1465)=0,"",IF(OR(A1465="",B1465=""),"Preencher CPF e entrada",IF(COUNTIFS($A$12:$A$5011,A1465,$B$12:$B$5011,B1465)&gt;1,"CPF + dia duplicado",IF(OR(AND(E1465&lt;&gt;"",E1465&lt;B1465),AND(F1465&lt;&gt;"",F1465&lt;B1465)),"Evento anterior à entrada",IF(AND(F1465&lt;&gt;"",E1465=""),"Conversa sem agendamento",IF(OR(E1465&gt;TODAY(),F1465&gt;TODAY()),"Verificar evento futuro","OK"))))))</f>
        <v/>
      </c>
    </row>
    <row r="1466" spans="9:12">
      <c r="I1466" s="5">
        <f>IF(OR(A1466="",B1466=""),"",B1466-WEEKDAY(B1466,2)+1)</f>
        <v/>
      </c>
      <c r="J1466" s="5">
        <f>IF(I1466="","",I1466+6)</f>
        <v/>
      </c>
      <c r="K1466" s="6">
        <f>IF(OR(A1466="",B1466=""),"",DATE(YEAR(B1466),MONTH(B1466),1))</f>
        <v/>
      </c>
      <c r="L1466" s="7">
        <f>IF(COUNTA(A1466,B1466)=0,"",IF(OR(A1466="",B1466=""),"Preencher CPF e entrada",IF(COUNTIFS($A$12:$A$5011,A1466,$B$12:$B$5011,B1466)&gt;1,"CPF + dia duplicado",IF(OR(AND(E1466&lt;&gt;"",E1466&lt;B1466),AND(F1466&lt;&gt;"",F1466&lt;B1466)),"Evento anterior à entrada",IF(AND(F1466&lt;&gt;"",E1466=""),"Conversa sem agendamento",IF(OR(E1466&gt;TODAY(),F1466&gt;TODAY()),"Verificar evento futuro","OK"))))))</f>
        <v/>
      </c>
    </row>
    <row r="1467" spans="9:12">
      <c r="I1467" s="5">
        <f>IF(OR(A1467="",B1467=""),"",B1467-WEEKDAY(B1467,2)+1)</f>
        <v/>
      </c>
      <c r="J1467" s="5">
        <f>IF(I1467="","",I1467+6)</f>
        <v/>
      </c>
      <c r="K1467" s="6">
        <f>IF(OR(A1467="",B1467=""),"",DATE(YEAR(B1467),MONTH(B1467),1))</f>
        <v/>
      </c>
      <c r="L1467" s="7">
        <f>IF(COUNTA(A1467,B1467)=0,"",IF(OR(A1467="",B1467=""),"Preencher CPF e entrada",IF(COUNTIFS($A$12:$A$5011,A1467,$B$12:$B$5011,B1467)&gt;1,"CPF + dia duplicado",IF(OR(AND(E1467&lt;&gt;"",E1467&lt;B1467),AND(F1467&lt;&gt;"",F1467&lt;B1467)),"Evento anterior à entrada",IF(AND(F1467&lt;&gt;"",E1467=""),"Conversa sem agendamento",IF(OR(E1467&gt;TODAY(),F1467&gt;TODAY()),"Verificar evento futuro","OK"))))))</f>
        <v/>
      </c>
    </row>
    <row r="1468" spans="9:12">
      <c r="I1468" s="5">
        <f>IF(OR(A1468="",B1468=""),"",B1468-WEEKDAY(B1468,2)+1)</f>
        <v/>
      </c>
      <c r="J1468" s="5">
        <f>IF(I1468="","",I1468+6)</f>
        <v/>
      </c>
      <c r="K1468" s="6">
        <f>IF(OR(A1468="",B1468=""),"",DATE(YEAR(B1468),MONTH(B1468),1))</f>
        <v/>
      </c>
      <c r="L1468" s="7">
        <f>IF(COUNTA(A1468,B1468)=0,"",IF(OR(A1468="",B1468=""),"Preencher CPF e entrada",IF(COUNTIFS($A$12:$A$5011,A1468,$B$12:$B$5011,B1468)&gt;1,"CPF + dia duplicado",IF(OR(AND(E1468&lt;&gt;"",E1468&lt;B1468),AND(F1468&lt;&gt;"",F1468&lt;B1468)),"Evento anterior à entrada",IF(AND(F1468&lt;&gt;"",E1468=""),"Conversa sem agendamento",IF(OR(E1468&gt;TODAY(),F1468&gt;TODAY()),"Verificar evento futuro","OK"))))))</f>
        <v/>
      </c>
    </row>
    <row r="1469" spans="9:12">
      <c r="I1469" s="5">
        <f>IF(OR(A1469="",B1469=""),"",B1469-WEEKDAY(B1469,2)+1)</f>
        <v/>
      </c>
      <c r="J1469" s="5">
        <f>IF(I1469="","",I1469+6)</f>
        <v/>
      </c>
      <c r="K1469" s="6">
        <f>IF(OR(A1469="",B1469=""),"",DATE(YEAR(B1469),MONTH(B1469),1))</f>
        <v/>
      </c>
      <c r="L1469" s="7">
        <f>IF(COUNTA(A1469,B1469)=0,"",IF(OR(A1469="",B1469=""),"Preencher CPF e entrada",IF(COUNTIFS($A$12:$A$5011,A1469,$B$12:$B$5011,B1469)&gt;1,"CPF + dia duplicado",IF(OR(AND(E1469&lt;&gt;"",E1469&lt;B1469),AND(F1469&lt;&gt;"",F1469&lt;B1469)),"Evento anterior à entrada",IF(AND(F1469&lt;&gt;"",E1469=""),"Conversa sem agendamento",IF(OR(E1469&gt;TODAY(),F1469&gt;TODAY()),"Verificar evento futuro","OK"))))))</f>
        <v/>
      </c>
    </row>
    <row r="1470" spans="9:12">
      <c r="I1470" s="5">
        <f>IF(OR(A1470="",B1470=""),"",B1470-WEEKDAY(B1470,2)+1)</f>
        <v/>
      </c>
      <c r="J1470" s="5">
        <f>IF(I1470="","",I1470+6)</f>
        <v/>
      </c>
      <c r="K1470" s="6">
        <f>IF(OR(A1470="",B1470=""),"",DATE(YEAR(B1470),MONTH(B1470),1))</f>
        <v/>
      </c>
      <c r="L1470" s="7">
        <f>IF(COUNTA(A1470,B1470)=0,"",IF(OR(A1470="",B1470=""),"Preencher CPF e entrada",IF(COUNTIFS($A$12:$A$5011,A1470,$B$12:$B$5011,B1470)&gt;1,"CPF + dia duplicado",IF(OR(AND(E1470&lt;&gt;"",E1470&lt;B1470),AND(F1470&lt;&gt;"",F1470&lt;B1470)),"Evento anterior à entrada",IF(AND(F1470&lt;&gt;"",E1470=""),"Conversa sem agendamento",IF(OR(E1470&gt;TODAY(),F1470&gt;TODAY()),"Verificar evento futuro","OK"))))))</f>
        <v/>
      </c>
    </row>
    <row r="1471" spans="9:12">
      <c r="I1471" s="5">
        <f>IF(OR(A1471="",B1471=""),"",B1471-WEEKDAY(B1471,2)+1)</f>
        <v/>
      </c>
      <c r="J1471" s="5">
        <f>IF(I1471="","",I1471+6)</f>
        <v/>
      </c>
      <c r="K1471" s="6">
        <f>IF(OR(A1471="",B1471=""),"",DATE(YEAR(B1471),MONTH(B1471),1))</f>
        <v/>
      </c>
      <c r="L1471" s="7">
        <f>IF(COUNTA(A1471,B1471)=0,"",IF(OR(A1471="",B1471=""),"Preencher CPF e entrada",IF(COUNTIFS($A$12:$A$5011,A1471,$B$12:$B$5011,B1471)&gt;1,"CPF + dia duplicado",IF(OR(AND(E1471&lt;&gt;"",E1471&lt;B1471),AND(F1471&lt;&gt;"",F1471&lt;B1471)),"Evento anterior à entrada",IF(AND(F1471&lt;&gt;"",E1471=""),"Conversa sem agendamento",IF(OR(E1471&gt;TODAY(),F1471&gt;TODAY()),"Verificar evento futuro","OK"))))))</f>
        <v/>
      </c>
    </row>
    <row r="1472" spans="9:12">
      <c r="I1472" s="5">
        <f>IF(OR(A1472="",B1472=""),"",B1472-WEEKDAY(B1472,2)+1)</f>
        <v/>
      </c>
      <c r="J1472" s="5">
        <f>IF(I1472="","",I1472+6)</f>
        <v/>
      </c>
      <c r="K1472" s="6">
        <f>IF(OR(A1472="",B1472=""),"",DATE(YEAR(B1472),MONTH(B1472),1))</f>
        <v/>
      </c>
      <c r="L1472" s="7">
        <f>IF(COUNTA(A1472,B1472)=0,"",IF(OR(A1472="",B1472=""),"Preencher CPF e entrada",IF(COUNTIFS($A$12:$A$5011,A1472,$B$12:$B$5011,B1472)&gt;1,"CPF + dia duplicado",IF(OR(AND(E1472&lt;&gt;"",E1472&lt;B1472),AND(F1472&lt;&gt;"",F1472&lt;B1472)),"Evento anterior à entrada",IF(AND(F1472&lt;&gt;"",E1472=""),"Conversa sem agendamento",IF(OR(E1472&gt;TODAY(),F1472&gt;TODAY()),"Verificar evento futuro","OK"))))))</f>
        <v/>
      </c>
    </row>
    <row r="1473" spans="9:12">
      <c r="I1473" s="5">
        <f>IF(OR(A1473="",B1473=""),"",B1473-WEEKDAY(B1473,2)+1)</f>
        <v/>
      </c>
      <c r="J1473" s="5">
        <f>IF(I1473="","",I1473+6)</f>
        <v/>
      </c>
      <c r="K1473" s="6">
        <f>IF(OR(A1473="",B1473=""),"",DATE(YEAR(B1473),MONTH(B1473),1))</f>
        <v/>
      </c>
      <c r="L1473" s="7">
        <f>IF(COUNTA(A1473,B1473)=0,"",IF(OR(A1473="",B1473=""),"Preencher CPF e entrada",IF(COUNTIFS($A$12:$A$5011,A1473,$B$12:$B$5011,B1473)&gt;1,"CPF + dia duplicado",IF(OR(AND(E1473&lt;&gt;"",E1473&lt;B1473),AND(F1473&lt;&gt;"",F1473&lt;B1473)),"Evento anterior à entrada",IF(AND(F1473&lt;&gt;"",E1473=""),"Conversa sem agendamento",IF(OR(E1473&gt;TODAY(),F1473&gt;TODAY()),"Verificar evento futuro","OK"))))))</f>
        <v/>
      </c>
    </row>
    <row r="1474" spans="9:12">
      <c r="I1474" s="5">
        <f>IF(OR(A1474="",B1474=""),"",B1474-WEEKDAY(B1474,2)+1)</f>
        <v/>
      </c>
      <c r="J1474" s="5">
        <f>IF(I1474="","",I1474+6)</f>
        <v/>
      </c>
      <c r="K1474" s="6">
        <f>IF(OR(A1474="",B1474=""),"",DATE(YEAR(B1474),MONTH(B1474),1))</f>
        <v/>
      </c>
      <c r="L1474" s="7">
        <f>IF(COUNTA(A1474,B1474)=0,"",IF(OR(A1474="",B1474=""),"Preencher CPF e entrada",IF(COUNTIFS($A$12:$A$5011,A1474,$B$12:$B$5011,B1474)&gt;1,"CPF + dia duplicado",IF(OR(AND(E1474&lt;&gt;"",E1474&lt;B1474),AND(F1474&lt;&gt;"",F1474&lt;B1474)),"Evento anterior à entrada",IF(AND(F1474&lt;&gt;"",E1474=""),"Conversa sem agendamento",IF(OR(E1474&gt;TODAY(),F1474&gt;TODAY()),"Verificar evento futuro","OK"))))))</f>
        <v/>
      </c>
    </row>
    <row r="1475" spans="9:12">
      <c r="I1475" s="5">
        <f>IF(OR(A1475="",B1475=""),"",B1475-WEEKDAY(B1475,2)+1)</f>
        <v/>
      </c>
      <c r="J1475" s="5">
        <f>IF(I1475="","",I1475+6)</f>
        <v/>
      </c>
      <c r="K1475" s="6">
        <f>IF(OR(A1475="",B1475=""),"",DATE(YEAR(B1475),MONTH(B1475),1))</f>
        <v/>
      </c>
      <c r="L1475" s="7">
        <f>IF(COUNTA(A1475,B1475)=0,"",IF(OR(A1475="",B1475=""),"Preencher CPF e entrada",IF(COUNTIFS($A$12:$A$5011,A1475,$B$12:$B$5011,B1475)&gt;1,"CPF + dia duplicado",IF(OR(AND(E1475&lt;&gt;"",E1475&lt;B1475),AND(F1475&lt;&gt;"",F1475&lt;B1475)),"Evento anterior à entrada",IF(AND(F1475&lt;&gt;"",E1475=""),"Conversa sem agendamento",IF(OR(E1475&gt;TODAY(),F1475&gt;TODAY()),"Verificar evento futuro","OK"))))))</f>
        <v/>
      </c>
    </row>
    <row r="1476" spans="9:12">
      <c r="I1476" s="5">
        <f>IF(OR(A1476="",B1476=""),"",B1476-WEEKDAY(B1476,2)+1)</f>
        <v/>
      </c>
      <c r="J1476" s="5">
        <f>IF(I1476="","",I1476+6)</f>
        <v/>
      </c>
      <c r="K1476" s="6">
        <f>IF(OR(A1476="",B1476=""),"",DATE(YEAR(B1476),MONTH(B1476),1))</f>
        <v/>
      </c>
      <c r="L1476" s="7">
        <f>IF(COUNTA(A1476,B1476)=0,"",IF(OR(A1476="",B1476=""),"Preencher CPF e entrada",IF(COUNTIFS($A$12:$A$5011,A1476,$B$12:$B$5011,B1476)&gt;1,"CPF + dia duplicado",IF(OR(AND(E1476&lt;&gt;"",E1476&lt;B1476),AND(F1476&lt;&gt;"",F1476&lt;B1476)),"Evento anterior à entrada",IF(AND(F1476&lt;&gt;"",E1476=""),"Conversa sem agendamento",IF(OR(E1476&gt;TODAY(),F1476&gt;TODAY()),"Verificar evento futuro","OK"))))))</f>
        <v/>
      </c>
    </row>
    <row r="1477" spans="9:12">
      <c r="I1477" s="5">
        <f>IF(OR(A1477="",B1477=""),"",B1477-WEEKDAY(B1477,2)+1)</f>
        <v/>
      </c>
      <c r="J1477" s="5">
        <f>IF(I1477="","",I1477+6)</f>
        <v/>
      </c>
      <c r="K1477" s="6">
        <f>IF(OR(A1477="",B1477=""),"",DATE(YEAR(B1477),MONTH(B1477),1))</f>
        <v/>
      </c>
      <c r="L1477" s="7">
        <f>IF(COUNTA(A1477,B1477)=0,"",IF(OR(A1477="",B1477=""),"Preencher CPF e entrada",IF(COUNTIFS($A$12:$A$5011,A1477,$B$12:$B$5011,B1477)&gt;1,"CPF + dia duplicado",IF(OR(AND(E1477&lt;&gt;"",E1477&lt;B1477),AND(F1477&lt;&gt;"",F1477&lt;B1477)),"Evento anterior à entrada",IF(AND(F1477&lt;&gt;"",E1477=""),"Conversa sem agendamento",IF(OR(E1477&gt;TODAY(),F1477&gt;TODAY()),"Verificar evento futuro","OK"))))))</f>
        <v/>
      </c>
    </row>
    <row r="1478" spans="9:12">
      <c r="I1478" s="5">
        <f>IF(OR(A1478="",B1478=""),"",B1478-WEEKDAY(B1478,2)+1)</f>
        <v/>
      </c>
      <c r="J1478" s="5">
        <f>IF(I1478="","",I1478+6)</f>
        <v/>
      </c>
      <c r="K1478" s="6">
        <f>IF(OR(A1478="",B1478=""),"",DATE(YEAR(B1478),MONTH(B1478),1))</f>
        <v/>
      </c>
      <c r="L1478" s="7">
        <f>IF(COUNTA(A1478,B1478)=0,"",IF(OR(A1478="",B1478=""),"Preencher CPF e entrada",IF(COUNTIFS($A$12:$A$5011,A1478,$B$12:$B$5011,B1478)&gt;1,"CPF + dia duplicado",IF(OR(AND(E1478&lt;&gt;"",E1478&lt;B1478),AND(F1478&lt;&gt;"",F1478&lt;B1478)),"Evento anterior à entrada",IF(AND(F1478&lt;&gt;"",E1478=""),"Conversa sem agendamento",IF(OR(E1478&gt;TODAY(),F1478&gt;TODAY()),"Verificar evento futuro","OK"))))))</f>
        <v/>
      </c>
    </row>
    <row r="1479" spans="9:12">
      <c r="I1479" s="5">
        <f>IF(OR(A1479="",B1479=""),"",B1479-WEEKDAY(B1479,2)+1)</f>
        <v/>
      </c>
      <c r="J1479" s="5">
        <f>IF(I1479="","",I1479+6)</f>
        <v/>
      </c>
      <c r="K1479" s="6">
        <f>IF(OR(A1479="",B1479=""),"",DATE(YEAR(B1479),MONTH(B1479),1))</f>
        <v/>
      </c>
      <c r="L1479" s="7">
        <f>IF(COUNTA(A1479,B1479)=0,"",IF(OR(A1479="",B1479=""),"Preencher CPF e entrada",IF(COUNTIFS($A$12:$A$5011,A1479,$B$12:$B$5011,B1479)&gt;1,"CPF + dia duplicado",IF(OR(AND(E1479&lt;&gt;"",E1479&lt;B1479),AND(F1479&lt;&gt;"",F1479&lt;B1479)),"Evento anterior à entrada",IF(AND(F1479&lt;&gt;"",E1479=""),"Conversa sem agendamento",IF(OR(E1479&gt;TODAY(),F1479&gt;TODAY()),"Verificar evento futuro","OK"))))))</f>
        <v/>
      </c>
    </row>
    <row r="1480" spans="9:12">
      <c r="I1480" s="5">
        <f>IF(OR(A1480="",B1480=""),"",B1480-WEEKDAY(B1480,2)+1)</f>
        <v/>
      </c>
      <c r="J1480" s="5">
        <f>IF(I1480="","",I1480+6)</f>
        <v/>
      </c>
      <c r="K1480" s="6">
        <f>IF(OR(A1480="",B1480=""),"",DATE(YEAR(B1480),MONTH(B1480),1))</f>
        <v/>
      </c>
      <c r="L1480" s="7">
        <f>IF(COUNTA(A1480,B1480)=0,"",IF(OR(A1480="",B1480=""),"Preencher CPF e entrada",IF(COUNTIFS($A$12:$A$5011,A1480,$B$12:$B$5011,B1480)&gt;1,"CPF + dia duplicado",IF(OR(AND(E1480&lt;&gt;"",E1480&lt;B1480),AND(F1480&lt;&gt;"",F1480&lt;B1480)),"Evento anterior à entrada",IF(AND(F1480&lt;&gt;"",E1480=""),"Conversa sem agendamento",IF(OR(E1480&gt;TODAY(),F1480&gt;TODAY()),"Verificar evento futuro","OK"))))))</f>
        <v/>
      </c>
    </row>
    <row r="1481" spans="9:12">
      <c r="I1481" s="5">
        <f>IF(OR(A1481="",B1481=""),"",B1481-WEEKDAY(B1481,2)+1)</f>
        <v/>
      </c>
      <c r="J1481" s="5">
        <f>IF(I1481="","",I1481+6)</f>
        <v/>
      </c>
      <c r="K1481" s="6">
        <f>IF(OR(A1481="",B1481=""),"",DATE(YEAR(B1481),MONTH(B1481),1))</f>
        <v/>
      </c>
      <c r="L1481" s="7">
        <f>IF(COUNTA(A1481,B1481)=0,"",IF(OR(A1481="",B1481=""),"Preencher CPF e entrada",IF(COUNTIFS($A$12:$A$5011,A1481,$B$12:$B$5011,B1481)&gt;1,"CPF + dia duplicado",IF(OR(AND(E1481&lt;&gt;"",E1481&lt;B1481),AND(F1481&lt;&gt;"",F1481&lt;B1481)),"Evento anterior à entrada",IF(AND(F1481&lt;&gt;"",E1481=""),"Conversa sem agendamento",IF(OR(E1481&gt;TODAY(),F1481&gt;TODAY()),"Verificar evento futuro","OK"))))))</f>
        <v/>
      </c>
    </row>
    <row r="1482" spans="9:12">
      <c r="I1482" s="5">
        <f>IF(OR(A1482="",B1482=""),"",B1482-WEEKDAY(B1482,2)+1)</f>
        <v/>
      </c>
      <c r="J1482" s="5">
        <f>IF(I1482="","",I1482+6)</f>
        <v/>
      </c>
      <c r="K1482" s="6">
        <f>IF(OR(A1482="",B1482=""),"",DATE(YEAR(B1482),MONTH(B1482),1))</f>
        <v/>
      </c>
      <c r="L1482" s="7">
        <f>IF(COUNTA(A1482,B1482)=0,"",IF(OR(A1482="",B1482=""),"Preencher CPF e entrada",IF(COUNTIFS($A$12:$A$5011,A1482,$B$12:$B$5011,B1482)&gt;1,"CPF + dia duplicado",IF(OR(AND(E1482&lt;&gt;"",E1482&lt;B1482),AND(F1482&lt;&gt;"",F1482&lt;B1482)),"Evento anterior à entrada",IF(AND(F1482&lt;&gt;"",E1482=""),"Conversa sem agendamento",IF(OR(E1482&gt;TODAY(),F1482&gt;TODAY()),"Verificar evento futuro","OK"))))))</f>
        <v/>
      </c>
    </row>
    <row r="1483" spans="9:12">
      <c r="I1483" s="5">
        <f>IF(OR(A1483="",B1483=""),"",B1483-WEEKDAY(B1483,2)+1)</f>
        <v/>
      </c>
      <c r="J1483" s="5">
        <f>IF(I1483="","",I1483+6)</f>
        <v/>
      </c>
      <c r="K1483" s="6">
        <f>IF(OR(A1483="",B1483=""),"",DATE(YEAR(B1483),MONTH(B1483),1))</f>
        <v/>
      </c>
      <c r="L1483" s="7">
        <f>IF(COUNTA(A1483,B1483)=0,"",IF(OR(A1483="",B1483=""),"Preencher CPF e entrada",IF(COUNTIFS($A$12:$A$5011,A1483,$B$12:$B$5011,B1483)&gt;1,"CPF + dia duplicado",IF(OR(AND(E1483&lt;&gt;"",E1483&lt;B1483),AND(F1483&lt;&gt;"",F1483&lt;B1483)),"Evento anterior à entrada",IF(AND(F1483&lt;&gt;"",E1483=""),"Conversa sem agendamento",IF(OR(E1483&gt;TODAY(),F1483&gt;TODAY()),"Verificar evento futuro","OK"))))))</f>
        <v/>
      </c>
    </row>
    <row r="1484" spans="9:12">
      <c r="I1484" s="5">
        <f>IF(OR(A1484="",B1484=""),"",B1484-WEEKDAY(B1484,2)+1)</f>
        <v/>
      </c>
      <c r="J1484" s="5">
        <f>IF(I1484="","",I1484+6)</f>
        <v/>
      </c>
      <c r="K1484" s="6">
        <f>IF(OR(A1484="",B1484=""),"",DATE(YEAR(B1484),MONTH(B1484),1))</f>
        <v/>
      </c>
      <c r="L1484" s="7">
        <f>IF(COUNTA(A1484,B1484)=0,"",IF(OR(A1484="",B1484=""),"Preencher CPF e entrada",IF(COUNTIFS($A$12:$A$5011,A1484,$B$12:$B$5011,B1484)&gt;1,"CPF + dia duplicado",IF(OR(AND(E1484&lt;&gt;"",E1484&lt;B1484),AND(F1484&lt;&gt;"",F1484&lt;B1484)),"Evento anterior à entrada",IF(AND(F1484&lt;&gt;"",E1484=""),"Conversa sem agendamento",IF(OR(E1484&gt;TODAY(),F1484&gt;TODAY()),"Verificar evento futuro","OK"))))))</f>
        <v/>
      </c>
    </row>
    <row r="1485" spans="9:12">
      <c r="I1485" s="5">
        <f>IF(OR(A1485="",B1485=""),"",B1485-WEEKDAY(B1485,2)+1)</f>
        <v/>
      </c>
      <c r="J1485" s="5">
        <f>IF(I1485="","",I1485+6)</f>
        <v/>
      </c>
      <c r="K1485" s="6">
        <f>IF(OR(A1485="",B1485=""),"",DATE(YEAR(B1485),MONTH(B1485),1))</f>
        <v/>
      </c>
      <c r="L1485" s="7">
        <f>IF(COUNTA(A1485,B1485)=0,"",IF(OR(A1485="",B1485=""),"Preencher CPF e entrada",IF(COUNTIFS($A$12:$A$5011,A1485,$B$12:$B$5011,B1485)&gt;1,"CPF + dia duplicado",IF(OR(AND(E1485&lt;&gt;"",E1485&lt;B1485),AND(F1485&lt;&gt;"",F1485&lt;B1485)),"Evento anterior à entrada",IF(AND(F1485&lt;&gt;"",E1485=""),"Conversa sem agendamento",IF(OR(E1485&gt;TODAY(),F1485&gt;TODAY()),"Verificar evento futuro","OK"))))))</f>
        <v/>
      </c>
    </row>
    <row r="1486" spans="9:12">
      <c r="I1486" s="5">
        <f>IF(OR(A1486="",B1486=""),"",B1486-WEEKDAY(B1486,2)+1)</f>
        <v/>
      </c>
      <c r="J1486" s="5">
        <f>IF(I1486="","",I1486+6)</f>
        <v/>
      </c>
      <c r="K1486" s="6">
        <f>IF(OR(A1486="",B1486=""),"",DATE(YEAR(B1486),MONTH(B1486),1))</f>
        <v/>
      </c>
      <c r="L1486" s="7">
        <f>IF(COUNTA(A1486,B1486)=0,"",IF(OR(A1486="",B1486=""),"Preencher CPF e entrada",IF(COUNTIFS($A$12:$A$5011,A1486,$B$12:$B$5011,B1486)&gt;1,"CPF + dia duplicado",IF(OR(AND(E1486&lt;&gt;"",E1486&lt;B1486),AND(F1486&lt;&gt;"",F1486&lt;B1486)),"Evento anterior à entrada",IF(AND(F1486&lt;&gt;"",E1486=""),"Conversa sem agendamento",IF(OR(E1486&gt;TODAY(),F1486&gt;TODAY()),"Verificar evento futuro","OK"))))))</f>
        <v/>
      </c>
    </row>
    <row r="1487" spans="9:12">
      <c r="I1487" s="5">
        <f>IF(OR(A1487="",B1487=""),"",B1487-WEEKDAY(B1487,2)+1)</f>
        <v/>
      </c>
      <c r="J1487" s="5">
        <f>IF(I1487="","",I1487+6)</f>
        <v/>
      </c>
      <c r="K1487" s="6">
        <f>IF(OR(A1487="",B1487=""),"",DATE(YEAR(B1487),MONTH(B1487),1))</f>
        <v/>
      </c>
      <c r="L1487" s="7">
        <f>IF(COUNTA(A1487,B1487)=0,"",IF(OR(A1487="",B1487=""),"Preencher CPF e entrada",IF(COUNTIFS($A$12:$A$5011,A1487,$B$12:$B$5011,B1487)&gt;1,"CPF + dia duplicado",IF(OR(AND(E1487&lt;&gt;"",E1487&lt;B1487),AND(F1487&lt;&gt;"",F1487&lt;B1487)),"Evento anterior à entrada",IF(AND(F1487&lt;&gt;"",E1487=""),"Conversa sem agendamento",IF(OR(E1487&gt;TODAY(),F1487&gt;TODAY()),"Verificar evento futuro","OK"))))))</f>
        <v/>
      </c>
    </row>
    <row r="1488" spans="9:12">
      <c r="I1488" s="5">
        <f>IF(OR(A1488="",B1488=""),"",B1488-WEEKDAY(B1488,2)+1)</f>
        <v/>
      </c>
      <c r="J1488" s="5">
        <f>IF(I1488="","",I1488+6)</f>
        <v/>
      </c>
      <c r="K1488" s="6">
        <f>IF(OR(A1488="",B1488=""),"",DATE(YEAR(B1488),MONTH(B1488),1))</f>
        <v/>
      </c>
      <c r="L1488" s="7">
        <f>IF(COUNTA(A1488,B1488)=0,"",IF(OR(A1488="",B1488=""),"Preencher CPF e entrada",IF(COUNTIFS($A$12:$A$5011,A1488,$B$12:$B$5011,B1488)&gt;1,"CPF + dia duplicado",IF(OR(AND(E1488&lt;&gt;"",E1488&lt;B1488),AND(F1488&lt;&gt;"",F1488&lt;B1488)),"Evento anterior à entrada",IF(AND(F1488&lt;&gt;"",E1488=""),"Conversa sem agendamento",IF(OR(E1488&gt;TODAY(),F1488&gt;TODAY()),"Verificar evento futuro","OK"))))))</f>
        <v/>
      </c>
    </row>
    <row r="1489" spans="9:12">
      <c r="I1489" s="5">
        <f>IF(OR(A1489="",B1489=""),"",B1489-WEEKDAY(B1489,2)+1)</f>
        <v/>
      </c>
      <c r="J1489" s="5">
        <f>IF(I1489="","",I1489+6)</f>
        <v/>
      </c>
      <c r="K1489" s="6">
        <f>IF(OR(A1489="",B1489=""),"",DATE(YEAR(B1489),MONTH(B1489),1))</f>
        <v/>
      </c>
      <c r="L1489" s="7">
        <f>IF(COUNTA(A1489,B1489)=0,"",IF(OR(A1489="",B1489=""),"Preencher CPF e entrada",IF(COUNTIFS($A$12:$A$5011,A1489,$B$12:$B$5011,B1489)&gt;1,"CPF + dia duplicado",IF(OR(AND(E1489&lt;&gt;"",E1489&lt;B1489),AND(F1489&lt;&gt;"",F1489&lt;B1489)),"Evento anterior à entrada",IF(AND(F1489&lt;&gt;"",E1489=""),"Conversa sem agendamento",IF(OR(E1489&gt;TODAY(),F1489&gt;TODAY()),"Verificar evento futuro","OK"))))))</f>
        <v/>
      </c>
    </row>
    <row r="1490" spans="9:12">
      <c r="I1490" s="5">
        <f>IF(OR(A1490="",B1490=""),"",B1490-WEEKDAY(B1490,2)+1)</f>
        <v/>
      </c>
      <c r="J1490" s="5">
        <f>IF(I1490="","",I1490+6)</f>
        <v/>
      </c>
      <c r="K1490" s="6">
        <f>IF(OR(A1490="",B1490=""),"",DATE(YEAR(B1490),MONTH(B1490),1))</f>
        <v/>
      </c>
      <c r="L1490" s="7">
        <f>IF(COUNTA(A1490,B1490)=0,"",IF(OR(A1490="",B1490=""),"Preencher CPF e entrada",IF(COUNTIFS($A$12:$A$5011,A1490,$B$12:$B$5011,B1490)&gt;1,"CPF + dia duplicado",IF(OR(AND(E1490&lt;&gt;"",E1490&lt;B1490),AND(F1490&lt;&gt;"",F1490&lt;B1490)),"Evento anterior à entrada",IF(AND(F1490&lt;&gt;"",E1490=""),"Conversa sem agendamento",IF(OR(E1490&gt;TODAY(),F1490&gt;TODAY()),"Verificar evento futuro","OK"))))))</f>
        <v/>
      </c>
    </row>
    <row r="1491" spans="9:12">
      <c r="I1491" s="5">
        <f>IF(OR(A1491="",B1491=""),"",B1491-WEEKDAY(B1491,2)+1)</f>
        <v/>
      </c>
      <c r="J1491" s="5">
        <f>IF(I1491="","",I1491+6)</f>
        <v/>
      </c>
      <c r="K1491" s="6">
        <f>IF(OR(A1491="",B1491=""),"",DATE(YEAR(B1491),MONTH(B1491),1))</f>
        <v/>
      </c>
      <c r="L1491" s="7">
        <f>IF(COUNTA(A1491,B1491)=0,"",IF(OR(A1491="",B1491=""),"Preencher CPF e entrada",IF(COUNTIFS($A$12:$A$5011,A1491,$B$12:$B$5011,B1491)&gt;1,"CPF + dia duplicado",IF(OR(AND(E1491&lt;&gt;"",E1491&lt;B1491),AND(F1491&lt;&gt;"",F1491&lt;B1491)),"Evento anterior à entrada",IF(AND(F1491&lt;&gt;"",E1491=""),"Conversa sem agendamento",IF(OR(E1491&gt;TODAY(),F1491&gt;TODAY()),"Verificar evento futuro","OK"))))))</f>
        <v/>
      </c>
    </row>
    <row r="1492" spans="9:12">
      <c r="I1492" s="5">
        <f>IF(OR(A1492="",B1492=""),"",B1492-WEEKDAY(B1492,2)+1)</f>
        <v/>
      </c>
      <c r="J1492" s="5">
        <f>IF(I1492="","",I1492+6)</f>
        <v/>
      </c>
      <c r="K1492" s="6">
        <f>IF(OR(A1492="",B1492=""),"",DATE(YEAR(B1492),MONTH(B1492),1))</f>
        <v/>
      </c>
      <c r="L1492" s="7">
        <f>IF(COUNTA(A1492,B1492)=0,"",IF(OR(A1492="",B1492=""),"Preencher CPF e entrada",IF(COUNTIFS($A$12:$A$5011,A1492,$B$12:$B$5011,B1492)&gt;1,"CPF + dia duplicado",IF(OR(AND(E1492&lt;&gt;"",E1492&lt;B1492),AND(F1492&lt;&gt;"",F1492&lt;B1492)),"Evento anterior à entrada",IF(AND(F1492&lt;&gt;"",E1492=""),"Conversa sem agendamento",IF(OR(E1492&gt;TODAY(),F1492&gt;TODAY()),"Verificar evento futuro","OK"))))))</f>
        <v/>
      </c>
    </row>
    <row r="1493" spans="9:12">
      <c r="I1493" s="5">
        <f>IF(OR(A1493="",B1493=""),"",B1493-WEEKDAY(B1493,2)+1)</f>
        <v/>
      </c>
      <c r="J1493" s="5">
        <f>IF(I1493="","",I1493+6)</f>
        <v/>
      </c>
      <c r="K1493" s="6">
        <f>IF(OR(A1493="",B1493=""),"",DATE(YEAR(B1493),MONTH(B1493),1))</f>
        <v/>
      </c>
      <c r="L1493" s="7">
        <f>IF(COUNTA(A1493,B1493)=0,"",IF(OR(A1493="",B1493=""),"Preencher CPF e entrada",IF(COUNTIFS($A$12:$A$5011,A1493,$B$12:$B$5011,B1493)&gt;1,"CPF + dia duplicado",IF(OR(AND(E1493&lt;&gt;"",E1493&lt;B1493),AND(F1493&lt;&gt;"",F1493&lt;B1493)),"Evento anterior à entrada",IF(AND(F1493&lt;&gt;"",E1493=""),"Conversa sem agendamento",IF(OR(E1493&gt;TODAY(),F1493&gt;TODAY()),"Verificar evento futuro","OK"))))))</f>
        <v/>
      </c>
    </row>
    <row r="1494" spans="9:12">
      <c r="I1494" s="5">
        <f>IF(OR(A1494="",B1494=""),"",B1494-WEEKDAY(B1494,2)+1)</f>
        <v/>
      </c>
      <c r="J1494" s="5">
        <f>IF(I1494="","",I1494+6)</f>
        <v/>
      </c>
      <c r="K1494" s="6">
        <f>IF(OR(A1494="",B1494=""),"",DATE(YEAR(B1494),MONTH(B1494),1))</f>
        <v/>
      </c>
      <c r="L1494" s="7">
        <f>IF(COUNTA(A1494,B1494)=0,"",IF(OR(A1494="",B1494=""),"Preencher CPF e entrada",IF(COUNTIFS($A$12:$A$5011,A1494,$B$12:$B$5011,B1494)&gt;1,"CPF + dia duplicado",IF(OR(AND(E1494&lt;&gt;"",E1494&lt;B1494),AND(F1494&lt;&gt;"",F1494&lt;B1494)),"Evento anterior à entrada",IF(AND(F1494&lt;&gt;"",E1494=""),"Conversa sem agendamento",IF(OR(E1494&gt;TODAY(),F1494&gt;TODAY()),"Verificar evento futuro","OK"))))))</f>
        <v/>
      </c>
    </row>
    <row r="1495" spans="9:12">
      <c r="I1495" s="5">
        <f>IF(OR(A1495="",B1495=""),"",B1495-WEEKDAY(B1495,2)+1)</f>
        <v/>
      </c>
      <c r="J1495" s="5">
        <f>IF(I1495="","",I1495+6)</f>
        <v/>
      </c>
      <c r="K1495" s="6">
        <f>IF(OR(A1495="",B1495=""),"",DATE(YEAR(B1495),MONTH(B1495),1))</f>
        <v/>
      </c>
      <c r="L1495" s="7">
        <f>IF(COUNTA(A1495,B1495)=0,"",IF(OR(A1495="",B1495=""),"Preencher CPF e entrada",IF(COUNTIFS($A$12:$A$5011,A1495,$B$12:$B$5011,B1495)&gt;1,"CPF + dia duplicado",IF(OR(AND(E1495&lt;&gt;"",E1495&lt;B1495),AND(F1495&lt;&gt;"",F1495&lt;B1495)),"Evento anterior à entrada",IF(AND(F1495&lt;&gt;"",E1495=""),"Conversa sem agendamento",IF(OR(E1495&gt;TODAY(),F1495&gt;TODAY()),"Verificar evento futuro","OK"))))))</f>
        <v/>
      </c>
    </row>
    <row r="1496" spans="9:12">
      <c r="I1496" s="5">
        <f>IF(OR(A1496="",B1496=""),"",B1496-WEEKDAY(B1496,2)+1)</f>
        <v/>
      </c>
      <c r="J1496" s="5">
        <f>IF(I1496="","",I1496+6)</f>
        <v/>
      </c>
      <c r="K1496" s="6">
        <f>IF(OR(A1496="",B1496=""),"",DATE(YEAR(B1496),MONTH(B1496),1))</f>
        <v/>
      </c>
      <c r="L1496" s="7">
        <f>IF(COUNTA(A1496,B1496)=0,"",IF(OR(A1496="",B1496=""),"Preencher CPF e entrada",IF(COUNTIFS($A$12:$A$5011,A1496,$B$12:$B$5011,B1496)&gt;1,"CPF + dia duplicado",IF(OR(AND(E1496&lt;&gt;"",E1496&lt;B1496),AND(F1496&lt;&gt;"",F1496&lt;B1496)),"Evento anterior à entrada",IF(AND(F1496&lt;&gt;"",E1496=""),"Conversa sem agendamento",IF(OR(E1496&gt;TODAY(),F1496&gt;TODAY()),"Verificar evento futuro","OK"))))))</f>
        <v/>
      </c>
    </row>
    <row r="1497" spans="9:12">
      <c r="I1497" s="5">
        <f>IF(OR(A1497="",B1497=""),"",B1497-WEEKDAY(B1497,2)+1)</f>
        <v/>
      </c>
      <c r="J1497" s="5">
        <f>IF(I1497="","",I1497+6)</f>
        <v/>
      </c>
      <c r="K1497" s="6">
        <f>IF(OR(A1497="",B1497=""),"",DATE(YEAR(B1497),MONTH(B1497),1))</f>
        <v/>
      </c>
      <c r="L1497" s="7">
        <f>IF(COUNTA(A1497,B1497)=0,"",IF(OR(A1497="",B1497=""),"Preencher CPF e entrada",IF(COUNTIFS($A$12:$A$5011,A1497,$B$12:$B$5011,B1497)&gt;1,"CPF + dia duplicado",IF(OR(AND(E1497&lt;&gt;"",E1497&lt;B1497),AND(F1497&lt;&gt;"",F1497&lt;B1497)),"Evento anterior à entrada",IF(AND(F1497&lt;&gt;"",E1497=""),"Conversa sem agendamento",IF(OR(E1497&gt;TODAY(),F1497&gt;TODAY()),"Verificar evento futuro","OK"))))))</f>
        <v/>
      </c>
    </row>
    <row r="1498" spans="9:12">
      <c r="I1498" s="5">
        <f>IF(OR(A1498="",B1498=""),"",B1498-WEEKDAY(B1498,2)+1)</f>
        <v/>
      </c>
      <c r="J1498" s="5">
        <f>IF(I1498="","",I1498+6)</f>
        <v/>
      </c>
      <c r="K1498" s="6">
        <f>IF(OR(A1498="",B1498=""),"",DATE(YEAR(B1498),MONTH(B1498),1))</f>
        <v/>
      </c>
      <c r="L1498" s="7">
        <f>IF(COUNTA(A1498,B1498)=0,"",IF(OR(A1498="",B1498=""),"Preencher CPF e entrada",IF(COUNTIFS($A$12:$A$5011,A1498,$B$12:$B$5011,B1498)&gt;1,"CPF + dia duplicado",IF(OR(AND(E1498&lt;&gt;"",E1498&lt;B1498),AND(F1498&lt;&gt;"",F1498&lt;B1498)),"Evento anterior à entrada",IF(AND(F1498&lt;&gt;"",E1498=""),"Conversa sem agendamento",IF(OR(E1498&gt;TODAY(),F1498&gt;TODAY()),"Verificar evento futuro","OK"))))))</f>
        <v/>
      </c>
    </row>
    <row r="1499" spans="9:12">
      <c r="I1499" s="5">
        <f>IF(OR(A1499="",B1499=""),"",B1499-WEEKDAY(B1499,2)+1)</f>
        <v/>
      </c>
      <c r="J1499" s="5">
        <f>IF(I1499="","",I1499+6)</f>
        <v/>
      </c>
      <c r="K1499" s="6">
        <f>IF(OR(A1499="",B1499=""),"",DATE(YEAR(B1499),MONTH(B1499),1))</f>
        <v/>
      </c>
      <c r="L1499" s="7">
        <f>IF(COUNTA(A1499,B1499)=0,"",IF(OR(A1499="",B1499=""),"Preencher CPF e entrada",IF(COUNTIFS($A$12:$A$5011,A1499,$B$12:$B$5011,B1499)&gt;1,"CPF + dia duplicado",IF(OR(AND(E1499&lt;&gt;"",E1499&lt;B1499),AND(F1499&lt;&gt;"",F1499&lt;B1499)),"Evento anterior à entrada",IF(AND(F1499&lt;&gt;"",E1499=""),"Conversa sem agendamento",IF(OR(E1499&gt;TODAY(),F1499&gt;TODAY()),"Verificar evento futuro","OK"))))))</f>
        <v/>
      </c>
    </row>
    <row r="1500" spans="9:12">
      <c r="I1500" s="5">
        <f>IF(OR(A1500="",B1500=""),"",B1500-WEEKDAY(B1500,2)+1)</f>
        <v/>
      </c>
      <c r="J1500" s="5">
        <f>IF(I1500="","",I1500+6)</f>
        <v/>
      </c>
      <c r="K1500" s="6">
        <f>IF(OR(A1500="",B1500=""),"",DATE(YEAR(B1500),MONTH(B1500),1))</f>
        <v/>
      </c>
      <c r="L1500" s="7">
        <f>IF(COUNTA(A1500,B1500)=0,"",IF(OR(A1500="",B1500=""),"Preencher CPF e entrada",IF(COUNTIFS($A$12:$A$5011,A1500,$B$12:$B$5011,B1500)&gt;1,"CPF + dia duplicado",IF(OR(AND(E1500&lt;&gt;"",E1500&lt;B1500),AND(F1500&lt;&gt;"",F1500&lt;B1500)),"Evento anterior à entrada",IF(AND(F1500&lt;&gt;"",E1500=""),"Conversa sem agendamento",IF(OR(E1500&gt;TODAY(),F1500&gt;TODAY()),"Verificar evento futuro","OK"))))))</f>
        <v/>
      </c>
    </row>
    <row r="1501" spans="9:12">
      <c r="I1501" s="5">
        <f>IF(OR(A1501="",B1501=""),"",B1501-WEEKDAY(B1501,2)+1)</f>
        <v/>
      </c>
      <c r="J1501" s="5">
        <f>IF(I1501="","",I1501+6)</f>
        <v/>
      </c>
      <c r="K1501" s="6">
        <f>IF(OR(A1501="",B1501=""),"",DATE(YEAR(B1501),MONTH(B1501),1))</f>
        <v/>
      </c>
      <c r="L1501" s="7">
        <f>IF(COUNTA(A1501,B1501)=0,"",IF(OR(A1501="",B1501=""),"Preencher CPF e entrada",IF(COUNTIFS($A$12:$A$5011,A1501,$B$12:$B$5011,B1501)&gt;1,"CPF + dia duplicado",IF(OR(AND(E1501&lt;&gt;"",E1501&lt;B1501),AND(F1501&lt;&gt;"",F1501&lt;B1501)),"Evento anterior à entrada",IF(AND(F1501&lt;&gt;"",E1501=""),"Conversa sem agendamento",IF(OR(E1501&gt;TODAY(),F1501&gt;TODAY()),"Verificar evento futuro","OK"))))))</f>
        <v/>
      </c>
    </row>
    <row r="1502" spans="9:12">
      <c r="I1502" s="5">
        <f>IF(OR(A1502="",B1502=""),"",B1502-WEEKDAY(B1502,2)+1)</f>
        <v/>
      </c>
      <c r="J1502" s="5">
        <f>IF(I1502="","",I1502+6)</f>
        <v/>
      </c>
      <c r="K1502" s="6">
        <f>IF(OR(A1502="",B1502=""),"",DATE(YEAR(B1502),MONTH(B1502),1))</f>
        <v/>
      </c>
      <c r="L1502" s="7">
        <f>IF(COUNTA(A1502,B1502)=0,"",IF(OR(A1502="",B1502=""),"Preencher CPF e entrada",IF(COUNTIFS($A$12:$A$5011,A1502,$B$12:$B$5011,B1502)&gt;1,"CPF + dia duplicado",IF(OR(AND(E1502&lt;&gt;"",E1502&lt;B1502),AND(F1502&lt;&gt;"",F1502&lt;B1502)),"Evento anterior à entrada",IF(AND(F1502&lt;&gt;"",E1502=""),"Conversa sem agendamento",IF(OR(E1502&gt;TODAY(),F1502&gt;TODAY()),"Verificar evento futuro","OK"))))))</f>
        <v/>
      </c>
    </row>
    <row r="1503" spans="9:12">
      <c r="I1503" s="5">
        <f>IF(OR(A1503="",B1503=""),"",B1503-WEEKDAY(B1503,2)+1)</f>
        <v/>
      </c>
      <c r="J1503" s="5">
        <f>IF(I1503="","",I1503+6)</f>
        <v/>
      </c>
      <c r="K1503" s="6">
        <f>IF(OR(A1503="",B1503=""),"",DATE(YEAR(B1503),MONTH(B1503),1))</f>
        <v/>
      </c>
      <c r="L1503" s="7">
        <f>IF(COUNTA(A1503,B1503)=0,"",IF(OR(A1503="",B1503=""),"Preencher CPF e entrada",IF(COUNTIFS($A$12:$A$5011,A1503,$B$12:$B$5011,B1503)&gt;1,"CPF + dia duplicado",IF(OR(AND(E1503&lt;&gt;"",E1503&lt;B1503),AND(F1503&lt;&gt;"",F1503&lt;B1503)),"Evento anterior à entrada",IF(AND(F1503&lt;&gt;"",E1503=""),"Conversa sem agendamento",IF(OR(E1503&gt;TODAY(),F1503&gt;TODAY()),"Verificar evento futuro","OK"))))))</f>
        <v/>
      </c>
    </row>
    <row r="1504" spans="9:12">
      <c r="I1504" s="5">
        <f>IF(OR(A1504="",B1504=""),"",B1504-WEEKDAY(B1504,2)+1)</f>
        <v/>
      </c>
      <c r="J1504" s="5">
        <f>IF(I1504="","",I1504+6)</f>
        <v/>
      </c>
      <c r="K1504" s="6">
        <f>IF(OR(A1504="",B1504=""),"",DATE(YEAR(B1504),MONTH(B1504),1))</f>
        <v/>
      </c>
      <c r="L1504" s="7">
        <f>IF(COUNTA(A1504,B1504)=0,"",IF(OR(A1504="",B1504=""),"Preencher CPF e entrada",IF(COUNTIFS($A$12:$A$5011,A1504,$B$12:$B$5011,B1504)&gt;1,"CPF + dia duplicado",IF(OR(AND(E1504&lt;&gt;"",E1504&lt;B1504),AND(F1504&lt;&gt;"",F1504&lt;B1504)),"Evento anterior à entrada",IF(AND(F1504&lt;&gt;"",E1504=""),"Conversa sem agendamento",IF(OR(E1504&gt;TODAY(),F1504&gt;TODAY()),"Verificar evento futuro","OK"))))))</f>
        <v/>
      </c>
    </row>
    <row r="1505" spans="9:12">
      <c r="I1505" s="5">
        <f>IF(OR(A1505="",B1505=""),"",B1505-WEEKDAY(B1505,2)+1)</f>
        <v/>
      </c>
      <c r="J1505" s="5">
        <f>IF(I1505="","",I1505+6)</f>
        <v/>
      </c>
      <c r="K1505" s="6">
        <f>IF(OR(A1505="",B1505=""),"",DATE(YEAR(B1505),MONTH(B1505),1))</f>
        <v/>
      </c>
      <c r="L1505" s="7">
        <f>IF(COUNTA(A1505,B1505)=0,"",IF(OR(A1505="",B1505=""),"Preencher CPF e entrada",IF(COUNTIFS($A$12:$A$5011,A1505,$B$12:$B$5011,B1505)&gt;1,"CPF + dia duplicado",IF(OR(AND(E1505&lt;&gt;"",E1505&lt;B1505),AND(F1505&lt;&gt;"",F1505&lt;B1505)),"Evento anterior à entrada",IF(AND(F1505&lt;&gt;"",E1505=""),"Conversa sem agendamento",IF(OR(E1505&gt;TODAY(),F1505&gt;TODAY()),"Verificar evento futuro","OK"))))))</f>
        <v/>
      </c>
    </row>
    <row r="1506" spans="9:12">
      <c r="I1506" s="5">
        <f>IF(OR(A1506="",B1506=""),"",B1506-WEEKDAY(B1506,2)+1)</f>
        <v/>
      </c>
      <c r="J1506" s="5">
        <f>IF(I1506="","",I1506+6)</f>
        <v/>
      </c>
      <c r="K1506" s="6">
        <f>IF(OR(A1506="",B1506=""),"",DATE(YEAR(B1506),MONTH(B1506),1))</f>
        <v/>
      </c>
      <c r="L1506" s="7">
        <f>IF(COUNTA(A1506,B1506)=0,"",IF(OR(A1506="",B1506=""),"Preencher CPF e entrada",IF(COUNTIFS($A$12:$A$5011,A1506,$B$12:$B$5011,B1506)&gt;1,"CPF + dia duplicado",IF(OR(AND(E1506&lt;&gt;"",E1506&lt;B1506),AND(F1506&lt;&gt;"",F1506&lt;B1506)),"Evento anterior à entrada",IF(AND(F1506&lt;&gt;"",E1506=""),"Conversa sem agendamento",IF(OR(E1506&gt;TODAY(),F1506&gt;TODAY()),"Verificar evento futuro","OK"))))))</f>
        <v/>
      </c>
    </row>
    <row r="1507" spans="9:12">
      <c r="I1507" s="5">
        <f>IF(OR(A1507="",B1507=""),"",B1507-WEEKDAY(B1507,2)+1)</f>
        <v/>
      </c>
      <c r="J1507" s="5">
        <f>IF(I1507="","",I1507+6)</f>
        <v/>
      </c>
      <c r="K1507" s="6">
        <f>IF(OR(A1507="",B1507=""),"",DATE(YEAR(B1507),MONTH(B1507),1))</f>
        <v/>
      </c>
      <c r="L1507" s="7">
        <f>IF(COUNTA(A1507,B1507)=0,"",IF(OR(A1507="",B1507=""),"Preencher CPF e entrada",IF(COUNTIFS($A$12:$A$5011,A1507,$B$12:$B$5011,B1507)&gt;1,"CPF + dia duplicado",IF(OR(AND(E1507&lt;&gt;"",E1507&lt;B1507),AND(F1507&lt;&gt;"",F1507&lt;B1507)),"Evento anterior à entrada",IF(AND(F1507&lt;&gt;"",E1507=""),"Conversa sem agendamento",IF(OR(E1507&gt;TODAY(),F1507&gt;TODAY()),"Verificar evento futuro","OK"))))))</f>
        <v/>
      </c>
    </row>
    <row r="1508" spans="9:12">
      <c r="I1508" s="5">
        <f>IF(OR(A1508="",B1508=""),"",B1508-WEEKDAY(B1508,2)+1)</f>
        <v/>
      </c>
      <c r="J1508" s="5">
        <f>IF(I1508="","",I1508+6)</f>
        <v/>
      </c>
      <c r="K1508" s="6">
        <f>IF(OR(A1508="",B1508=""),"",DATE(YEAR(B1508),MONTH(B1508),1))</f>
        <v/>
      </c>
      <c r="L1508" s="7">
        <f>IF(COUNTA(A1508,B1508)=0,"",IF(OR(A1508="",B1508=""),"Preencher CPF e entrada",IF(COUNTIFS($A$12:$A$5011,A1508,$B$12:$B$5011,B1508)&gt;1,"CPF + dia duplicado",IF(OR(AND(E1508&lt;&gt;"",E1508&lt;B1508),AND(F1508&lt;&gt;"",F1508&lt;B1508)),"Evento anterior à entrada",IF(AND(F1508&lt;&gt;"",E1508=""),"Conversa sem agendamento",IF(OR(E1508&gt;TODAY(),F1508&gt;TODAY()),"Verificar evento futuro","OK"))))))</f>
        <v/>
      </c>
    </row>
    <row r="1509" spans="9:12">
      <c r="I1509" s="5">
        <f>IF(OR(A1509="",B1509=""),"",B1509-WEEKDAY(B1509,2)+1)</f>
        <v/>
      </c>
      <c r="J1509" s="5">
        <f>IF(I1509="","",I1509+6)</f>
        <v/>
      </c>
      <c r="K1509" s="6">
        <f>IF(OR(A1509="",B1509=""),"",DATE(YEAR(B1509),MONTH(B1509),1))</f>
        <v/>
      </c>
      <c r="L1509" s="7">
        <f>IF(COUNTA(A1509,B1509)=0,"",IF(OR(A1509="",B1509=""),"Preencher CPF e entrada",IF(COUNTIFS($A$12:$A$5011,A1509,$B$12:$B$5011,B1509)&gt;1,"CPF + dia duplicado",IF(OR(AND(E1509&lt;&gt;"",E1509&lt;B1509),AND(F1509&lt;&gt;"",F1509&lt;B1509)),"Evento anterior à entrada",IF(AND(F1509&lt;&gt;"",E1509=""),"Conversa sem agendamento",IF(OR(E1509&gt;TODAY(),F1509&gt;TODAY()),"Verificar evento futuro","OK"))))))</f>
        <v/>
      </c>
    </row>
    <row r="1510" spans="9:12">
      <c r="I1510" s="5">
        <f>IF(OR(A1510="",B1510=""),"",B1510-WEEKDAY(B1510,2)+1)</f>
        <v/>
      </c>
      <c r="J1510" s="5">
        <f>IF(I1510="","",I1510+6)</f>
        <v/>
      </c>
      <c r="K1510" s="6">
        <f>IF(OR(A1510="",B1510=""),"",DATE(YEAR(B1510),MONTH(B1510),1))</f>
        <v/>
      </c>
      <c r="L1510" s="7">
        <f>IF(COUNTA(A1510,B1510)=0,"",IF(OR(A1510="",B1510=""),"Preencher CPF e entrada",IF(COUNTIFS($A$12:$A$5011,A1510,$B$12:$B$5011,B1510)&gt;1,"CPF + dia duplicado",IF(OR(AND(E1510&lt;&gt;"",E1510&lt;B1510),AND(F1510&lt;&gt;"",F1510&lt;B1510)),"Evento anterior à entrada",IF(AND(F1510&lt;&gt;"",E1510=""),"Conversa sem agendamento",IF(OR(E1510&gt;TODAY(),F1510&gt;TODAY()),"Verificar evento futuro","OK"))))))</f>
        <v/>
      </c>
    </row>
    <row r="1511" spans="9:12">
      <c r="I1511" s="5">
        <f>IF(OR(A1511="",B1511=""),"",B1511-WEEKDAY(B1511,2)+1)</f>
        <v/>
      </c>
      <c r="J1511" s="5">
        <f>IF(I1511="","",I1511+6)</f>
        <v/>
      </c>
      <c r="K1511" s="6">
        <f>IF(OR(A1511="",B1511=""),"",DATE(YEAR(B1511),MONTH(B1511),1))</f>
        <v/>
      </c>
      <c r="L1511" s="7">
        <f>IF(COUNTA(A1511,B1511)=0,"",IF(OR(A1511="",B1511=""),"Preencher CPF e entrada",IF(COUNTIFS($A$12:$A$5011,A1511,$B$12:$B$5011,B1511)&gt;1,"CPF + dia duplicado",IF(OR(AND(E1511&lt;&gt;"",E1511&lt;B1511),AND(F1511&lt;&gt;"",F1511&lt;B1511)),"Evento anterior à entrada",IF(AND(F1511&lt;&gt;"",E1511=""),"Conversa sem agendamento",IF(OR(E1511&gt;TODAY(),F1511&gt;TODAY()),"Verificar evento futuro","OK"))))))</f>
        <v/>
      </c>
    </row>
    <row r="1512" spans="9:12">
      <c r="I1512" s="5">
        <f>IF(OR(A1512="",B1512=""),"",B1512-WEEKDAY(B1512,2)+1)</f>
        <v/>
      </c>
      <c r="J1512" s="5">
        <f>IF(I1512="","",I1512+6)</f>
        <v/>
      </c>
      <c r="K1512" s="6">
        <f>IF(OR(A1512="",B1512=""),"",DATE(YEAR(B1512),MONTH(B1512),1))</f>
        <v/>
      </c>
      <c r="L1512" s="7">
        <f>IF(COUNTA(A1512,B1512)=0,"",IF(OR(A1512="",B1512=""),"Preencher CPF e entrada",IF(COUNTIFS($A$12:$A$5011,A1512,$B$12:$B$5011,B1512)&gt;1,"CPF + dia duplicado",IF(OR(AND(E1512&lt;&gt;"",E1512&lt;B1512),AND(F1512&lt;&gt;"",F1512&lt;B1512)),"Evento anterior à entrada",IF(AND(F1512&lt;&gt;"",E1512=""),"Conversa sem agendamento",IF(OR(E1512&gt;TODAY(),F1512&gt;TODAY()),"Verificar evento futuro","OK"))))))</f>
        <v/>
      </c>
    </row>
    <row r="1513" spans="9:12">
      <c r="I1513" s="5">
        <f>IF(OR(A1513="",B1513=""),"",B1513-WEEKDAY(B1513,2)+1)</f>
        <v/>
      </c>
      <c r="J1513" s="5">
        <f>IF(I1513="","",I1513+6)</f>
        <v/>
      </c>
      <c r="K1513" s="6">
        <f>IF(OR(A1513="",B1513=""),"",DATE(YEAR(B1513),MONTH(B1513),1))</f>
        <v/>
      </c>
      <c r="L1513" s="7">
        <f>IF(COUNTA(A1513,B1513)=0,"",IF(OR(A1513="",B1513=""),"Preencher CPF e entrada",IF(COUNTIFS($A$12:$A$5011,A1513,$B$12:$B$5011,B1513)&gt;1,"CPF + dia duplicado",IF(OR(AND(E1513&lt;&gt;"",E1513&lt;B1513),AND(F1513&lt;&gt;"",F1513&lt;B1513)),"Evento anterior à entrada",IF(AND(F1513&lt;&gt;"",E1513=""),"Conversa sem agendamento",IF(OR(E1513&gt;TODAY(),F1513&gt;TODAY()),"Verificar evento futuro","OK"))))))</f>
        <v/>
      </c>
    </row>
    <row r="1514" spans="9:12">
      <c r="I1514" s="5">
        <f>IF(OR(A1514="",B1514=""),"",B1514-WEEKDAY(B1514,2)+1)</f>
        <v/>
      </c>
      <c r="J1514" s="5">
        <f>IF(I1514="","",I1514+6)</f>
        <v/>
      </c>
      <c r="K1514" s="6">
        <f>IF(OR(A1514="",B1514=""),"",DATE(YEAR(B1514),MONTH(B1514),1))</f>
        <v/>
      </c>
      <c r="L1514" s="7">
        <f>IF(COUNTA(A1514,B1514)=0,"",IF(OR(A1514="",B1514=""),"Preencher CPF e entrada",IF(COUNTIFS($A$12:$A$5011,A1514,$B$12:$B$5011,B1514)&gt;1,"CPF + dia duplicado",IF(OR(AND(E1514&lt;&gt;"",E1514&lt;B1514),AND(F1514&lt;&gt;"",F1514&lt;B1514)),"Evento anterior à entrada",IF(AND(F1514&lt;&gt;"",E1514=""),"Conversa sem agendamento",IF(OR(E1514&gt;TODAY(),F1514&gt;TODAY()),"Verificar evento futuro","OK"))))))</f>
        <v/>
      </c>
    </row>
    <row r="1515" spans="9:12">
      <c r="I1515" s="5">
        <f>IF(OR(A1515="",B1515=""),"",B1515-WEEKDAY(B1515,2)+1)</f>
        <v/>
      </c>
      <c r="J1515" s="5">
        <f>IF(I1515="","",I1515+6)</f>
        <v/>
      </c>
      <c r="K1515" s="6">
        <f>IF(OR(A1515="",B1515=""),"",DATE(YEAR(B1515),MONTH(B1515),1))</f>
        <v/>
      </c>
      <c r="L1515" s="7">
        <f>IF(COUNTA(A1515,B1515)=0,"",IF(OR(A1515="",B1515=""),"Preencher CPF e entrada",IF(COUNTIFS($A$12:$A$5011,A1515,$B$12:$B$5011,B1515)&gt;1,"CPF + dia duplicado",IF(OR(AND(E1515&lt;&gt;"",E1515&lt;B1515),AND(F1515&lt;&gt;"",F1515&lt;B1515)),"Evento anterior à entrada",IF(AND(F1515&lt;&gt;"",E1515=""),"Conversa sem agendamento",IF(OR(E1515&gt;TODAY(),F1515&gt;TODAY()),"Verificar evento futuro","OK"))))))</f>
        <v/>
      </c>
    </row>
    <row r="1516" spans="9:12">
      <c r="I1516" s="5">
        <f>IF(OR(A1516="",B1516=""),"",B1516-WEEKDAY(B1516,2)+1)</f>
        <v/>
      </c>
      <c r="J1516" s="5">
        <f>IF(I1516="","",I1516+6)</f>
        <v/>
      </c>
      <c r="K1516" s="6">
        <f>IF(OR(A1516="",B1516=""),"",DATE(YEAR(B1516),MONTH(B1516),1))</f>
        <v/>
      </c>
      <c r="L1516" s="7">
        <f>IF(COUNTA(A1516,B1516)=0,"",IF(OR(A1516="",B1516=""),"Preencher CPF e entrada",IF(COUNTIFS($A$12:$A$5011,A1516,$B$12:$B$5011,B1516)&gt;1,"CPF + dia duplicado",IF(OR(AND(E1516&lt;&gt;"",E1516&lt;B1516),AND(F1516&lt;&gt;"",F1516&lt;B1516)),"Evento anterior à entrada",IF(AND(F1516&lt;&gt;"",E1516=""),"Conversa sem agendamento",IF(OR(E1516&gt;TODAY(),F1516&gt;TODAY()),"Verificar evento futuro","OK"))))))</f>
        <v/>
      </c>
    </row>
    <row r="1517" spans="9:12">
      <c r="I1517" s="5">
        <f>IF(OR(A1517="",B1517=""),"",B1517-WEEKDAY(B1517,2)+1)</f>
        <v/>
      </c>
      <c r="J1517" s="5">
        <f>IF(I1517="","",I1517+6)</f>
        <v/>
      </c>
      <c r="K1517" s="6">
        <f>IF(OR(A1517="",B1517=""),"",DATE(YEAR(B1517),MONTH(B1517),1))</f>
        <v/>
      </c>
      <c r="L1517" s="7">
        <f>IF(COUNTA(A1517,B1517)=0,"",IF(OR(A1517="",B1517=""),"Preencher CPF e entrada",IF(COUNTIFS($A$12:$A$5011,A1517,$B$12:$B$5011,B1517)&gt;1,"CPF + dia duplicado",IF(OR(AND(E1517&lt;&gt;"",E1517&lt;B1517),AND(F1517&lt;&gt;"",F1517&lt;B1517)),"Evento anterior à entrada",IF(AND(F1517&lt;&gt;"",E1517=""),"Conversa sem agendamento",IF(OR(E1517&gt;TODAY(),F1517&gt;TODAY()),"Verificar evento futuro","OK"))))))</f>
        <v/>
      </c>
    </row>
    <row r="1518" spans="9:12">
      <c r="I1518" s="5">
        <f>IF(OR(A1518="",B1518=""),"",B1518-WEEKDAY(B1518,2)+1)</f>
        <v/>
      </c>
      <c r="J1518" s="5">
        <f>IF(I1518="","",I1518+6)</f>
        <v/>
      </c>
      <c r="K1518" s="6">
        <f>IF(OR(A1518="",B1518=""),"",DATE(YEAR(B1518),MONTH(B1518),1))</f>
        <v/>
      </c>
      <c r="L1518" s="7">
        <f>IF(COUNTA(A1518,B1518)=0,"",IF(OR(A1518="",B1518=""),"Preencher CPF e entrada",IF(COUNTIFS($A$12:$A$5011,A1518,$B$12:$B$5011,B1518)&gt;1,"CPF + dia duplicado",IF(OR(AND(E1518&lt;&gt;"",E1518&lt;B1518),AND(F1518&lt;&gt;"",F1518&lt;B1518)),"Evento anterior à entrada",IF(AND(F1518&lt;&gt;"",E1518=""),"Conversa sem agendamento",IF(OR(E1518&gt;TODAY(),F1518&gt;TODAY()),"Verificar evento futuro","OK"))))))</f>
        <v/>
      </c>
    </row>
    <row r="1519" spans="9:12">
      <c r="I1519" s="5">
        <f>IF(OR(A1519="",B1519=""),"",B1519-WEEKDAY(B1519,2)+1)</f>
        <v/>
      </c>
      <c r="J1519" s="5">
        <f>IF(I1519="","",I1519+6)</f>
        <v/>
      </c>
      <c r="K1519" s="6">
        <f>IF(OR(A1519="",B1519=""),"",DATE(YEAR(B1519),MONTH(B1519),1))</f>
        <v/>
      </c>
      <c r="L1519" s="7">
        <f>IF(COUNTA(A1519,B1519)=0,"",IF(OR(A1519="",B1519=""),"Preencher CPF e entrada",IF(COUNTIFS($A$12:$A$5011,A1519,$B$12:$B$5011,B1519)&gt;1,"CPF + dia duplicado",IF(OR(AND(E1519&lt;&gt;"",E1519&lt;B1519),AND(F1519&lt;&gt;"",F1519&lt;B1519)),"Evento anterior à entrada",IF(AND(F1519&lt;&gt;"",E1519=""),"Conversa sem agendamento",IF(OR(E1519&gt;TODAY(),F1519&gt;TODAY()),"Verificar evento futuro","OK"))))))</f>
        <v/>
      </c>
    </row>
    <row r="1520" spans="9:12">
      <c r="I1520" s="5">
        <f>IF(OR(A1520="",B1520=""),"",B1520-WEEKDAY(B1520,2)+1)</f>
        <v/>
      </c>
      <c r="J1520" s="5">
        <f>IF(I1520="","",I1520+6)</f>
        <v/>
      </c>
      <c r="K1520" s="6">
        <f>IF(OR(A1520="",B1520=""),"",DATE(YEAR(B1520),MONTH(B1520),1))</f>
        <v/>
      </c>
      <c r="L1520" s="7">
        <f>IF(COUNTA(A1520,B1520)=0,"",IF(OR(A1520="",B1520=""),"Preencher CPF e entrada",IF(COUNTIFS($A$12:$A$5011,A1520,$B$12:$B$5011,B1520)&gt;1,"CPF + dia duplicado",IF(OR(AND(E1520&lt;&gt;"",E1520&lt;B1520),AND(F1520&lt;&gt;"",F1520&lt;B1520)),"Evento anterior à entrada",IF(AND(F1520&lt;&gt;"",E1520=""),"Conversa sem agendamento",IF(OR(E1520&gt;TODAY(),F1520&gt;TODAY()),"Verificar evento futuro","OK"))))))</f>
        <v/>
      </c>
    </row>
    <row r="1521" spans="9:12">
      <c r="I1521" s="5">
        <f>IF(OR(A1521="",B1521=""),"",B1521-WEEKDAY(B1521,2)+1)</f>
        <v/>
      </c>
      <c r="J1521" s="5">
        <f>IF(I1521="","",I1521+6)</f>
        <v/>
      </c>
      <c r="K1521" s="6">
        <f>IF(OR(A1521="",B1521=""),"",DATE(YEAR(B1521),MONTH(B1521),1))</f>
        <v/>
      </c>
      <c r="L1521" s="7">
        <f>IF(COUNTA(A1521,B1521)=0,"",IF(OR(A1521="",B1521=""),"Preencher CPF e entrada",IF(COUNTIFS($A$12:$A$5011,A1521,$B$12:$B$5011,B1521)&gt;1,"CPF + dia duplicado",IF(OR(AND(E1521&lt;&gt;"",E1521&lt;B1521),AND(F1521&lt;&gt;"",F1521&lt;B1521)),"Evento anterior à entrada",IF(AND(F1521&lt;&gt;"",E1521=""),"Conversa sem agendamento",IF(OR(E1521&gt;TODAY(),F1521&gt;TODAY()),"Verificar evento futuro","OK"))))))</f>
        <v/>
      </c>
    </row>
    <row r="1522" spans="9:12">
      <c r="I1522" s="5">
        <f>IF(OR(A1522="",B1522=""),"",B1522-WEEKDAY(B1522,2)+1)</f>
        <v/>
      </c>
      <c r="J1522" s="5">
        <f>IF(I1522="","",I1522+6)</f>
        <v/>
      </c>
      <c r="K1522" s="6">
        <f>IF(OR(A1522="",B1522=""),"",DATE(YEAR(B1522),MONTH(B1522),1))</f>
        <v/>
      </c>
      <c r="L1522" s="7">
        <f>IF(COUNTA(A1522,B1522)=0,"",IF(OR(A1522="",B1522=""),"Preencher CPF e entrada",IF(COUNTIFS($A$12:$A$5011,A1522,$B$12:$B$5011,B1522)&gt;1,"CPF + dia duplicado",IF(OR(AND(E1522&lt;&gt;"",E1522&lt;B1522),AND(F1522&lt;&gt;"",F1522&lt;B1522)),"Evento anterior à entrada",IF(AND(F1522&lt;&gt;"",E1522=""),"Conversa sem agendamento",IF(OR(E1522&gt;TODAY(),F1522&gt;TODAY()),"Verificar evento futuro","OK"))))))</f>
        <v/>
      </c>
    </row>
    <row r="1523" spans="9:12">
      <c r="I1523" s="5">
        <f>IF(OR(A1523="",B1523=""),"",B1523-WEEKDAY(B1523,2)+1)</f>
        <v/>
      </c>
      <c r="J1523" s="5">
        <f>IF(I1523="","",I1523+6)</f>
        <v/>
      </c>
      <c r="K1523" s="6">
        <f>IF(OR(A1523="",B1523=""),"",DATE(YEAR(B1523),MONTH(B1523),1))</f>
        <v/>
      </c>
      <c r="L1523" s="7">
        <f>IF(COUNTA(A1523,B1523)=0,"",IF(OR(A1523="",B1523=""),"Preencher CPF e entrada",IF(COUNTIFS($A$12:$A$5011,A1523,$B$12:$B$5011,B1523)&gt;1,"CPF + dia duplicado",IF(OR(AND(E1523&lt;&gt;"",E1523&lt;B1523),AND(F1523&lt;&gt;"",F1523&lt;B1523)),"Evento anterior à entrada",IF(AND(F1523&lt;&gt;"",E1523=""),"Conversa sem agendamento",IF(OR(E1523&gt;TODAY(),F1523&gt;TODAY()),"Verificar evento futuro","OK"))))))</f>
        <v/>
      </c>
    </row>
    <row r="1524" spans="9:12">
      <c r="I1524" s="5">
        <f>IF(OR(A1524="",B1524=""),"",B1524-WEEKDAY(B1524,2)+1)</f>
        <v/>
      </c>
      <c r="J1524" s="5">
        <f>IF(I1524="","",I1524+6)</f>
        <v/>
      </c>
      <c r="K1524" s="6">
        <f>IF(OR(A1524="",B1524=""),"",DATE(YEAR(B1524),MONTH(B1524),1))</f>
        <v/>
      </c>
      <c r="L1524" s="7">
        <f>IF(COUNTA(A1524,B1524)=0,"",IF(OR(A1524="",B1524=""),"Preencher CPF e entrada",IF(COUNTIFS($A$12:$A$5011,A1524,$B$12:$B$5011,B1524)&gt;1,"CPF + dia duplicado",IF(OR(AND(E1524&lt;&gt;"",E1524&lt;B1524),AND(F1524&lt;&gt;"",F1524&lt;B1524)),"Evento anterior à entrada",IF(AND(F1524&lt;&gt;"",E1524=""),"Conversa sem agendamento",IF(OR(E1524&gt;TODAY(),F1524&gt;TODAY()),"Verificar evento futuro","OK"))))))</f>
        <v/>
      </c>
    </row>
    <row r="1525" spans="9:12">
      <c r="I1525" s="5">
        <f>IF(OR(A1525="",B1525=""),"",B1525-WEEKDAY(B1525,2)+1)</f>
        <v/>
      </c>
      <c r="J1525" s="5">
        <f>IF(I1525="","",I1525+6)</f>
        <v/>
      </c>
      <c r="K1525" s="6">
        <f>IF(OR(A1525="",B1525=""),"",DATE(YEAR(B1525),MONTH(B1525),1))</f>
        <v/>
      </c>
      <c r="L1525" s="7">
        <f>IF(COUNTA(A1525,B1525)=0,"",IF(OR(A1525="",B1525=""),"Preencher CPF e entrada",IF(COUNTIFS($A$12:$A$5011,A1525,$B$12:$B$5011,B1525)&gt;1,"CPF + dia duplicado",IF(OR(AND(E1525&lt;&gt;"",E1525&lt;B1525),AND(F1525&lt;&gt;"",F1525&lt;B1525)),"Evento anterior à entrada",IF(AND(F1525&lt;&gt;"",E1525=""),"Conversa sem agendamento",IF(OR(E1525&gt;TODAY(),F1525&gt;TODAY()),"Verificar evento futuro","OK"))))))</f>
        <v/>
      </c>
    </row>
    <row r="1526" spans="9:12">
      <c r="I1526" s="5">
        <f>IF(OR(A1526="",B1526=""),"",B1526-WEEKDAY(B1526,2)+1)</f>
        <v/>
      </c>
      <c r="J1526" s="5">
        <f>IF(I1526="","",I1526+6)</f>
        <v/>
      </c>
      <c r="K1526" s="6">
        <f>IF(OR(A1526="",B1526=""),"",DATE(YEAR(B1526),MONTH(B1526),1))</f>
        <v/>
      </c>
      <c r="L1526" s="7">
        <f>IF(COUNTA(A1526,B1526)=0,"",IF(OR(A1526="",B1526=""),"Preencher CPF e entrada",IF(COUNTIFS($A$12:$A$5011,A1526,$B$12:$B$5011,B1526)&gt;1,"CPF + dia duplicado",IF(OR(AND(E1526&lt;&gt;"",E1526&lt;B1526),AND(F1526&lt;&gt;"",F1526&lt;B1526)),"Evento anterior à entrada",IF(AND(F1526&lt;&gt;"",E1526=""),"Conversa sem agendamento",IF(OR(E1526&gt;TODAY(),F1526&gt;TODAY()),"Verificar evento futuro","OK"))))))</f>
        <v/>
      </c>
    </row>
    <row r="1527" spans="9:12">
      <c r="I1527" s="5">
        <f>IF(OR(A1527="",B1527=""),"",B1527-WEEKDAY(B1527,2)+1)</f>
        <v/>
      </c>
      <c r="J1527" s="5">
        <f>IF(I1527="","",I1527+6)</f>
        <v/>
      </c>
      <c r="K1527" s="6">
        <f>IF(OR(A1527="",B1527=""),"",DATE(YEAR(B1527),MONTH(B1527),1))</f>
        <v/>
      </c>
      <c r="L1527" s="7">
        <f>IF(COUNTA(A1527,B1527)=0,"",IF(OR(A1527="",B1527=""),"Preencher CPF e entrada",IF(COUNTIFS($A$12:$A$5011,A1527,$B$12:$B$5011,B1527)&gt;1,"CPF + dia duplicado",IF(OR(AND(E1527&lt;&gt;"",E1527&lt;B1527),AND(F1527&lt;&gt;"",F1527&lt;B1527)),"Evento anterior à entrada",IF(AND(F1527&lt;&gt;"",E1527=""),"Conversa sem agendamento",IF(OR(E1527&gt;TODAY(),F1527&gt;TODAY()),"Verificar evento futuro","OK"))))))</f>
        <v/>
      </c>
    </row>
    <row r="1528" spans="9:12">
      <c r="I1528" s="5">
        <f>IF(OR(A1528="",B1528=""),"",B1528-WEEKDAY(B1528,2)+1)</f>
        <v/>
      </c>
      <c r="J1528" s="5">
        <f>IF(I1528="","",I1528+6)</f>
        <v/>
      </c>
      <c r="K1528" s="6">
        <f>IF(OR(A1528="",B1528=""),"",DATE(YEAR(B1528),MONTH(B1528),1))</f>
        <v/>
      </c>
      <c r="L1528" s="7">
        <f>IF(COUNTA(A1528,B1528)=0,"",IF(OR(A1528="",B1528=""),"Preencher CPF e entrada",IF(COUNTIFS($A$12:$A$5011,A1528,$B$12:$B$5011,B1528)&gt;1,"CPF + dia duplicado",IF(OR(AND(E1528&lt;&gt;"",E1528&lt;B1528),AND(F1528&lt;&gt;"",F1528&lt;B1528)),"Evento anterior à entrada",IF(AND(F1528&lt;&gt;"",E1528=""),"Conversa sem agendamento",IF(OR(E1528&gt;TODAY(),F1528&gt;TODAY()),"Verificar evento futuro","OK"))))))</f>
        <v/>
      </c>
    </row>
    <row r="1529" spans="9:12">
      <c r="I1529" s="5">
        <f>IF(OR(A1529="",B1529=""),"",B1529-WEEKDAY(B1529,2)+1)</f>
        <v/>
      </c>
      <c r="J1529" s="5">
        <f>IF(I1529="","",I1529+6)</f>
        <v/>
      </c>
      <c r="K1529" s="6">
        <f>IF(OR(A1529="",B1529=""),"",DATE(YEAR(B1529),MONTH(B1529),1))</f>
        <v/>
      </c>
      <c r="L1529" s="7">
        <f>IF(COUNTA(A1529,B1529)=0,"",IF(OR(A1529="",B1529=""),"Preencher CPF e entrada",IF(COUNTIFS($A$12:$A$5011,A1529,$B$12:$B$5011,B1529)&gt;1,"CPF + dia duplicado",IF(OR(AND(E1529&lt;&gt;"",E1529&lt;B1529),AND(F1529&lt;&gt;"",F1529&lt;B1529)),"Evento anterior à entrada",IF(AND(F1529&lt;&gt;"",E1529=""),"Conversa sem agendamento",IF(OR(E1529&gt;TODAY(),F1529&gt;TODAY()),"Verificar evento futuro","OK"))))))</f>
        <v/>
      </c>
    </row>
    <row r="1530" spans="9:12">
      <c r="I1530" s="5">
        <f>IF(OR(A1530="",B1530=""),"",B1530-WEEKDAY(B1530,2)+1)</f>
        <v/>
      </c>
      <c r="J1530" s="5">
        <f>IF(I1530="","",I1530+6)</f>
        <v/>
      </c>
      <c r="K1530" s="6">
        <f>IF(OR(A1530="",B1530=""),"",DATE(YEAR(B1530),MONTH(B1530),1))</f>
        <v/>
      </c>
      <c r="L1530" s="7">
        <f>IF(COUNTA(A1530,B1530)=0,"",IF(OR(A1530="",B1530=""),"Preencher CPF e entrada",IF(COUNTIFS($A$12:$A$5011,A1530,$B$12:$B$5011,B1530)&gt;1,"CPF + dia duplicado",IF(OR(AND(E1530&lt;&gt;"",E1530&lt;B1530),AND(F1530&lt;&gt;"",F1530&lt;B1530)),"Evento anterior à entrada",IF(AND(F1530&lt;&gt;"",E1530=""),"Conversa sem agendamento",IF(OR(E1530&gt;TODAY(),F1530&gt;TODAY()),"Verificar evento futuro","OK"))))))</f>
        <v/>
      </c>
    </row>
    <row r="1531" spans="9:12">
      <c r="I1531" s="5">
        <f>IF(OR(A1531="",B1531=""),"",B1531-WEEKDAY(B1531,2)+1)</f>
        <v/>
      </c>
      <c r="J1531" s="5">
        <f>IF(I1531="","",I1531+6)</f>
        <v/>
      </c>
      <c r="K1531" s="6">
        <f>IF(OR(A1531="",B1531=""),"",DATE(YEAR(B1531),MONTH(B1531),1))</f>
        <v/>
      </c>
      <c r="L1531" s="7">
        <f>IF(COUNTA(A1531,B1531)=0,"",IF(OR(A1531="",B1531=""),"Preencher CPF e entrada",IF(COUNTIFS($A$12:$A$5011,A1531,$B$12:$B$5011,B1531)&gt;1,"CPF + dia duplicado",IF(OR(AND(E1531&lt;&gt;"",E1531&lt;B1531),AND(F1531&lt;&gt;"",F1531&lt;B1531)),"Evento anterior à entrada",IF(AND(F1531&lt;&gt;"",E1531=""),"Conversa sem agendamento",IF(OR(E1531&gt;TODAY(),F1531&gt;TODAY()),"Verificar evento futuro","OK"))))))</f>
        <v/>
      </c>
    </row>
    <row r="1532" spans="9:12">
      <c r="I1532" s="5">
        <f>IF(OR(A1532="",B1532=""),"",B1532-WEEKDAY(B1532,2)+1)</f>
        <v/>
      </c>
      <c r="J1532" s="5">
        <f>IF(I1532="","",I1532+6)</f>
        <v/>
      </c>
      <c r="K1532" s="6">
        <f>IF(OR(A1532="",B1532=""),"",DATE(YEAR(B1532),MONTH(B1532),1))</f>
        <v/>
      </c>
      <c r="L1532" s="7">
        <f>IF(COUNTA(A1532,B1532)=0,"",IF(OR(A1532="",B1532=""),"Preencher CPF e entrada",IF(COUNTIFS($A$12:$A$5011,A1532,$B$12:$B$5011,B1532)&gt;1,"CPF + dia duplicado",IF(OR(AND(E1532&lt;&gt;"",E1532&lt;B1532),AND(F1532&lt;&gt;"",F1532&lt;B1532)),"Evento anterior à entrada",IF(AND(F1532&lt;&gt;"",E1532=""),"Conversa sem agendamento",IF(OR(E1532&gt;TODAY(),F1532&gt;TODAY()),"Verificar evento futuro","OK"))))))</f>
        <v/>
      </c>
    </row>
    <row r="1533" spans="9:12">
      <c r="I1533" s="5">
        <f>IF(OR(A1533="",B1533=""),"",B1533-WEEKDAY(B1533,2)+1)</f>
        <v/>
      </c>
      <c r="J1533" s="5">
        <f>IF(I1533="","",I1533+6)</f>
        <v/>
      </c>
      <c r="K1533" s="6">
        <f>IF(OR(A1533="",B1533=""),"",DATE(YEAR(B1533),MONTH(B1533),1))</f>
        <v/>
      </c>
      <c r="L1533" s="7">
        <f>IF(COUNTA(A1533,B1533)=0,"",IF(OR(A1533="",B1533=""),"Preencher CPF e entrada",IF(COUNTIFS($A$12:$A$5011,A1533,$B$12:$B$5011,B1533)&gt;1,"CPF + dia duplicado",IF(OR(AND(E1533&lt;&gt;"",E1533&lt;B1533),AND(F1533&lt;&gt;"",F1533&lt;B1533)),"Evento anterior à entrada",IF(AND(F1533&lt;&gt;"",E1533=""),"Conversa sem agendamento",IF(OR(E1533&gt;TODAY(),F1533&gt;TODAY()),"Verificar evento futuro","OK"))))))</f>
        <v/>
      </c>
    </row>
    <row r="1534" spans="9:12">
      <c r="I1534" s="5">
        <f>IF(OR(A1534="",B1534=""),"",B1534-WEEKDAY(B1534,2)+1)</f>
        <v/>
      </c>
      <c r="J1534" s="5">
        <f>IF(I1534="","",I1534+6)</f>
        <v/>
      </c>
      <c r="K1534" s="6">
        <f>IF(OR(A1534="",B1534=""),"",DATE(YEAR(B1534),MONTH(B1534),1))</f>
        <v/>
      </c>
      <c r="L1534" s="7">
        <f>IF(COUNTA(A1534,B1534)=0,"",IF(OR(A1534="",B1534=""),"Preencher CPF e entrada",IF(COUNTIFS($A$12:$A$5011,A1534,$B$12:$B$5011,B1534)&gt;1,"CPF + dia duplicado",IF(OR(AND(E1534&lt;&gt;"",E1534&lt;B1534),AND(F1534&lt;&gt;"",F1534&lt;B1534)),"Evento anterior à entrada",IF(AND(F1534&lt;&gt;"",E1534=""),"Conversa sem agendamento",IF(OR(E1534&gt;TODAY(),F1534&gt;TODAY()),"Verificar evento futuro","OK"))))))</f>
        <v/>
      </c>
    </row>
    <row r="1535" spans="9:12">
      <c r="I1535" s="5">
        <f>IF(OR(A1535="",B1535=""),"",B1535-WEEKDAY(B1535,2)+1)</f>
        <v/>
      </c>
      <c r="J1535" s="5">
        <f>IF(I1535="","",I1535+6)</f>
        <v/>
      </c>
      <c r="K1535" s="6">
        <f>IF(OR(A1535="",B1535=""),"",DATE(YEAR(B1535),MONTH(B1535),1))</f>
        <v/>
      </c>
      <c r="L1535" s="7">
        <f>IF(COUNTA(A1535,B1535)=0,"",IF(OR(A1535="",B1535=""),"Preencher CPF e entrada",IF(COUNTIFS($A$12:$A$5011,A1535,$B$12:$B$5011,B1535)&gt;1,"CPF + dia duplicado",IF(OR(AND(E1535&lt;&gt;"",E1535&lt;B1535),AND(F1535&lt;&gt;"",F1535&lt;B1535)),"Evento anterior à entrada",IF(AND(F1535&lt;&gt;"",E1535=""),"Conversa sem agendamento",IF(OR(E1535&gt;TODAY(),F1535&gt;TODAY()),"Verificar evento futuro","OK"))))))</f>
        <v/>
      </c>
    </row>
    <row r="1536" spans="9:12">
      <c r="I1536" s="5">
        <f>IF(OR(A1536="",B1536=""),"",B1536-WEEKDAY(B1536,2)+1)</f>
        <v/>
      </c>
      <c r="J1536" s="5">
        <f>IF(I1536="","",I1536+6)</f>
        <v/>
      </c>
      <c r="K1536" s="6">
        <f>IF(OR(A1536="",B1536=""),"",DATE(YEAR(B1536),MONTH(B1536),1))</f>
        <v/>
      </c>
      <c r="L1536" s="7">
        <f>IF(COUNTA(A1536,B1536)=0,"",IF(OR(A1536="",B1536=""),"Preencher CPF e entrada",IF(COUNTIFS($A$12:$A$5011,A1536,$B$12:$B$5011,B1536)&gt;1,"CPF + dia duplicado",IF(OR(AND(E1536&lt;&gt;"",E1536&lt;B1536),AND(F1536&lt;&gt;"",F1536&lt;B1536)),"Evento anterior à entrada",IF(AND(F1536&lt;&gt;"",E1536=""),"Conversa sem agendamento",IF(OR(E1536&gt;TODAY(),F1536&gt;TODAY()),"Verificar evento futuro","OK"))))))</f>
        <v/>
      </c>
    </row>
    <row r="1537" spans="9:12">
      <c r="I1537" s="5">
        <f>IF(OR(A1537="",B1537=""),"",B1537-WEEKDAY(B1537,2)+1)</f>
        <v/>
      </c>
      <c r="J1537" s="5">
        <f>IF(I1537="","",I1537+6)</f>
        <v/>
      </c>
      <c r="K1537" s="6">
        <f>IF(OR(A1537="",B1537=""),"",DATE(YEAR(B1537),MONTH(B1537),1))</f>
        <v/>
      </c>
      <c r="L1537" s="7">
        <f>IF(COUNTA(A1537,B1537)=0,"",IF(OR(A1537="",B1537=""),"Preencher CPF e entrada",IF(COUNTIFS($A$12:$A$5011,A1537,$B$12:$B$5011,B1537)&gt;1,"CPF + dia duplicado",IF(OR(AND(E1537&lt;&gt;"",E1537&lt;B1537),AND(F1537&lt;&gt;"",F1537&lt;B1537)),"Evento anterior à entrada",IF(AND(F1537&lt;&gt;"",E1537=""),"Conversa sem agendamento",IF(OR(E1537&gt;TODAY(),F1537&gt;TODAY()),"Verificar evento futuro","OK"))))))</f>
        <v/>
      </c>
    </row>
    <row r="1538" spans="9:12">
      <c r="I1538" s="5">
        <f>IF(OR(A1538="",B1538=""),"",B1538-WEEKDAY(B1538,2)+1)</f>
        <v/>
      </c>
      <c r="J1538" s="5">
        <f>IF(I1538="","",I1538+6)</f>
        <v/>
      </c>
      <c r="K1538" s="6">
        <f>IF(OR(A1538="",B1538=""),"",DATE(YEAR(B1538),MONTH(B1538),1))</f>
        <v/>
      </c>
      <c r="L1538" s="7">
        <f>IF(COUNTA(A1538,B1538)=0,"",IF(OR(A1538="",B1538=""),"Preencher CPF e entrada",IF(COUNTIFS($A$12:$A$5011,A1538,$B$12:$B$5011,B1538)&gt;1,"CPF + dia duplicado",IF(OR(AND(E1538&lt;&gt;"",E1538&lt;B1538),AND(F1538&lt;&gt;"",F1538&lt;B1538)),"Evento anterior à entrada",IF(AND(F1538&lt;&gt;"",E1538=""),"Conversa sem agendamento",IF(OR(E1538&gt;TODAY(),F1538&gt;TODAY()),"Verificar evento futuro","OK"))))))</f>
        <v/>
      </c>
    </row>
    <row r="1539" spans="9:12">
      <c r="I1539" s="5">
        <f>IF(OR(A1539="",B1539=""),"",B1539-WEEKDAY(B1539,2)+1)</f>
        <v/>
      </c>
      <c r="J1539" s="5">
        <f>IF(I1539="","",I1539+6)</f>
        <v/>
      </c>
      <c r="K1539" s="6">
        <f>IF(OR(A1539="",B1539=""),"",DATE(YEAR(B1539),MONTH(B1539),1))</f>
        <v/>
      </c>
      <c r="L1539" s="7">
        <f>IF(COUNTA(A1539,B1539)=0,"",IF(OR(A1539="",B1539=""),"Preencher CPF e entrada",IF(COUNTIFS($A$12:$A$5011,A1539,$B$12:$B$5011,B1539)&gt;1,"CPF + dia duplicado",IF(OR(AND(E1539&lt;&gt;"",E1539&lt;B1539),AND(F1539&lt;&gt;"",F1539&lt;B1539)),"Evento anterior à entrada",IF(AND(F1539&lt;&gt;"",E1539=""),"Conversa sem agendamento",IF(OR(E1539&gt;TODAY(),F1539&gt;TODAY()),"Verificar evento futuro","OK"))))))</f>
        <v/>
      </c>
    </row>
    <row r="1540" spans="9:12">
      <c r="I1540" s="5">
        <f>IF(OR(A1540="",B1540=""),"",B1540-WEEKDAY(B1540,2)+1)</f>
        <v/>
      </c>
      <c r="J1540" s="5">
        <f>IF(I1540="","",I1540+6)</f>
        <v/>
      </c>
      <c r="K1540" s="6">
        <f>IF(OR(A1540="",B1540=""),"",DATE(YEAR(B1540),MONTH(B1540),1))</f>
        <v/>
      </c>
      <c r="L1540" s="7">
        <f>IF(COUNTA(A1540,B1540)=0,"",IF(OR(A1540="",B1540=""),"Preencher CPF e entrada",IF(COUNTIFS($A$12:$A$5011,A1540,$B$12:$B$5011,B1540)&gt;1,"CPF + dia duplicado",IF(OR(AND(E1540&lt;&gt;"",E1540&lt;B1540),AND(F1540&lt;&gt;"",F1540&lt;B1540)),"Evento anterior à entrada",IF(AND(F1540&lt;&gt;"",E1540=""),"Conversa sem agendamento",IF(OR(E1540&gt;TODAY(),F1540&gt;TODAY()),"Verificar evento futuro","OK"))))))</f>
        <v/>
      </c>
    </row>
    <row r="1541" spans="9:12">
      <c r="I1541" s="5">
        <f>IF(OR(A1541="",B1541=""),"",B1541-WEEKDAY(B1541,2)+1)</f>
        <v/>
      </c>
      <c r="J1541" s="5">
        <f>IF(I1541="","",I1541+6)</f>
        <v/>
      </c>
      <c r="K1541" s="6">
        <f>IF(OR(A1541="",B1541=""),"",DATE(YEAR(B1541),MONTH(B1541),1))</f>
        <v/>
      </c>
      <c r="L1541" s="7">
        <f>IF(COUNTA(A1541,B1541)=0,"",IF(OR(A1541="",B1541=""),"Preencher CPF e entrada",IF(COUNTIFS($A$12:$A$5011,A1541,$B$12:$B$5011,B1541)&gt;1,"CPF + dia duplicado",IF(OR(AND(E1541&lt;&gt;"",E1541&lt;B1541),AND(F1541&lt;&gt;"",F1541&lt;B1541)),"Evento anterior à entrada",IF(AND(F1541&lt;&gt;"",E1541=""),"Conversa sem agendamento",IF(OR(E1541&gt;TODAY(),F1541&gt;TODAY()),"Verificar evento futuro","OK"))))))</f>
        <v/>
      </c>
    </row>
    <row r="1542" spans="9:12">
      <c r="I1542" s="5">
        <f>IF(OR(A1542="",B1542=""),"",B1542-WEEKDAY(B1542,2)+1)</f>
        <v/>
      </c>
      <c r="J1542" s="5">
        <f>IF(I1542="","",I1542+6)</f>
        <v/>
      </c>
      <c r="K1542" s="6">
        <f>IF(OR(A1542="",B1542=""),"",DATE(YEAR(B1542),MONTH(B1542),1))</f>
        <v/>
      </c>
      <c r="L1542" s="7">
        <f>IF(COUNTA(A1542,B1542)=0,"",IF(OR(A1542="",B1542=""),"Preencher CPF e entrada",IF(COUNTIFS($A$12:$A$5011,A1542,$B$12:$B$5011,B1542)&gt;1,"CPF + dia duplicado",IF(OR(AND(E1542&lt;&gt;"",E1542&lt;B1542),AND(F1542&lt;&gt;"",F1542&lt;B1542)),"Evento anterior à entrada",IF(AND(F1542&lt;&gt;"",E1542=""),"Conversa sem agendamento",IF(OR(E1542&gt;TODAY(),F1542&gt;TODAY()),"Verificar evento futuro","OK"))))))</f>
        <v/>
      </c>
    </row>
    <row r="1543" spans="9:12">
      <c r="I1543" s="5">
        <f>IF(OR(A1543="",B1543=""),"",B1543-WEEKDAY(B1543,2)+1)</f>
        <v/>
      </c>
      <c r="J1543" s="5">
        <f>IF(I1543="","",I1543+6)</f>
        <v/>
      </c>
      <c r="K1543" s="6">
        <f>IF(OR(A1543="",B1543=""),"",DATE(YEAR(B1543),MONTH(B1543),1))</f>
        <v/>
      </c>
      <c r="L1543" s="7">
        <f>IF(COUNTA(A1543,B1543)=0,"",IF(OR(A1543="",B1543=""),"Preencher CPF e entrada",IF(COUNTIFS($A$12:$A$5011,A1543,$B$12:$B$5011,B1543)&gt;1,"CPF + dia duplicado",IF(OR(AND(E1543&lt;&gt;"",E1543&lt;B1543),AND(F1543&lt;&gt;"",F1543&lt;B1543)),"Evento anterior à entrada",IF(AND(F1543&lt;&gt;"",E1543=""),"Conversa sem agendamento",IF(OR(E1543&gt;TODAY(),F1543&gt;TODAY()),"Verificar evento futuro","OK"))))))</f>
        <v/>
      </c>
    </row>
    <row r="1544" spans="9:12">
      <c r="I1544" s="5">
        <f>IF(OR(A1544="",B1544=""),"",B1544-WEEKDAY(B1544,2)+1)</f>
        <v/>
      </c>
      <c r="J1544" s="5">
        <f>IF(I1544="","",I1544+6)</f>
        <v/>
      </c>
      <c r="K1544" s="6">
        <f>IF(OR(A1544="",B1544=""),"",DATE(YEAR(B1544),MONTH(B1544),1))</f>
        <v/>
      </c>
      <c r="L1544" s="7">
        <f>IF(COUNTA(A1544,B1544)=0,"",IF(OR(A1544="",B1544=""),"Preencher CPF e entrada",IF(COUNTIFS($A$12:$A$5011,A1544,$B$12:$B$5011,B1544)&gt;1,"CPF + dia duplicado",IF(OR(AND(E1544&lt;&gt;"",E1544&lt;B1544),AND(F1544&lt;&gt;"",F1544&lt;B1544)),"Evento anterior à entrada",IF(AND(F1544&lt;&gt;"",E1544=""),"Conversa sem agendamento",IF(OR(E1544&gt;TODAY(),F1544&gt;TODAY()),"Verificar evento futuro","OK"))))))</f>
        <v/>
      </c>
    </row>
    <row r="1545" spans="9:12">
      <c r="I1545" s="5">
        <f>IF(OR(A1545="",B1545=""),"",B1545-WEEKDAY(B1545,2)+1)</f>
        <v/>
      </c>
      <c r="J1545" s="5">
        <f>IF(I1545="","",I1545+6)</f>
        <v/>
      </c>
      <c r="K1545" s="6">
        <f>IF(OR(A1545="",B1545=""),"",DATE(YEAR(B1545),MONTH(B1545),1))</f>
        <v/>
      </c>
      <c r="L1545" s="7">
        <f>IF(COUNTA(A1545,B1545)=0,"",IF(OR(A1545="",B1545=""),"Preencher CPF e entrada",IF(COUNTIFS($A$12:$A$5011,A1545,$B$12:$B$5011,B1545)&gt;1,"CPF + dia duplicado",IF(OR(AND(E1545&lt;&gt;"",E1545&lt;B1545),AND(F1545&lt;&gt;"",F1545&lt;B1545)),"Evento anterior à entrada",IF(AND(F1545&lt;&gt;"",E1545=""),"Conversa sem agendamento",IF(OR(E1545&gt;TODAY(),F1545&gt;TODAY()),"Verificar evento futuro","OK"))))))</f>
        <v/>
      </c>
    </row>
    <row r="1546" spans="9:12">
      <c r="I1546" s="5">
        <f>IF(OR(A1546="",B1546=""),"",B1546-WEEKDAY(B1546,2)+1)</f>
        <v/>
      </c>
      <c r="J1546" s="5">
        <f>IF(I1546="","",I1546+6)</f>
        <v/>
      </c>
      <c r="K1546" s="6">
        <f>IF(OR(A1546="",B1546=""),"",DATE(YEAR(B1546),MONTH(B1546),1))</f>
        <v/>
      </c>
      <c r="L1546" s="7">
        <f>IF(COUNTA(A1546,B1546)=0,"",IF(OR(A1546="",B1546=""),"Preencher CPF e entrada",IF(COUNTIFS($A$12:$A$5011,A1546,$B$12:$B$5011,B1546)&gt;1,"CPF + dia duplicado",IF(OR(AND(E1546&lt;&gt;"",E1546&lt;B1546),AND(F1546&lt;&gt;"",F1546&lt;B1546)),"Evento anterior à entrada",IF(AND(F1546&lt;&gt;"",E1546=""),"Conversa sem agendamento",IF(OR(E1546&gt;TODAY(),F1546&gt;TODAY()),"Verificar evento futuro","OK"))))))</f>
        <v/>
      </c>
    </row>
    <row r="1547" spans="9:12">
      <c r="I1547" s="5">
        <f>IF(OR(A1547="",B1547=""),"",B1547-WEEKDAY(B1547,2)+1)</f>
        <v/>
      </c>
      <c r="J1547" s="5">
        <f>IF(I1547="","",I1547+6)</f>
        <v/>
      </c>
      <c r="K1547" s="6">
        <f>IF(OR(A1547="",B1547=""),"",DATE(YEAR(B1547),MONTH(B1547),1))</f>
        <v/>
      </c>
      <c r="L1547" s="7">
        <f>IF(COUNTA(A1547,B1547)=0,"",IF(OR(A1547="",B1547=""),"Preencher CPF e entrada",IF(COUNTIFS($A$12:$A$5011,A1547,$B$12:$B$5011,B1547)&gt;1,"CPF + dia duplicado",IF(OR(AND(E1547&lt;&gt;"",E1547&lt;B1547),AND(F1547&lt;&gt;"",F1547&lt;B1547)),"Evento anterior à entrada",IF(AND(F1547&lt;&gt;"",E1547=""),"Conversa sem agendamento",IF(OR(E1547&gt;TODAY(),F1547&gt;TODAY()),"Verificar evento futuro","OK"))))))</f>
        <v/>
      </c>
    </row>
    <row r="1548" spans="9:12">
      <c r="I1548" s="5">
        <f>IF(OR(A1548="",B1548=""),"",B1548-WEEKDAY(B1548,2)+1)</f>
        <v/>
      </c>
      <c r="J1548" s="5">
        <f>IF(I1548="","",I1548+6)</f>
        <v/>
      </c>
      <c r="K1548" s="6">
        <f>IF(OR(A1548="",B1548=""),"",DATE(YEAR(B1548),MONTH(B1548),1))</f>
        <v/>
      </c>
      <c r="L1548" s="7">
        <f>IF(COUNTA(A1548,B1548)=0,"",IF(OR(A1548="",B1548=""),"Preencher CPF e entrada",IF(COUNTIFS($A$12:$A$5011,A1548,$B$12:$B$5011,B1548)&gt;1,"CPF + dia duplicado",IF(OR(AND(E1548&lt;&gt;"",E1548&lt;B1548),AND(F1548&lt;&gt;"",F1548&lt;B1548)),"Evento anterior à entrada",IF(AND(F1548&lt;&gt;"",E1548=""),"Conversa sem agendamento",IF(OR(E1548&gt;TODAY(),F1548&gt;TODAY()),"Verificar evento futuro","OK"))))))</f>
        <v/>
      </c>
    </row>
    <row r="1549" spans="9:12">
      <c r="I1549" s="5">
        <f>IF(OR(A1549="",B1549=""),"",B1549-WEEKDAY(B1549,2)+1)</f>
        <v/>
      </c>
      <c r="J1549" s="5">
        <f>IF(I1549="","",I1549+6)</f>
        <v/>
      </c>
      <c r="K1549" s="6">
        <f>IF(OR(A1549="",B1549=""),"",DATE(YEAR(B1549),MONTH(B1549),1))</f>
        <v/>
      </c>
      <c r="L1549" s="7">
        <f>IF(COUNTA(A1549,B1549)=0,"",IF(OR(A1549="",B1549=""),"Preencher CPF e entrada",IF(COUNTIFS($A$12:$A$5011,A1549,$B$12:$B$5011,B1549)&gt;1,"CPF + dia duplicado",IF(OR(AND(E1549&lt;&gt;"",E1549&lt;B1549),AND(F1549&lt;&gt;"",F1549&lt;B1549)),"Evento anterior à entrada",IF(AND(F1549&lt;&gt;"",E1549=""),"Conversa sem agendamento",IF(OR(E1549&gt;TODAY(),F1549&gt;TODAY()),"Verificar evento futuro","OK"))))))</f>
        <v/>
      </c>
    </row>
    <row r="1550" spans="9:12">
      <c r="I1550" s="5">
        <f>IF(OR(A1550="",B1550=""),"",B1550-WEEKDAY(B1550,2)+1)</f>
        <v/>
      </c>
      <c r="J1550" s="5">
        <f>IF(I1550="","",I1550+6)</f>
        <v/>
      </c>
      <c r="K1550" s="6">
        <f>IF(OR(A1550="",B1550=""),"",DATE(YEAR(B1550),MONTH(B1550),1))</f>
        <v/>
      </c>
      <c r="L1550" s="7">
        <f>IF(COUNTA(A1550,B1550)=0,"",IF(OR(A1550="",B1550=""),"Preencher CPF e entrada",IF(COUNTIFS($A$12:$A$5011,A1550,$B$12:$B$5011,B1550)&gt;1,"CPF + dia duplicado",IF(OR(AND(E1550&lt;&gt;"",E1550&lt;B1550),AND(F1550&lt;&gt;"",F1550&lt;B1550)),"Evento anterior à entrada",IF(AND(F1550&lt;&gt;"",E1550=""),"Conversa sem agendamento",IF(OR(E1550&gt;TODAY(),F1550&gt;TODAY()),"Verificar evento futuro","OK"))))))</f>
        <v/>
      </c>
    </row>
    <row r="1551" spans="9:12">
      <c r="I1551" s="5">
        <f>IF(OR(A1551="",B1551=""),"",B1551-WEEKDAY(B1551,2)+1)</f>
        <v/>
      </c>
      <c r="J1551" s="5">
        <f>IF(I1551="","",I1551+6)</f>
        <v/>
      </c>
      <c r="K1551" s="6">
        <f>IF(OR(A1551="",B1551=""),"",DATE(YEAR(B1551),MONTH(B1551),1))</f>
        <v/>
      </c>
      <c r="L1551" s="7">
        <f>IF(COUNTA(A1551,B1551)=0,"",IF(OR(A1551="",B1551=""),"Preencher CPF e entrada",IF(COUNTIFS($A$12:$A$5011,A1551,$B$12:$B$5011,B1551)&gt;1,"CPF + dia duplicado",IF(OR(AND(E1551&lt;&gt;"",E1551&lt;B1551),AND(F1551&lt;&gt;"",F1551&lt;B1551)),"Evento anterior à entrada",IF(AND(F1551&lt;&gt;"",E1551=""),"Conversa sem agendamento",IF(OR(E1551&gt;TODAY(),F1551&gt;TODAY()),"Verificar evento futuro","OK"))))))</f>
        <v/>
      </c>
    </row>
    <row r="1552" spans="9:12">
      <c r="I1552" s="5">
        <f>IF(OR(A1552="",B1552=""),"",B1552-WEEKDAY(B1552,2)+1)</f>
        <v/>
      </c>
      <c r="J1552" s="5">
        <f>IF(I1552="","",I1552+6)</f>
        <v/>
      </c>
      <c r="K1552" s="6">
        <f>IF(OR(A1552="",B1552=""),"",DATE(YEAR(B1552),MONTH(B1552),1))</f>
        <v/>
      </c>
      <c r="L1552" s="7">
        <f>IF(COUNTA(A1552,B1552)=0,"",IF(OR(A1552="",B1552=""),"Preencher CPF e entrada",IF(COUNTIFS($A$12:$A$5011,A1552,$B$12:$B$5011,B1552)&gt;1,"CPF + dia duplicado",IF(OR(AND(E1552&lt;&gt;"",E1552&lt;B1552),AND(F1552&lt;&gt;"",F1552&lt;B1552)),"Evento anterior à entrada",IF(AND(F1552&lt;&gt;"",E1552=""),"Conversa sem agendamento",IF(OR(E1552&gt;TODAY(),F1552&gt;TODAY()),"Verificar evento futuro","OK"))))))</f>
        <v/>
      </c>
    </row>
    <row r="1553" spans="9:12">
      <c r="I1553" s="5">
        <f>IF(OR(A1553="",B1553=""),"",B1553-WEEKDAY(B1553,2)+1)</f>
        <v/>
      </c>
      <c r="J1553" s="5">
        <f>IF(I1553="","",I1553+6)</f>
        <v/>
      </c>
      <c r="K1553" s="6">
        <f>IF(OR(A1553="",B1553=""),"",DATE(YEAR(B1553),MONTH(B1553),1))</f>
        <v/>
      </c>
      <c r="L1553" s="7">
        <f>IF(COUNTA(A1553,B1553)=0,"",IF(OR(A1553="",B1553=""),"Preencher CPF e entrada",IF(COUNTIFS($A$12:$A$5011,A1553,$B$12:$B$5011,B1553)&gt;1,"CPF + dia duplicado",IF(OR(AND(E1553&lt;&gt;"",E1553&lt;B1553),AND(F1553&lt;&gt;"",F1553&lt;B1553)),"Evento anterior à entrada",IF(AND(F1553&lt;&gt;"",E1553=""),"Conversa sem agendamento",IF(OR(E1553&gt;TODAY(),F1553&gt;TODAY()),"Verificar evento futuro","OK"))))))</f>
        <v/>
      </c>
    </row>
    <row r="1554" spans="9:12">
      <c r="I1554" s="5">
        <f>IF(OR(A1554="",B1554=""),"",B1554-WEEKDAY(B1554,2)+1)</f>
        <v/>
      </c>
      <c r="J1554" s="5">
        <f>IF(I1554="","",I1554+6)</f>
        <v/>
      </c>
      <c r="K1554" s="6">
        <f>IF(OR(A1554="",B1554=""),"",DATE(YEAR(B1554),MONTH(B1554),1))</f>
        <v/>
      </c>
      <c r="L1554" s="7">
        <f>IF(COUNTA(A1554,B1554)=0,"",IF(OR(A1554="",B1554=""),"Preencher CPF e entrada",IF(COUNTIFS($A$12:$A$5011,A1554,$B$12:$B$5011,B1554)&gt;1,"CPF + dia duplicado",IF(OR(AND(E1554&lt;&gt;"",E1554&lt;B1554),AND(F1554&lt;&gt;"",F1554&lt;B1554)),"Evento anterior à entrada",IF(AND(F1554&lt;&gt;"",E1554=""),"Conversa sem agendamento",IF(OR(E1554&gt;TODAY(),F1554&gt;TODAY()),"Verificar evento futuro","OK"))))))</f>
        <v/>
      </c>
    </row>
    <row r="1555" spans="9:12">
      <c r="I1555" s="5">
        <f>IF(OR(A1555="",B1555=""),"",B1555-WEEKDAY(B1555,2)+1)</f>
        <v/>
      </c>
      <c r="J1555" s="5">
        <f>IF(I1555="","",I1555+6)</f>
        <v/>
      </c>
      <c r="K1555" s="6">
        <f>IF(OR(A1555="",B1555=""),"",DATE(YEAR(B1555),MONTH(B1555),1))</f>
        <v/>
      </c>
      <c r="L1555" s="7">
        <f>IF(COUNTA(A1555,B1555)=0,"",IF(OR(A1555="",B1555=""),"Preencher CPF e entrada",IF(COUNTIFS($A$12:$A$5011,A1555,$B$12:$B$5011,B1555)&gt;1,"CPF + dia duplicado",IF(OR(AND(E1555&lt;&gt;"",E1555&lt;B1555),AND(F1555&lt;&gt;"",F1555&lt;B1555)),"Evento anterior à entrada",IF(AND(F1555&lt;&gt;"",E1555=""),"Conversa sem agendamento",IF(OR(E1555&gt;TODAY(),F1555&gt;TODAY()),"Verificar evento futuro","OK"))))))</f>
        <v/>
      </c>
    </row>
    <row r="1556" spans="9:12">
      <c r="I1556" s="5">
        <f>IF(OR(A1556="",B1556=""),"",B1556-WEEKDAY(B1556,2)+1)</f>
        <v/>
      </c>
      <c r="J1556" s="5">
        <f>IF(I1556="","",I1556+6)</f>
        <v/>
      </c>
      <c r="K1556" s="6">
        <f>IF(OR(A1556="",B1556=""),"",DATE(YEAR(B1556),MONTH(B1556),1))</f>
        <v/>
      </c>
      <c r="L1556" s="7">
        <f>IF(COUNTA(A1556,B1556)=0,"",IF(OR(A1556="",B1556=""),"Preencher CPF e entrada",IF(COUNTIFS($A$12:$A$5011,A1556,$B$12:$B$5011,B1556)&gt;1,"CPF + dia duplicado",IF(OR(AND(E1556&lt;&gt;"",E1556&lt;B1556),AND(F1556&lt;&gt;"",F1556&lt;B1556)),"Evento anterior à entrada",IF(AND(F1556&lt;&gt;"",E1556=""),"Conversa sem agendamento",IF(OR(E1556&gt;TODAY(),F1556&gt;TODAY()),"Verificar evento futuro","OK"))))))</f>
        <v/>
      </c>
    </row>
    <row r="1557" spans="9:12">
      <c r="I1557" s="5">
        <f>IF(OR(A1557="",B1557=""),"",B1557-WEEKDAY(B1557,2)+1)</f>
        <v/>
      </c>
      <c r="J1557" s="5">
        <f>IF(I1557="","",I1557+6)</f>
        <v/>
      </c>
      <c r="K1557" s="6">
        <f>IF(OR(A1557="",B1557=""),"",DATE(YEAR(B1557),MONTH(B1557),1))</f>
        <v/>
      </c>
      <c r="L1557" s="7">
        <f>IF(COUNTA(A1557,B1557)=0,"",IF(OR(A1557="",B1557=""),"Preencher CPF e entrada",IF(COUNTIFS($A$12:$A$5011,A1557,$B$12:$B$5011,B1557)&gt;1,"CPF + dia duplicado",IF(OR(AND(E1557&lt;&gt;"",E1557&lt;B1557),AND(F1557&lt;&gt;"",F1557&lt;B1557)),"Evento anterior à entrada",IF(AND(F1557&lt;&gt;"",E1557=""),"Conversa sem agendamento",IF(OR(E1557&gt;TODAY(),F1557&gt;TODAY()),"Verificar evento futuro","OK"))))))</f>
        <v/>
      </c>
    </row>
    <row r="1558" spans="9:12">
      <c r="I1558" s="5">
        <f>IF(OR(A1558="",B1558=""),"",B1558-WEEKDAY(B1558,2)+1)</f>
        <v/>
      </c>
      <c r="J1558" s="5">
        <f>IF(I1558="","",I1558+6)</f>
        <v/>
      </c>
      <c r="K1558" s="6">
        <f>IF(OR(A1558="",B1558=""),"",DATE(YEAR(B1558),MONTH(B1558),1))</f>
        <v/>
      </c>
      <c r="L1558" s="7">
        <f>IF(COUNTA(A1558,B1558)=0,"",IF(OR(A1558="",B1558=""),"Preencher CPF e entrada",IF(COUNTIFS($A$12:$A$5011,A1558,$B$12:$B$5011,B1558)&gt;1,"CPF + dia duplicado",IF(OR(AND(E1558&lt;&gt;"",E1558&lt;B1558),AND(F1558&lt;&gt;"",F1558&lt;B1558)),"Evento anterior à entrada",IF(AND(F1558&lt;&gt;"",E1558=""),"Conversa sem agendamento",IF(OR(E1558&gt;TODAY(),F1558&gt;TODAY()),"Verificar evento futuro","OK"))))))</f>
        <v/>
      </c>
    </row>
    <row r="1559" spans="9:12">
      <c r="I1559" s="5">
        <f>IF(OR(A1559="",B1559=""),"",B1559-WEEKDAY(B1559,2)+1)</f>
        <v/>
      </c>
      <c r="J1559" s="5">
        <f>IF(I1559="","",I1559+6)</f>
        <v/>
      </c>
      <c r="K1559" s="6">
        <f>IF(OR(A1559="",B1559=""),"",DATE(YEAR(B1559),MONTH(B1559),1))</f>
        <v/>
      </c>
      <c r="L1559" s="7">
        <f>IF(COUNTA(A1559,B1559)=0,"",IF(OR(A1559="",B1559=""),"Preencher CPF e entrada",IF(COUNTIFS($A$12:$A$5011,A1559,$B$12:$B$5011,B1559)&gt;1,"CPF + dia duplicado",IF(OR(AND(E1559&lt;&gt;"",E1559&lt;B1559),AND(F1559&lt;&gt;"",F1559&lt;B1559)),"Evento anterior à entrada",IF(AND(F1559&lt;&gt;"",E1559=""),"Conversa sem agendamento",IF(OR(E1559&gt;TODAY(),F1559&gt;TODAY()),"Verificar evento futuro","OK"))))))</f>
        <v/>
      </c>
    </row>
    <row r="1560" spans="9:12">
      <c r="I1560" s="5">
        <f>IF(OR(A1560="",B1560=""),"",B1560-WEEKDAY(B1560,2)+1)</f>
        <v/>
      </c>
      <c r="J1560" s="5">
        <f>IF(I1560="","",I1560+6)</f>
        <v/>
      </c>
      <c r="K1560" s="6">
        <f>IF(OR(A1560="",B1560=""),"",DATE(YEAR(B1560),MONTH(B1560),1))</f>
        <v/>
      </c>
      <c r="L1560" s="7">
        <f>IF(COUNTA(A1560,B1560)=0,"",IF(OR(A1560="",B1560=""),"Preencher CPF e entrada",IF(COUNTIFS($A$12:$A$5011,A1560,$B$12:$B$5011,B1560)&gt;1,"CPF + dia duplicado",IF(OR(AND(E1560&lt;&gt;"",E1560&lt;B1560),AND(F1560&lt;&gt;"",F1560&lt;B1560)),"Evento anterior à entrada",IF(AND(F1560&lt;&gt;"",E1560=""),"Conversa sem agendamento",IF(OR(E1560&gt;TODAY(),F1560&gt;TODAY()),"Verificar evento futuro","OK"))))))</f>
        <v/>
      </c>
    </row>
    <row r="1561" spans="9:12">
      <c r="I1561" s="5">
        <f>IF(OR(A1561="",B1561=""),"",B1561-WEEKDAY(B1561,2)+1)</f>
        <v/>
      </c>
      <c r="J1561" s="5">
        <f>IF(I1561="","",I1561+6)</f>
        <v/>
      </c>
      <c r="K1561" s="6">
        <f>IF(OR(A1561="",B1561=""),"",DATE(YEAR(B1561),MONTH(B1561),1))</f>
        <v/>
      </c>
      <c r="L1561" s="7">
        <f>IF(COUNTA(A1561,B1561)=0,"",IF(OR(A1561="",B1561=""),"Preencher CPF e entrada",IF(COUNTIFS($A$12:$A$5011,A1561,$B$12:$B$5011,B1561)&gt;1,"CPF + dia duplicado",IF(OR(AND(E1561&lt;&gt;"",E1561&lt;B1561),AND(F1561&lt;&gt;"",F1561&lt;B1561)),"Evento anterior à entrada",IF(AND(F1561&lt;&gt;"",E1561=""),"Conversa sem agendamento",IF(OR(E1561&gt;TODAY(),F1561&gt;TODAY()),"Verificar evento futuro","OK"))))))</f>
        <v/>
      </c>
    </row>
    <row r="1562" spans="9:12">
      <c r="I1562" s="5">
        <f>IF(OR(A1562="",B1562=""),"",B1562-WEEKDAY(B1562,2)+1)</f>
        <v/>
      </c>
      <c r="J1562" s="5">
        <f>IF(I1562="","",I1562+6)</f>
        <v/>
      </c>
      <c r="K1562" s="6">
        <f>IF(OR(A1562="",B1562=""),"",DATE(YEAR(B1562),MONTH(B1562),1))</f>
        <v/>
      </c>
      <c r="L1562" s="7">
        <f>IF(COUNTA(A1562,B1562)=0,"",IF(OR(A1562="",B1562=""),"Preencher CPF e entrada",IF(COUNTIFS($A$12:$A$5011,A1562,$B$12:$B$5011,B1562)&gt;1,"CPF + dia duplicado",IF(OR(AND(E1562&lt;&gt;"",E1562&lt;B1562),AND(F1562&lt;&gt;"",F1562&lt;B1562)),"Evento anterior à entrada",IF(AND(F1562&lt;&gt;"",E1562=""),"Conversa sem agendamento",IF(OR(E1562&gt;TODAY(),F1562&gt;TODAY()),"Verificar evento futuro","OK"))))))</f>
        <v/>
      </c>
    </row>
    <row r="1563" spans="9:12">
      <c r="I1563" s="5">
        <f>IF(OR(A1563="",B1563=""),"",B1563-WEEKDAY(B1563,2)+1)</f>
        <v/>
      </c>
      <c r="J1563" s="5">
        <f>IF(I1563="","",I1563+6)</f>
        <v/>
      </c>
      <c r="K1563" s="6">
        <f>IF(OR(A1563="",B1563=""),"",DATE(YEAR(B1563),MONTH(B1563),1))</f>
        <v/>
      </c>
      <c r="L1563" s="7">
        <f>IF(COUNTA(A1563,B1563)=0,"",IF(OR(A1563="",B1563=""),"Preencher CPF e entrada",IF(COUNTIFS($A$12:$A$5011,A1563,$B$12:$B$5011,B1563)&gt;1,"CPF + dia duplicado",IF(OR(AND(E1563&lt;&gt;"",E1563&lt;B1563),AND(F1563&lt;&gt;"",F1563&lt;B1563)),"Evento anterior à entrada",IF(AND(F1563&lt;&gt;"",E1563=""),"Conversa sem agendamento",IF(OR(E1563&gt;TODAY(),F1563&gt;TODAY()),"Verificar evento futuro","OK"))))))</f>
        <v/>
      </c>
    </row>
    <row r="1564" spans="9:12">
      <c r="I1564" s="5">
        <f>IF(OR(A1564="",B1564=""),"",B1564-WEEKDAY(B1564,2)+1)</f>
        <v/>
      </c>
      <c r="J1564" s="5">
        <f>IF(I1564="","",I1564+6)</f>
        <v/>
      </c>
      <c r="K1564" s="6">
        <f>IF(OR(A1564="",B1564=""),"",DATE(YEAR(B1564),MONTH(B1564),1))</f>
        <v/>
      </c>
      <c r="L1564" s="7">
        <f>IF(COUNTA(A1564,B1564)=0,"",IF(OR(A1564="",B1564=""),"Preencher CPF e entrada",IF(COUNTIFS($A$12:$A$5011,A1564,$B$12:$B$5011,B1564)&gt;1,"CPF + dia duplicado",IF(OR(AND(E1564&lt;&gt;"",E1564&lt;B1564),AND(F1564&lt;&gt;"",F1564&lt;B1564)),"Evento anterior à entrada",IF(AND(F1564&lt;&gt;"",E1564=""),"Conversa sem agendamento",IF(OR(E1564&gt;TODAY(),F1564&gt;TODAY()),"Verificar evento futuro","OK"))))))</f>
        <v/>
      </c>
    </row>
    <row r="1565" spans="9:12">
      <c r="I1565" s="5">
        <f>IF(OR(A1565="",B1565=""),"",B1565-WEEKDAY(B1565,2)+1)</f>
        <v/>
      </c>
      <c r="J1565" s="5">
        <f>IF(I1565="","",I1565+6)</f>
        <v/>
      </c>
      <c r="K1565" s="6">
        <f>IF(OR(A1565="",B1565=""),"",DATE(YEAR(B1565),MONTH(B1565),1))</f>
        <v/>
      </c>
      <c r="L1565" s="7">
        <f>IF(COUNTA(A1565,B1565)=0,"",IF(OR(A1565="",B1565=""),"Preencher CPF e entrada",IF(COUNTIFS($A$12:$A$5011,A1565,$B$12:$B$5011,B1565)&gt;1,"CPF + dia duplicado",IF(OR(AND(E1565&lt;&gt;"",E1565&lt;B1565),AND(F1565&lt;&gt;"",F1565&lt;B1565)),"Evento anterior à entrada",IF(AND(F1565&lt;&gt;"",E1565=""),"Conversa sem agendamento",IF(OR(E1565&gt;TODAY(),F1565&gt;TODAY()),"Verificar evento futuro","OK"))))))</f>
        <v/>
      </c>
    </row>
    <row r="1566" spans="9:12">
      <c r="I1566" s="5">
        <f>IF(OR(A1566="",B1566=""),"",B1566-WEEKDAY(B1566,2)+1)</f>
        <v/>
      </c>
      <c r="J1566" s="5">
        <f>IF(I1566="","",I1566+6)</f>
        <v/>
      </c>
      <c r="K1566" s="6">
        <f>IF(OR(A1566="",B1566=""),"",DATE(YEAR(B1566),MONTH(B1566),1))</f>
        <v/>
      </c>
      <c r="L1566" s="7">
        <f>IF(COUNTA(A1566,B1566)=0,"",IF(OR(A1566="",B1566=""),"Preencher CPF e entrada",IF(COUNTIFS($A$12:$A$5011,A1566,$B$12:$B$5011,B1566)&gt;1,"CPF + dia duplicado",IF(OR(AND(E1566&lt;&gt;"",E1566&lt;B1566),AND(F1566&lt;&gt;"",F1566&lt;B1566)),"Evento anterior à entrada",IF(AND(F1566&lt;&gt;"",E1566=""),"Conversa sem agendamento",IF(OR(E1566&gt;TODAY(),F1566&gt;TODAY()),"Verificar evento futuro","OK"))))))</f>
        <v/>
      </c>
    </row>
    <row r="1567" spans="9:12">
      <c r="I1567" s="5">
        <f>IF(OR(A1567="",B1567=""),"",B1567-WEEKDAY(B1567,2)+1)</f>
        <v/>
      </c>
      <c r="J1567" s="5">
        <f>IF(I1567="","",I1567+6)</f>
        <v/>
      </c>
      <c r="K1567" s="6">
        <f>IF(OR(A1567="",B1567=""),"",DATE(YEAR(B1567),MONTH(B1567),1))</f>
        <v/>
      </c>
      <c r="L1567" s="7">
        <f>IF(COUNTA(A1567,B1567)=0,"",IF(OR(A1567="",B1567=""),"Preencher CPF e entrada",IF(COUNTIFS($A$12:$A$5011,A1567,$B$12:$B$5011,B1567)&gt;1,"CPF + dia duplicado",IF(OR(AND(E1567&lt;&gt;"",E1567&lt;B1567),AND(F1567&lt;&gt;"",F1567&lt;B1567)),"Evento anterior à entrada",IF(AND(F1567&lt;&gt;"",E1567=""),"Conversa sem agendamento",IF(OR(E1567&gt;TODAY(),F1567&gt;TODAY()),"Verificar evento futuro","OK"))))))</f>
        <v/>
      </c>
    </row>
    <row r="1568" spans="9:12">
      <c r="I1568" s="5">
        <f>IF(OR(A1568="",B1568=""),"",B1568-WEEKDAY(B1568,2)+1)</f>
        <v/>
      </c>
      <c r="J1568" s="5">
        <f>IF(I1568="","",I1568+6)</f>
        <v/>
      </c>
      <c r="K1568" s="6">
        <f>IF(OR(A1568="",B1568=""),"",DATE(YEAR(B1568),MONTH(B1568),1))</f>
        <v/>
      </c>
      <c r="L1568" s="7">
        <f>IF(COUNTA(A1568,B1568)=0,"",IF(OR(A1568="",B1568=""),"Preencher CPF e entrada",IF(COUNTIFS($A$12:$A$5011,A1568,$B$12:$B$5011,B1568)&gt;1,"CPF + dia duplicado",IF(OR(AND(E1568&lt;&gt;"",E1568&lt;B1568),AND(F1568&lt;&gt;"",F1568&lt;B1568)),"Evento anterior à entrada",IF(AND(F1568&lt;&gt;"",E1568=""),"Conversa sem agendamento",IF(OR(E1568&gt;TODAY(),F1568&gt;TODAY()),"Verificar evento futuro","OK"))))))</f>
        <v/>
      </c>
    </row>
    <row r="1569" spans="9:12">
      <c r="I1569" s="5">
        <f>IF(OR(A1569="",B1569=""),"",B1569-WEEKDAY(B1569,2)+1)</f>
        <v/>
      </c>
      <c r="J1569" s="5">
        <f>IF(I1569="","",I1569+6)</f>
        <v/>
      </c>
      <c r="K1569" s="6">
        <f>IF(OR(A1569="",B1569=""),"",DATE(YEAR(B1569),MONTH(B1569),1))</f>
        <v/>
      </c>
      <c r="L1569" s="7">
        <f>IF(COUNTA(A1569,B1569)=0,"",IF(OR(A1569="",B1569=""),"Preencher CPF e entrada",IF(COUNTIFS($A$12:$A$5011,A1569,$B$12:$B$5011,B1569)&gt;1,"CPF + dia duplicado",IF(OR(AND(E1569&lt;&gt;"",E1569&lt;B1569),AND(F1569&lt;&gt;"",F1569&lt;B1569)),"Evento anterior à entrada",IF(AND(F1569&lt;&gt;"",E1569=""),"Conversa sem agendamento",IF(OR(E1569&gt;TODAY(),F1569&gt;TODAY()),"Verificar evento futuro","OK"))))))</f>
        <v/>
      </c>
    </row>
    <row r="1570" spans="9:12">
      <c r="I1570" s="5">
        <f>IF(OR(A1570="",B1570=""),"",B1570-WEEKDAY(B1570,2)+1)</f>
        <v/>
      </c>
      <c r="J1570" s="5">
        <f>IF(I1570="","",I1570+6)</f>
        <v/>
      </c>
      <c r="K1570" s="6">
        <f>IF(OR(A1570="",B1570=""),"",DATE(YEAR(B1570),MONTH(B1570),1))</f>
        <v/>
      </c>
      <c r="L1570" s="7">
        <f>IF(COUNTA(A1570,B1570)=0,"",IF(OR(A1570="",B1570=""),"Preencher CPF e entrada",IF(COUNTIFS($A$12:$A$5011,A1570,$B$12:$B$5011,B1570)&gt;1,"CPF + dia duplicado",IF(OR(AND(E1570&lt;&gt;"",E1570&lt;B1570),AND(F1570&lt;&gt;"",F1570&lt;B1570)),"Evento anterior à entrada",IF(AND(F1570&lt;&gt;"",E1570=""),"Conversa sem agendamento",IF(OR(E1570&gt;TODAY(),F1570&gt;TODAY()),"Verificar evento futuro","OK"))))))</f>
        <v/>
      </c>
    </row>
    <row r="1571" spans="9:12">
      <c r="I1571" s="5">
        <f>IF(OR(A1571="",B1571=""),"",B1571-WEEKDAY(B1571,2)+1)</f>
        <v/>
      </c>
      <c r="J1571" s="5">
        <f>IF(I1571="","",I1571+6)</f>
        <v/>
      </c>
      <c r="K1571" s="6">
        <f>IF(OR(A1571="",B1571=""),"",DATE(YEAR(B1571),MONTH(B1571),1))</f>
        <v/>
      </c>
      <c r="L1571" s="7">
        <f>IF(COUNTA(A1571,B1571)=0,"",IF(OR(A1571="",B1571=""),"Preencher CPF e entrada",IF(COUNTIFS($A$12:$A$5011,A1571,$B$12:$B$5011,B1571)&gt;1,"CPF + dia duplicado",IF(OR(AND(E1571&lt;&gt;"",E1571&lt;B1571),AND(F1571&lt;&gt;"",F1571&lt;B1571)),"Evento anterior à entrada",IF(AND(F1571&lt;&gt;"",E1571=""),"Conversa sem agendamento",IF(OR(E1571&gt;TODAY(),F1571&gt;TODAY()),"Verificar evento futuro","OK"))))))</f>
        <v/>
      </c>
    </row>
    <row r="1572" spans="9:12">
      <c r="I1572" s="5">
        <f>IF(OR(A1572="",B1572=""),"",B1572-WEEKDAY(B1572,2)+1)</f>
        <v/>
      </c>
      <c r="J1572" s="5">
        <f>IF(I1572="","",I1572+6)</f>
        <v/>
      </c>
      <c r="K1572" s="6">
        <f>IF(OR(A1572="",B1572=""),"",DATE(YEAR(B1572),MONTH(B1572),1))</f>
        <v/>
      </c>
      <c r="L1572" s="7">
        <f>IF(COUNTA(A1572,B1572)=0,"",IF(OR(A1572="",B1572=""),"Preencher CPF e entrada",IF(COUNTIFS($A$12:$A$5011,A1572,$B$12:$B$5011,B1572)&gt;1,"CPF + dia duplicado",IF(OR(AND(E1572&lt;&gt;"",E1572&lt;B1572),AND(F1572&lt;&gt;"",F1572&lt;B1572)),"Evento anterior à entrada",IF(AND(F1572&lt;&gt;"",E1572=""),"Conversa sem agendamento",IF(OR(E1572&gt;TODAY(),F1572&gt;TODAY()),"Verificar evento futuro","OK"))))))</f>
        <v/>
      </c>
    </row>
    <row r="1573" spans="9:12">
      <c r="I1573" s="5">
        <f>IF(OR(A1573="",B1573=""),"",B1573-WEEKDAY(B1573,2)+1)</f>
        <v/>
      </c>
      <c r="J1573" s="5">
        <f>IF(I1573="","",I1573+6)</f>
        <v/>
      </c>
      <c r="K1573" s="6">
        <f>IF(OR(A1573="",B1573=""),"",DATE(YEAR(B1573),MONTH(B1573),1))</f>
        <v/>
      </c>
      <c r="L1573" s="7">
        <f>IF(COUNTA(A1573,B1573)=0,"",IF(OR(A1573="",B1573=""),"Preencher CPF e entrada",IF(COUNTIFS($A$12:$A$5011,A1573,$B$12:$B$5011,B1573)&gt;1,"CPF + dia duplicado",IF(OR(AND(E1573&lt;&gt;"",E1573&lt;B1573),AND(F1573&lt;&gt;"",F1573&lt;B1573)),"Evento anterior à entrada",IF(AND(F1573&lt;&gt;"",E1573=""),"Conversa sem agendamento",IF(OR(E1573&gt;TODAY(),F1573&gt;TODAY()),"Verificar evento futuro","OK"))))))</f>
        <v/>
      </c>
    </row>
    <row r="1574" spans="9:12">
      <c r="I1574" s="5">
        <f>IF(OR(A1574="",B1574=""),"",B1574-WEEKDAY(B1574,2)+1)</f>
        <v/>
      </c>
      <c r="J1574" s="5">
        <f>IF(I1574="","",I1574+6)</f>
        <v/>
      </c>
      <c r="K1574" s="6">
        <f>IF(OR(A1574="",B1574=""),"",DATE(YEAR(B1574),MONTH(B1574),1))</f>
        <v/>
      </c>
      <c r="L1574" s="7">
        <f>IF(COUNTA(A1574,B1574)=0,"",IF(OR(A1574="",B1574=""),"Preencher CPF e entrada",IF(COUNTIFS($A$12:$A$5011,A1574,$B$12:$B$5011,B1574)&gt;1,"CPF + dia duplicado",IF(OR(AND(E1574&lt;&gt;"",E1574&lt;B1574),AND(F1574&lt;&gt;"",F1574&lt;B1574)),"Evento anterior à entrada",IF(AND(F1574&lt;&gt;"",E1574=""),"Conversa sem agendamento",IF(OR(E1574&gt;TODAY(),F1574&gt;TODAY()),"Verificar evento futuro","OK"))))))</f>
        <v/>
      </c>
    </row>
    <row r="1575" spans="9:12">
      <c r="I1575" s="5">
        <f>IF(OR(A1575="",B1575=""),"",B1575-WEEKDAY(B1575,2)+1)</f>
        <v/>
      </c>
      <c r="J1575" s="5">
        <f>IF(I1575="","",I1575+6)</f>
        <v/>
      </c>
      <c r="K1575" s="6">
        <f>IF(OR(A1575="",B1575=""),"",DATE(YEAR(B1575),MONTH(B1575),1))</f>
        <v/>
      </c>
      <c r="L1575" s="7">
        <f>IF(COUNTA(A1575,B1575)=0,"",IF(OR(A1575="",B1575=""),"Preencher CPF e entrada",IF(COUNTIFS($A$12:$A$5011,A1575,$B$12:$B$5011,B1575)&gt;1,"CPF + dia duplicado",IF(OR(AND(E1575&lt;&gt;"",E1575&lt;B1575),AND(F1575&lt;&gt;"",F1575&lt;B1575)),"Evento anterior à entrada",IF(AND(F1575&lt;&gt;"",E1575=""),"Conversa sem agendamento",IF(OR(E1575&gt;TODAY(),F1575&gt;TODAY()),"Verificar evento futuro","OK"))))))</f>
        <v/>
      </c>
    </row>
    <row r="1576" spans="9:12">
      <c r="I1576" s="5">
        <f>IF(OR(A1576="",B1576=""),"",B1576-WEEKDAY(B1576,2)+1)</f>
        <v/>
      </c>
      <c r="J1576" s="5">
        <f>IF(I1576="","",I1576+6)</f>
        <v/>
      </c>
      <c r="K1576" s="6">
        <f>IF(OR(A1576="",B1576=""),"",DATE(YEAR(B1576),MONTH(B1576),1))</f>
        <v/>
      </c>
      <c r="L1576" s="7">
        <f>IF(COUNTA(A1576,B1576)=0,"",IF(OR(A1576="",B1576=""),"Preencher CPF e entrada",IF(COUNTIFS($A$12:$A$5011,A1576,$B$12:$B$5011,B1576)&gt;1,"CPF + dia duplicado",IF(OR(AND(E1576&lt;&gt;"",E1576&lt;B1576),AND(F1576&lt;&gt;"",F1576&lt;B1576)),"Evento anterior à entrada",IF(AND(F1576&lt;&gt;"",E1576=""),"Conversa sem agendamento",IF(OR(E1576&gt;TODAY(),F1576&gt;TODAY()),"Verificar evento futuro","OK"))))))</f>
        <v/>
      </c>
    </row>
    <row r="1577" spans="9:12">
      <c r="I1577" s="5">
        <f>IF(OR(A1577="",B1577=""),"",B1577-WEEKDAY(B1577,2)+1)</f>
        <v/>
      </c>
      <c r="J1577" s="5">
        <f>IF(I1577="","",I1577+6)</f>
        <v/>
      </c>
      <c r="K1577" s="6">
        <f>IF(OR(A1577="",B1577=""),"",DATE(YEAR(B1577),MONTH(B1577),1))</f>
        <v/>
      </c>
      <c r="L1577" s="7">
        <f>IF(COUNTA(A1577,B1577)=0,"",IF(OR(A1577="",B1577=""),"Preencher CPF e entrada",IF(COUNTIFS($A$12:$A$5011,A1577,$B$12:$B$5011,B1577)&gt;1,"CPF + dia duplicado",IF(OR(AND(E1577&lt;&gt;"",E1577&lt;B1577),AND(F1577&lt;&gt;"",F1577&lt;B1577)),"Evento anterior à entrada",IF(AND(F1577&lt;&gt;"",E1577=""),"Conversa sem agendamento",IF(OR(E1577&gt;TODAY(),F1577&gt;TODAY()),"Verificar evento futuro","OK"))))))</f>
        <v/>
      </c>
    </row>
    <row r="1578" spans="9:12">
      <c r="I1578" s="5">
        <f>IF(OR(A1578="",B1578=""),"",B1578-WEEKDAY(B1578,2)+1)</f>
        <v/>
      </c>
      <c r="J1578" s="5">
        <f>IF(I1578="","",I1578+6)</f>
        <v/>
      </c>
      <c r="K1578" s="6">
        <f>IF(OR(A1578="",B1578=""),"",DATE(YEAR(B1578),MONTH(B1578),1))</f>
        <v/>
      </c>
      <c r="L1578" s="7">
        <f>IF(COUNTA(A1578,B1578)=0,"",IF(OR(A1578="",B1578=""),"Preencher CPF e entrada",IF(COUNTIFS($A$12:$A$5011,A1578,$B$12:$B$5011,B1578)&gt;1,"CPF + dia duplicado",IF(OR(AND(E1578&lt;&gt;"",E1578&lt;B1578),AND(F1578&lt;&gt;"",F1578&lt;B1578)),"Evento anterior à entrada",IF(AND(F1578&lt;&gt;"",E1578=""),"Conversa sem agendamento",IF(OR(E1578&gt;TODAY(),F1578&gt;TODAY()),"Verificar evento futuro","OK"))))))</f>
        <v/>
      </c>
    </row>
    <row r="1579" spans="9:12">
      <c r="I1579" s="5">
        <f>IF(OR(A1579="",B1579=""),"",B1579-WEEKDAY(B1579,2)+1)</f>
        <v/>
      </c>
      <c r="J1579" s="5">
        <f>IF(I1579="","",I1579+6)</f>
        <v/>
      </c>
      <c r="K1579" s="6">
        <f>IF(OR(A1579="",B1579=""),"",DATE(YEAR(B1579),MONTH(B1579),1))</f>
        <v/>
      </c>
      <c r="L1579" s="7">
        <f>IF(COUNTA(A1579,B1579)=0,"",IF(OR(A1579="",B1579=""),"Preencher CPF e entrada",IF(COUNTIFS($A$12:$A$5011,A1579,$B$12:$B$5011,B1579)&gt;1,"CPF + dia duplicado",IF(OR(AND(E1579&lt;&gt;"",E1579&lt;B1579),AND(F1579&lt;&gt;"",F1579&lt;B1579)),"Evento anterior à entrada",IF(AND(F1579&lt;&gt;"",E1579=""),"Conversa sem agendamento",IF(OR(E1579&gt;TODAY(),F1579&gt;TODAY()),"Verificar evento futuro","OK"))))))</f>
        <v/>
      </c>
    </row>
    <row r="1580" spans="9:12">
      <c r="I1580" s="5">
        <f>IF(OR(A1580="",B1580=""),"",B1580-WEEKDAY(B1580,2)+1)</f>
        <v/>
      </c>
      <c r="J1580" s="5">
        <f>IF(I1580="","",I1580+6)</f>
        <v/>
      </c>
      <c r="K1580" s="6">
        <f>IF(OR(A1580="",B1580=""),"",DATE(YEAR(B1580),MONTH(B1580),1))</f>
        <v/>
      </c>
      <c r="L1580" s="7">
        <f>IF(COUNTA(A1580,B1580)=0,"",IF(OR(A1580="",B1580=""),"Preencher CPF e entrada",IF(COUNTIFS($A$12:$A$5011,A1580,$B$12:$B$5011,B1580)&gt;1,"CPF + dia duplicado",IF(OR(AND(E1580&lt;&gt;"",E1580&lt;B1580),AND(F1580&lt;&gt;"",F1580&lt;B1580)),"Evento anterior à entrada",IF(AND(F1580&lt;&gt;"",E1580=""),"Conversa sem agendamento",IF(OR(E1580&gt;TODAY(),F1580&gt;TODAY()),"Verificar evento futuro","OK"))))))</f>
        <v/>
      </c>
    </row>
    <row r="1581" spans="9:12">
      <c r="I1581" s="5">
        <f>IF(OR(A1581="",B1581=""),"",B1581-WEEKDAY(B1581,2)+1)</f>
        <v/>
      </c>
      <c r="J1581" s="5">
        <f>IF(I1581="","",I1581+6)</f>
        <v/>
      </c>
      <c r="K1581" s="6">
        <f>IF(OR(A1581="",B1581=""),"",DATE(YEAR(B1581),MONTH(B1581),1))</f>
        <v/>
      </c>
      <c r="L1581" s="7">
        <f>IF(COUNTA(A1581,B1581)=0,"",IF(OR(A1581="",B1581=""),"Preencher CPF e entrada",IF(COUNTIFS($A$12:$A$5011,A1581,$B$12:$B$5011,B1581)&gt;1,"CPF + dia duplicado",IF(OR(AND(E1581&lt;&gt;"",E1581&lt;B1581),AND(F1581&lt;&gt;"",F1581&lt;B1581)),"Evento anterior à entrada",IF(AND(F1581&lt;&gt;"",E1581=""),"Conversa sem agendamento",IF(OR(E1581&gt;TODAY(),F1581&gt;TODAY()),"Verificar evento futuro","OK"))))))</f>
        <v/>
      </c>
    </row>
    <row r="1582" spans="9:12">
      <c r="I1582" s="5">
        <f>IF(OR(A1582="",B1582=""),"",B1582-WEEKDAY(B1582,2)+1)</f>
        <v/>
      </c>
      <c r="J1582" s="5">
        <f>IF(I1582="","",I1582+6)</f>
        <v/>
      </c>
      <c r="K1582" s="6">
        <f>IF(OR(A1582="",B1582=""),"",DATE(YEAR(B1582),MONTH(B1582),1))</f>
        <v/>
      </c>
      <c r="L1582" s="7">
        <f>IF(COUNTA(A1582,B1582)=0,"",IF(OR(A1582="",B1582=""),"Preencher CPF e entrada",IF(COUNTIFS($A$12:$A$5011,A1582,$B$12:$B$5011,B1582)&gt;1,"CPF + dia duplicado",IF(OR(AND(E1582&lt;&gt;"",E1582&lt;B1582),AND(F1582&lt;&gt;"",F1582&lt;B1582)),"Evento anterior à entrada",IF(AND(F1582&lt;&gt;"",E1582=""),"Conversa sem agendamento",IF(OR(E1582&gt;TODAY(),F1582&gt;TODAY()),"Verificar evento futuro","OK"))))))</f>
        <v/>
      </c>
    </row>
    <row r="1583" spans="9:12">
      <c r="I1583" s="5">
        <f>IF(OR(A1583="",B1583=""),"",B1583-WEEKDAY(B1583,2)+1)</f>
        <v/>
      </c>
      <c r="J1583" s="5">
        <f>IF(I1583="","",I1583+6)</f>
        <v/>
      </c>
      <c r="K1583" s="6">
        <f>IF(OR(A1583="",B1583=""),"",DATE(YEAR(B1583),MONTH(B1583),1))</f>
        <v/>
      </c>
      <c r="L1583" s="7">
        <f>IF(COUNTA(A1583,B1583)=0,"",IF(OR(A1583="",B1583=""),"Preencher CPF e entrada",IF(COUNTIFS($A$12:$A$5011,A1583,$B$12:$B$5011,B1583)&gt;1,"CPF + dia duplicado",IF(OR(AND(E1583&lt;&gt;"",E1583&lt;B1583),AND(F1583&lt;&gt;"",F1583&lt;B1583)),"Evento anterior à entrada",IF(AND(F1583&lt;&gt;"",E1583=""),"Conversa sem agendamento",IF(OR(E1583&gt;TODAY(),F1583&gt;TODAY()),"Verificar evento futuro","OK"))))))</f>
        <v/>
      </c>
    </row>
    <row r="1584" spans="9:12">
      <c r="I1584" s="5">
        <f>IF(OR(A1584="",B1584=""),"",B1584-WEEKDAY(B1584,2)+1)</f>
        <v/>
      </c>
      <c r="J1584" s="5">
        <f>IF(I1584="","",I1584+6)</f>
        <v/>
      </c>
      <c r="K1584" s="6">
        <f>IF(OR(A1584="",B1584=""),"",DATE(YEAR(B1584),MONTH(B1584),1))</f>
        <v/>
      </c>
      <c r="L1584" s="7">
        <f>IF(COUNTA(A1584,B1584)=0,"",IF(OR(A1584="",B1584=""),"Preencher CPF e entrada",IF(COUNTIFS($A$12:$A$5011,A1584,$B$12:$B$5011,B1584)&gt;1,"CPF + dia duplicado",IF(OR(AND(E1584&lt;&gt;"",E1584&lt;B1584),AND(F1584&lt;&gt;"",F1584&lt;B1584)),"Evento anterior à entrada",IF(AND(F1584&lt;&gt;"",E1584=""),"Conversa sem agendamento",IF(OR(E1584&gt;TODAY(),F1584&gt;TODAY()),"Verificar evento futuro","OK"))))))</f>
        <v/>
      </c>
    </row>
    <row r="1585" spans="9:12">
      <c r="I1585" s="5">
        <f>IF(OR(A1585="",B1585=""),"",B1585-WEEKDAY(B1585,2)+1)</f>
        <v/>
      </c>
      <c r="J1585" s="5">
        <f>IF(I1585="","",I1585+6)</f>
        <v/>
      </c>
      <c r="K1585" s="6">
        <f>IF(OR(A1585="",B1585=""),"",DATE(YEAR(B1585),MONTH(B1585),1))</f>
        <v/>
      </c>
      <c r="L1585" s="7">
        <f>IF(COUNTA(A1585,B1585)=0,"",IF(OR(A1585="",B1585=""),"Preencher CPF e entrada",IF(COUNTIFS($A$12:$A$5011,A1585,$B$12:$B$5011,B1585)&gt;1,"CPF + dia duplicado",IF(OR(AND(E1585&lt;&gt;"",E1585&lt;B1585),AND(F1585&lt;&gt;"",F1585&lt;B1585)),"Evento anterior à entrada",IF(AND(F1585&lt;&gt;"",E1585=""),"Conversa sem agendamento",IF(OR(E1585&gt;TODAY(),F1585&gt;TODAY()),"Verificar evento futuro","OK"))))))</f>
        <v/>
      </c>
    </row>
    <row r="1586" spans="9:12">
      <c r="I1586" s="5">
        <f>IF(OR(A1586="",B1586=""),"",B1586-WEEKDAY(B1586,2)+1)</f>
        <v/>
      </c>
      <c r="J1586" s="5">
        <f>IF(I1586="","",I1586+6)</f>
        <v/>
      </c>
      <c r="K1586" s="6">
        <f>IF(OR(A1586="",B1586=""),"",DATE(YEAR(B1586),MONTH(B1586),1))</f>
        <v/>
      </c>
      <c r="L1586" s="7">
        <f>IF(COUNTA(A1586,B1586)=0,"",IF(OR(A1586="",B1586=""),"Preencher CPF e entrada",IF(COUNTIFS($A$12:$A$5011,A1586,$B$12:$B$5011,B1586)&gt;1,"CPF + dia duplicado",IF(OR(AND(E1586&lt;&gt;"",E1586&lt;B1586),AND(F1586&lt;&gt;"",F1586&lt;B1586)),"Evento anterior à entrada",IF(AND(F1586&lt;&gt;"",E1586=""),"Conversa sem agendamento",IF(OR(E1586&gt;TODAY(),F1586&gt;TODAY()),"Verificar evento futuro","OK"))))))</f>
        <v/>
      </c>
    </row>
    <row r="1587" spans="9:12">
      <c r="I1587" s="5">
        <f>IF(OR(A1587="",B1587=""),"",B1587-WEEKDAY(B1587,2)+1)</f>
        <v/>
      </c>
      <c r="J1587" s="5">
        <f>IF(I1587="","",I1587+6)</f>
        <v/>
      </c>
      <c r="K1587" s="6">
        <f>IF(OR(A1587="",B1587=""),"",DATE(YEAR(B1587),MONTH(B1587),1))</f>
        <v/>
      </c>
      <c r="L1587" s="7">
        <f>IF(COUNTA(A1587,B1587)=0,"",IF(OR(A1587="",B1587=""),"Preencher CPF e entrada",IF(COUNTIFS($A$12:$A$5011,A1587,$B$12:$B$5011,B1587)&gt;1,"CPF + dia duplicado",IF(OR(AND(E1587&lt;&gt;"",E1587&lt;B1587),AND(F1587&lt;&gt;"",F1587&lt;B1587)),"Evento anterior à entrada",IF(AND(F1587&lt;&gt;"",E1587=""),"Conversa sem agendamento",IF(OR(E1587&gt;TODAY(),F1587&gt;TODAY()),"Verificar evento futuro","OK"))))))</f>
        <v/>
      </c>
    </row>
    <row r="1588" spans="9:12">
      <c r="I1588" s="5">
        <f>IF(OR(A1588="",B1588=""),"",B1588-WEEKDAY(B1588,2)+1)</f>
        <v/>
      </c>
      <c r="J1588" s="5">
        <f>IF(I1588="","",I1588+6)</f>
        <v/>
      </c>
      <c r="K1588" s="6">
        <f>IF(OR(A1588="",B1588=""),"",DATE(YEAR(B1588),MONTH(B1588),1))</f>
        <v/>
      </c>
      <c r="L1588" s="7">
        <f>IF(COUNTA(A1588,B1588)=0,"",IF(OR(A1588="",B1588=""),"Preencher CPF e entrada",IF(COUNTIFS($A$12:$A$5011,A1588,$B$12:$B$5011,B1588)&gt;1,"CPF + dia duplicado",IF(OR(AND(E1588&lt;&gt;"",E1588&lt;B1588),AND(F1588&lt;&gt;"",F1588&lt;B1588)),"Evento anterior à entrada",IF(AND(F1588&lt;&gt;"",E1588=""),"Conversa sem agendamento",IF(OR(E1588&gt;TODAY(),F1588&gt;TODAY()),"Verificar evento futuro","OK"))))))</f>
        <v/>
      </c>
    </row>
    <row r="1589" spans="9:12">
      <c r="I1589" s="5">
        <f>IF(OR(A1589="",B1589=""),"",B1589-WEEKDAY(B1589,2)+1)</f>
        <v/>
      </c>
      <c r="J1589" s="5">
        <f>IF(I1589="","",I1589+6)</f>
        <v/>
      </c>
      <c r="K1589" s="6">
        <f>IF(OR(A1589="",B1589=""),"",DATE(YEAR(B1589),MONTH(B1589),1))</f>
        <v/>
      </c>
      <c r="L1589" s="7">
        <f>IF(COUNTA(A1589,B1589)=0,"",IF(OR(A1589="",B1589=""),"Preencher CPF e entrada",IF(COUNTIFS($A$12:$A$5011,A1589,$B$12:$B$5011,B1589)&gt;1,"CPF + dia duplicado",IF(OR(AND(E1589&lt;&gt;"",E1589&lt;B1589),AND(F1589&lt;&gt;"",F1589&lt;B1589)),"Evento anterior à entrada",IF(AND(F1589&lt;&gt;"",E1589=""),"Conversa sem agendamento",IF(OR(E1589&gt;TODAY(),F1589&gt;TODAY()),"Verificar evento futuro","OK"))))))</f>
        <v/>
      </c>
    </row>
    <row r="1590" spans="9:12">
      <c r="I1590" s="5">
        <f>IF(OR(A1590="",B1590=""),"",B1590-WEEKDAY(B1590,2)+1)</f>
        <v/>
      </c>
      <c r="J1590" s="5">
        <f>IF(I1590="","",I1590+6)</f>
        <v/>
      </c>
      <c r="K1590" s="6">
        <f>IF(OR(A1590="",B1590=""),"",DATE(YEAR(B1590),MONTH(B1590),1))</f>
        <v/>
      </c>
      <c r="L1590" s="7">
        <f>IF(COUNTA(A1590,B1590)=0,"",IF(OR(A1590="",B1590=""),"Preencher CPF e entrada",IF(COUNTIFS($A$12:$A$5011,A1590,$B$12:$B$5011,B1590)&gt;1,"CPF + dia duplicado",IF(OR(AND(E1590&lt;&gt;"",E1590&lt;B1590),AND(F1590&lt;&gt;"",F1590&lt;B1590)),"Evento anterior à entrada",IF(AND(F1590&lt;&gt;"",E1590=""),"Conversa sem agendamento",IF(OR(E1590&gt;TODAY(),F1590&gt;TODAY()),"Verificar evento futuro","OK"))))))</f>
        <v/>
      </c>
    </row>
    <row r="1591" spans="9:12">
      <c r="I1591" s="5">
        <f>IF(OR(A1591="",B1591=""),"",B1591-WEEKDAY(B1591,2)+1)</f>
        <v/>
      </c>
      <c r="J1591" s="5">
        <f>IF(I1591="","",I1591+6)</f>
        <v/>
      </c>
      <c r="K1591" s="6">
        <f>IF(OR(A1591="",B1591=""),"",DATE(YEAR(B1591),MONTH(B1591),1))</f>
        <v/>
      </c>
      <c r="L1591" s="7">
        <f>IF(COUNTA(A1591,B1591)=0,"",IF(OR(A1591="",B1591=""),"Preencher CPF e entrada",IF(COUNTIFS($A$12:$A$5011,A1591,$B$12:$B$5011,B1591)&gt;1,"CPF + dia duplicado",IF(OR(AND(E1591&lt;&gt;"",E1591&lt;B1591),AND(F1591&lt;&gt;"",F1591&lt;B1591)),"Evento anterior à entrada",IF(AND(F1591&lt;&gt;"",E1591=""),"Conversa sem agendamento",IF(OR(E1591&gt;TODAY(),F1591&gt;TODAY()),"Verificar evento futuro","OK"))))))</f>
        <v/>
      </c>
    </row>
    <row r="1592" spans="9:12">
      <c r="I1592" s="5">
        <f>IF(OR(A1592="",B1592=""),"",B1592-WEEKDAY(B1592,2)+1)</f>
        <v/>
      </c>
      <c r="J1592" s="5">
        <f>IF(I1592="","",I1592+6)</f>
        <v/>
      </c>
      <c r="K1592" s="6">
        <f>IF(OR(A1592="",B1592=""),"",DATE(YEAR(B1592),MONTH(B1592),1))</f>
        <v/>
      </c>
      <c r="L1592" s="7">
        <f>IF(COUNTA(A1592,B1592)=0,"",IF(OR(A1592="",B1592=""),"Preencher CPF e entrada",IF(COUNTIFS($A$12:$A$5011,A1592,$B$12:$B$5011,B1592)&gt;1,"CPF + dia duplicado",IF(OR(AND(E1592&lt;&gt;"",E1592&lt;B1592),AND(F1592&lt;&gt;"",F1592&lt;B1592)),"Evento anterior à entrada",IF(AND(F1592&lt;&gt;"",E1592=""),"Conversa sem agendamento",IF(OR(E1592&gt;TODAY(),F1592&gt;TODAY()),"Verificar evento futuro","OK"))))))</f>
        <v/>
      </c>
    </row>
    <row r="1593" spans="9:12">
      <c r="I1593" s="5">
        <f>IF(OR(A1593="",B1593=""),"",B1593-WEEKDAY(B1593,2)+1)</f>
        <v/>
      </c>
      <c r="J1593" s="5">
        <f>IF(I1593="","",I1593+6)</f>
        <v/>
      </c>
      <c r="K1593" s="6">
        <f>IF(OR(A1593="",B1593=""),"",DATE(YEAR(B1593),MONTH(B1593),1))</f>
        <v/>
      </c>
      <c r="L1593" s="7">
        <f>IF(COUNTA(A1593,B1593)=0,"",IF(OR(A1593="",B1593=""),"Preencher CPF e entrada",IF(COUNTIFS($A$12:$A$5011,A1593,$B$12:$B$5011,B1593)&gt;1,"CPF + dia duplicado",IF(OR(AND(E1593&lt;&gt;"",E1593&lt;B1593),AND(F1593&lt;&gt;"",F1593&lt;B1593)),"Evento anterior à entrada",IF(AND(F1593&lt;&gt;"",E1593=""),"Conversa sem agendamento",IF(OR(E1593&gt;TODAY(),F1593&gt;TODAY()),"Verificar evento futuro","OK"))))))</f>
        <v/>
      </c>
    </row>
    <row r="1594" spans="9:12">
      <c r="I1594" s="5">
        <f>IF(OR(A1594="",B1594=""),"",B1594-WEEKDAY(B1594,2)+1)</f>
        <v/>
      </c>
      <c r="J1594" s="5">
        <f>IF(I1594="","",I1594+6)</f>
        <v/>
      </c>
      <c r="K1594" s="6">
        <f>IF(OR(A1594="",B1594=""),"",DATE(YEAR(B1594),MONTH(B1594),1))</f>
        <v/>
      </c>
      <c r="L1594" s="7">
        <f>IF(COUNTA(A1594,B1594)=0,"",IF(OR(A1594="",B1594=""),"Preencher CPF e entrada",IF(COUNTIFS($A$12:$A$5011,A1594,$B$12:$B$5011,B1594)&gt;1,"CPF + dia duplicado",IF(OR(AND(E1594&lt;&gt;"",E1594&lt;B1594),AND(F1594&lt;&gt;"",F1594&lt;B1594)),"Evento anterior à entrada",IF(AND(F1594&lt;&gt;"",E1594=""),"Conversa sem agendamento",IF(OR(E1594&gt;TODAY(),F1594&gt;TODAY()),"Verificar evento futuro","OK"))))))</f>
        <v/>
      </c>
    </row>
    <row r="1595" spans="9:12">
      <c r="I1595" s="5">
        <f>IF(OR(A1595="",B1595=""),"",B1595-WEEKDAY(B1595,2)+1)</f>
        <v/>
      </c>
      <c r="J1595" s="5">
        <f>IF(I1595="","",I1595+6)</f>
        <v/>
      </c>
      <c r="K1595" s="6">
        <f>IF(OR(A1595="",B1595=""),"",DATE(YEAR(B1595),MONTH(B1595),1))</f>
        <v/>
      </c>
      <c r="L1595" s="7">
        <f>IF(COUNTA(A1595,B1595)=0,"",IF(OR(A1595="",B1595=""),"Preencher CPF e entrada",IF(COUNTIFS($A$12:$A$5011,A1595,$B$12:$B$5011,B1595)&gt;1,"CPF + dia duplicado",IF(OR(AND(E1595&lt;&gt;"",E1595&lt;B1595),AND(F1595&lt;&gt;"",F1595&lt;B1595)),"Evento anterior à entrada",IF(AND(F1595&lt;&gt;"",E1595=""),"Conversa sem agendamento",IF(OR(E1595&gt;TODAY(),F1595&gt;TODAY()),"Verificar evento futuro","OK"))))))</f>
        <v/>
      </c>
    </row>
    <row r="1596" spans="9:12">
      <c r="I1596" s="5">
        <f>IF(OR(A1596="",B1596=""),"",B1596-WEEKDAY(B1596,2)+1)</f>
        <v/>
      </c>
      <c r="J1596" s="5">
        <f>IF(I1596="","",I1596+6)</f>
        <v/>
      </c>
      <c r="K1596" s="6">
        <f>IF(OR(A1596="",B1596=""),"",DATE(YEAR(B1596),MONTH(B1596),1))</f>
        <v/>
      </c>
      <c r="L1596" s="7">
        <f>IF(COUNTA(A1596,B1596)=0,"",IF(OR(A1596="",B1596=""),"Preencher CPF e entrada",IF(COUNTIFS($A$12:$A$5011,A1596,$B$12:$B$5011,B1596)&gt;1,"CPF + dia duplicado",IF(OR(AND(E1596&lt;&gt;"",E1596&lt;B1596),AND(F1596&lt;&gt;"",F1596&lt;B1596)),"Evento anterior à entrada",IF(AND(F1596&lt;&gt;"",E1596=""),"Conversa sem agendamento",IF(OR(E1596&gt;TODAY(),F1596&gt;TODAY()),"Verificar evento futuro","OK"))))))</f>
        <v/>
      </c>
    </row>
    <row r="1597" spans="9:12">
      <c r="I1597" s="5">
        <f>IF(OR(A1597="",B1597=""),"",B1597-WEEKDAY(B1597,2)+1)</f>
        <v/>
      </c>
      <c r="J1597" s="5">
        <f>IF(I1597="","",I1597+6)</f>
        <v/>
      </c>
      <c r="K1597" s="6">
        <f>IF(OR(A1597="",B1597=""),"",DATE(YEAR(B1597),MONTH(B1597),1))</f>
        <v/>
      </c>
      <c r="L1597" s="7">
        <f>IF(COUNTA(A1597,B1597)=0,"",IF(OR(A1597="",B1597=""),"Preencher CPF e entrada",IF(COUNTIFS($A$12:$A$5011,A1597,$B$12:$B$5011,B1597)&gt;1,"CPF + dia duplicado",IF(OR(AND(E1597&lt;&gt;"",E1597&lt;B1597),AND(F1597&lt;&gt;"",F1597&lt;B1597)),"Evento anterior à entrada",IF(AND(F1597&lt;&gt;"",E1597=""),"Conversa sem agendamento",IF(OR(E1597&gt;TODAY(),F1597&gt;TODAY()),"Verificar evento futuro","OK"))))))</f>
        <v/>
      </c>
    </row>
    <row r="1598" spans="9:12">
      <c r="I1598" s="5">
        <f>IF(OR(A1598="",B1598=""),"",B1598-WEEKDAY(B1598,2)+1)</f>
        <v/>
      </c>
      <c r="J1598" s="5">
        <f>IF(I1598="","",I1598+6)</f>
        <v/>
      </c>
      <c r="K1598" s="6">
        <f>IF(OR(A1598="",B1598=""),"",DATE(YEAR(B1598),MONTH(B1598),1))</f>
        <v/>
      </c>
      <c r="L1598" s="7">
        <f>IF(COUNTA(A1598,B1598)=0,"",IF(OR(A1598="",B1598=""),"Preencher CPF e entrada",IF(COUNTIFS($A$12:$A$5011,A1598,$B$12:$B$5011,B1598)&gt;1,"CPF + dia duplicado",IF(OR(AND(E1598&lt;&gt;"",E1598&lt;B1598),AND(F1598&lt;&gt;"",F1598&lt;B1598)),"Evento anterior à entrada",IF(AND(F1598&lt;&gt;"",E1598=""),"Conversa sem agendamento",IF(OR(E1598&gt;TODAY(),F1598&gt;TODAY()),"Verificar evento futuro","OK"))))))</f>
        <v/>
      </c>
    </row>
    <row r="1599" spans="9:12">
      <c r="I1599" s="5">
        <f>IF(OR(A1599="",B1599=""),"",B1599-WEEKDAY(B1599,2)+1)</f>
        <v/>
      </c>
      <c r="J1599" s="5">
        <f>IF(I1599="","",I1599+6)</f>
        <v/>
      </c>
      <c r="K1599" s="6">
        <f>IF(OR(A1599="",B1599=""),"",DATE(YEAR(B1599),MONTH(B1599),1))</f>
        <v/>
      </c>
      <c r="L1599" s="7">
        <f>IF(COUNTA(A1599,B1599)=0,"",IF(OR(A1599="",B1599=""),"Preencher CPF e entrada",IF(COUNTIFS($A$12:$A$5011,A1599,$B$12:$B$5011,B1599)&gt;1,"CPF + dia duplicado",IF(OR(AND(E1599&lt;&gt;"",E1599&lt;B1599),AND(F1599&lt;&gt;"",F1599&lt;B1599)),"Evento anterior à entrada",IF(AND(F1599&lt;&gt;"",E1599=""),"Conversa sem agendamento",IF(OR(E1599&gt;TODAY(),F1599&gt;TODAY()),"Verificar evento futuro","OK"))))))</f>
        <v/>
      </c>
    </row>
    <row r="1600" spans="9:12">
      <c r="I1600" s="5">
        <f>IF(OR(A1600="",B1600=""),"",B1600-WEEKDAY(B1600,2)+1)</f>
        <v/>
      </c>
      <c r="J1600" s="5">
        <f>IF(I1600="","",I1600+6)</f>
        <v/>
      </c>
      <c r="K1600" s="6">
        <f>IF(OR(A1600="",B1600=""),"",DATE(YEAR(B1600),MONTH(B1600),1))</f>
        <v/>
      </c>
      <c r="L1600" s="7">
        <f>IF(COUNTA(A1600,B1600)=0,"",IF(OR(A1600="",B1600=""),"Preencher CPF e entrada",IF(COUNTIFS($A$12:$A$5011,A1600,$B$12:$B$5011,B1600)&gt;1,"CPF + dia duplicado",IF(OR(AND(E1600&lt;&gt;"",E1600&lt;B1600),AND(F1600&lt;&gt;"",F1600&lt;B1600)),"Evento anterior à entrada",IF(AND(F1600&lt;&gt;"",E1600=""),"Conversa sem agendamento",IF(OR(E1600&gt;TODAY(),F1600&gt;TODAY()),"Verificar evento futuro","OK"))))))</f>
        <v/>
      </c>
    </row>
    <row r="1601" spans="9:12">
      <c r="I1601" s="5">
        <f>IF(OR(A1601="",B1601=""),"",B1601-WEEKDAY(B1601,2)+1)</f>
        <v/>
      </c>
      <c r="J1601" s="5">
        <f>IF(I1601="","",I1601+6)</f>
        <v/>
      </c>
      <c r="K1601" s="6">
        <f>IF(OR(A1601="",B1601=""),"",DATE(YEAR(B1601),MONTH(B1601),1))</f>
        <v/>
      </c>
      <c r="L1601" s="7">
        <f>IF(COUNTA(A1601,B1601)=0,"",IF(OR(A1601="",B1601=""),"Preencher CPF e entrada",IF(COUNTIFS($A$12:$A$5011,A1601,$B$12:$B$5011,B1601)&gt;1,"CPF + dia duplicado",IF(OR(AND(E1601&lt;&gt;"",E1601&lt;B1601),AND(F1601&lt;&gt;"",F1601&lt;B1601)),"Evento anterior à entrada",IF(AND(F1601&lt;&gt;"",E1601=""),"Conversa sem agendamento",IF(OR(E1601&gt;TODAY(),F1601&gt;TODAY()),"Verificar evento futuro","OK"))))))</f>
        <v/>
      </c>
    </row>
    <row r="1602" spans="9:12">
      <c r="I1602" s="5">
        <f>IF(OR(A1602="",B1602=""),"",B1602-WEEKDAY(B1602,2)+1)</f>
        <v/>
      </c>
      <c r="J1602" s="5">
        <f>IF(I1602="","",I1602+6)</f>
        <v/>
      </c>
      <c r="K1602" s="6">
        <f>IF(OR(A1602="",B1602=""),"",DATE(YEAR(B1602),MONTH(B1602),1))</f>
        <v/>
      </c>
      <c r="L1602" s="7">
        <f>IF(COUNTA(A1602,B1602)=0,"",IF(OR(A1602="",B1602=""),"Preencher CPF e entrada",IF(COUNTIFS($A$12:$A$5011,A1602,$B$12:$B$5011,B1602)&gt;1,"CPF + dia duplicado",IF(OR(AND(E1602&lt;&gt;"",E1602&lt;B1602),AND(F1602&lt;&gt;"",F1602&lt;B1602)),"Evento anterior à entrada",IF(AND(F1602&lt;&gt;"",E1602=""),"Conversa sem agendamento",IF(OR(E1602&gt;TODAY(),F1602&gt;TODAY()),"Verificar evento futuro","OK"))))))</f>
        <v/>
      </c>
    </row>
    <row r="1603" spans="9:12">
      <c r="I1603" s="5">
        <f>IF(OR(A1603="",B1603=""),"",B1603-WEEKDAY(B1603,2)+1)</f>
        <v/>
      </c>
      <c r="J1603" s="5">
        <f>IF(I1603="","",I1603+6)</f>
        <v/>
      </c>
      <c r="K1603" s="6">
        <f>IF(OR(A1603="",B1603=""),"",DATE(YEAR(B1603),MONTH(B1603),1))</f>
        <v/>
      </c>
      <c r="L1603" s="7">
        <f>IF(COUNTA(A1603,B1603)=0,"",IF(OR(A1603="",B1603=""),"Preencher CPF e entrada",IF(COUNTIFS($A$12:$A$5011,A1603,$B$12:$B$5011,B1603)&gt;1,"CPF + dia duplicado",IF(OR(AND(E1603&lt;&gt;"",E1603&lt;B1603),AND(F1603&lt;&gt;"",F1603&lt;B1603)),"Evento anterior à entrada",IF(AND(F1603&lt;&gt;"",E1603=""),"Conversa sem agendamento",IF(OR(E1603&gt;TODAY(),F1603&gt;TODAY()),"Verificar evento futuro","OK"))))))</f>
        <v/>
      </c>
    </row>
    <row r="1604" spans="9:12">
      <c r="I1604" s="5">
        <f>IF(OR(A1604="",B1604=""),"",B1604-WEEKDAY(B1604,2)+1)</f>
        <v/>
      </c>
      <c r="J1604" s="5">
        <f>IF(I1604="","",I1604+6)</f>
        <v/>
      </c>
      <c r="K1604" s="6">
        <f>IF(OR(A1604="",B1604=""),"",DATE(YEAR(B1604),MONTH(B1604),1))</f>
        <v/>
      </c>
      <c r="L1604" s="7">
        <f>IF(COUNTA(A1604,B1604)=0,"",IF(OR(A1604="",B1604=""),"Preencher CPF e entrada",IF(COUNTIFS($A$12:$A$5011,A1604,$B$12:$B$5011,B1604)&gt;1,"CPF + dia duplicado",IF(OR(AND(E1604&lt;&gt;"",E1604&lt;B1604),AND(F1604&lt;&gt;"",F1604&lt;B1604)),"Evento anterior à entrada",IF(AND(F1604&lt;&gt;"",E1604=""),"Conversa sem agendamento",IF(OR(E1604&gt;TODAY(),F1604&gt;TODAY()),"Verificar evento futuro","OK"))))))</f>
        <v/>
      </c>
    </row>
    <row r="1605" spans="9:12">
      <c r="I1605" s="5">
        <f>IF(OR(A1605="",B1605=""),"",B1605-WEEKDAY(B1605,2)+1)</f>
        <v/>
      </c>
      <c r="J1605" s="5">
        <f>IF(I1605="","",I1605+6)</f>
        <v/>
      </c>
      <c r="K1605" s="6">
        <f>IF(OR(A1605="",B1605=""),"",DATE(YEAR(B1605),MONTH(B1605),1))</f>
        <v/>
      </c>
      <c r="L1605" s="7">
        <f>IF(COUNTA(A1605,B1605)=0,"",IF(OR(A1605="",B1605=""),"Preencher CPF e entrada",IF(COUNTIFS($A$12:$A$5011,A1605,$B$12:$B$5011,B1605)&gt;1,"CPF + dia duplicado",IF(OR(AND(E1605&lt;&gt;"",E1605&lt;B1605),AND(F1605&lt;&gt;"",F1605&lt;B1605)),"Evento anterior à entrada",IF(AND(F1605&lt;&gt;"",E1605=""),"Conversa sem agendamento",IF(OR(E1605&gt;TODAY(),F1605&gt;TODAY()),"Verificar evento futuro","OK"))))))</f>
        <v/>
      </c>
    </row>
    <row r="1606" spans="9:12">
      <c r="I1606" s="5">
        <f>IF(OR(A1606="",B1606=""),"",B1606-WEEKDAY(B1606,2)+1)</f>
        <v/>
      </c>
      <c r="J1606" s="5">
        <f>IF(I1606="","",I1606+6)</f>
        <v/>
      </c>
      <c r="K1606" s="6">
        <f>IF(OR(A1606="",B1606=""),"",DATE(YEAR(B1606),MONTH(B1606),1))</f>
        <v/>
      </c>
      <c r="L1606" s="7">
        <f>IF(COUNTA(A1606,B1606)=0,"",IF(OR(A1606="",B1606=""),"Preencher CPF e entrada",IF(COUNTIFS($A$12:$A$5011,A1606,$B$12:$B$5011,B1606)&gt;1,"CPF + dia duplicado",IF(OR(AND(E1606&lt;&gt;"",E1606&lt;B1606),AND(F1606&lt;&gt;"",F1606&lt;B1606)),"Evento anterior à entrada",IF(AND(F1606&lt;&gt;"",E1606=""),"Conversa sem agendamento",IF(OR(E1606&gt;TODAY(),F1606&gt;TODAY()),"Verificar evento futuro","OK"))))))</f>
        <v/>
      </c>
    </row>
    <row r="1607" spans="9:12">
      <c r="I1607" s="5">
        <f>IF(OR(A1607="",B1607=""),"",B1607-WEEKDAY(B1607,2)+1)</f>
        <v/>
      </c>
      <c r="J1607" s="5">
        <f>IF(I1607="","",I1607+6)</f>
        <v/>
      </c>
      <c r="K1607" s="6">
        <f>IF(OR(A1607="",B1607=""),"",DATE(YEAR(B1607),MONTH(B1607),1))</f>
        <v/>
      </c>
      <c r="L1607" s="7">
        <f>IF(COUNTA(A1607,B1607)=0,"",IF(OR(A1607="",B1607=""),"Preencher CPF e entrada",IF(COUNTIFS($A$12:$A$5011,A1607,$B$12:$B$5011,B1607)&gt;1,"CPF + dia duplicado",IF(OR(AND(E1607&lt;&gt;"",E1607&lt;B1607),AND(F1607&lt;&gt;"",F1607&lt;B1607)),"Evento anterior à entrada",IF(AND(F1607&lt;&gt;"",E1607=""),"Conversa sem agendamento",IF(OR(E1607&gt;TODAY(),F1607&gt;TODAY()),"Verificar evento futuro","OK"))))))</f>
        <v/>
      </c>
    </row>
    <row r="1608" spans="9:12">
      <c r="I1608" s="5">
        <f>IF(OR(A1608="",B1608=""),"",B1608-WEEKDAY(B1608,2)+1)</f>
        <v/>
      </c>
      <c r="J1608" s="5">
        <f>IF(I1608="","",I1608+6)</f>
        <v/>
      </c>
      <c r="K1608" s="6">
        <f>IF(OR(A1608="",B1608=""),"",DATE(YEAR(B1608),MONTH(B1608),1))</f>
        <v/>
      </c>
      <c r="L1608" s="7">
        <f>IF(COUNTA(A1608,B1608)=0,"",IF(OR(A1608="",B1608=""),"Preencher CPF e entrada",IF(COUNTIFS($A$12:$A$5011,A1608,$B$12:$B$5011,B1608)&gt;1,"CPF + dia duplicado",IF(OR(AND(E1608&lt;&gt;"",E1608&lt;B1608),AND(F1608&lt;&gt;"",F1608&lt;B1608)),"Evento anterior à entrada",IF(AND(F1608&lt;&gt;"",E1608=""),"Conversa sem agendamento",IF(OR(E1608&gt;TODAY(),F1608&gt;TODAY()),"Verificar evento futuro","OK"))))))</f>
        <v/>
      </c>
    </row>
    <row r="1609" spans="9:12">
      <c r="I1609" s="5">
        <f>IF(OR(A1609="",B1609=""),"",B1609-WEEKDAY(B1609,2)+1)</f>
        <v/>
      </c>
      <c r="J1609" s="5">
        <f>IF(I1609="","",I1609+6)</f>
        <v/>
      </c>
      <c r="K1609" s="6">
        <f>IF(OR(A1609="",B1609=""),"",DATE(YEAR(B1609),MONTH(B1609),1))</f>
        <v/>
      </c>
      <c r="L1609" s="7">
        <f>IF(COUNTA(A1609,B1609)=0,"",IF(OR(A1609="",B1609=""),"Preencher CPF e entrada",IF(COUNTIFS($A$12:$A$5011,A1609,$B$12:$B$5011,B1609)&gt;1,"CPF + dia duplicado",IF(OR(AND(E1609&lt;&gt;"",E1609&lt;B1609),AND(F1609&lt;&gt;"",F1609&lt;B1609)),"Evento anterior à entrada",IF(AND(F1609&lt;&gt;"",E1609=""),"Conversa sem agendamento",IF(OR(E1609&gt;TODAY(),F1609&gt;TODAY()),"Verificar evento futuro","OK"))))))</f>
        <v/>
      </c>
    </row>
    <row r="1610" spans="9:12">
      <c r="I1610" s="5">
        <f>IF(OR(A1610="",B1610=""),"",B1610-WEEKDAY(B1610,2)+1)</f>
        <v/>
      </c>
      <c r="J1610" s="5">
        <f>IF(I1610="","",I1610+6)</f>
        <v/>
      </c>
      <c r="K1610" s="6">
        <f>IF(OR(A1610="",B1610=""),"",DATE(YEAR(B1610),MONTH(B1610),1))</f>
        <v/>
      </c>
      <c r="L1610" s="7">
        <f>IF(COUNTA(A1610,B1610)=0,"",IF(OR(A1610="",B1610=""),"Preencher CPF e entrada",IF(COUNTIFS($A$12:$A$5011,A1610,$B$12:$B$5011,B1610)&gt;1,"CPF + dia duplicado",IF(OR(AND(E1610&lt;&gt;"",E1610&lt;B1610),AND(F1610&lt;&gt;"",F1610&lt;B1610)),"Evento anterior à entrada",IF(AND(F1610&lt;&gt;"",E1610=""),"Conversa sem agendamento",IF(OR(E1610&gt;TODAY(),F1610&gt;TODAY()),"Verificar evento futuro","OK"))))))</f>
        <v/>
      </c>
    </row>
    <row r="1611" spans="9:12">
      <c r="I1611" s="5">
        <f>IF(OR(A1611="",B1611=""),"",B1611-WEEKDAY(B1611,2)+1)</f>
        <v/>
      </c>
      <c r="J1611" s="5">
        <f>IF(I1611="","",I1611+6)</f>
        <v/>
      </c>
      <c r="K1611" s="6">
        <f>IF(OR(A1611="",B1611=""),"",DATE(YEAR(B1611),MONTH(B1611),1))</f>
        <v/>
      </c>
      <c r="L1611" s="7">
        <f>IF(COUNTA(A1611,B1611)=0,"",IF(OR(A1611="",B1611=""),"Preencher CPF e entrada",IF(COUNTIFS($A$12:$A$5011,A1611,$B$12:$B$5011,B1611)&gt;1,"CPF + dia duplicado",IF(OR(AND(E1611&lt;&gt;"",E1611&lt;B1611),AND(F1611&lt;&gt;"",F1611&lt;B1611)),"Evento anterior à entrada",IF(AND(F1611&lt;&gt;"",E1611=""),"Conversa sem agendamento",IF(OR(E1611&gt;TODAY(),F1611&gt;TODAY()),"Verificar evento futuro","OK"))))))</f>
        <v/>
      </c>
    </row>
    <row r="1612" spans="9:12">
      <c r="I1612" s="5">
        <f>IF(OR(A1612="",B1612=""),"",B1612-WEEKDAY(B1612,2)+1)</f>
        <v/>
      </c>
      <c r="J1612" s="5">
        <f>IF(I1612="","",I1612+6)</f>
        <v/>
      </c>
      <c r="K1612" s="6">
        <f>IF(OR(A1612="",B1612=""),"",DATE(YEAR(B1612),MONTH(B1612),1))</f>
        <v/>
      </c>
      <c r="L1612" s="7">
        <f>IF(COUNTA(A1612,B1612)=0,"",IF(OR(A1612="",B1612=""),"Preencher CPF e entrada",IF(COUNTIFS($A$12:$A$5011,A1612,$B$12:$B$5011,B1612)&gt;1,"CPF + dia duplicado",IF(OR(AND(E1612&lt;&gt;"",E1612&lt;B1612),AND(F1612&lt;&gt;"",F1612&lt;B1612)),"Evento anterior à entrada",IF(AND(F1612&lt;&gt;"",E1612=""),"Conversa sem agendamento",IF(OR(E1612&gt;TODAY(),F1612&gt;TODAY()),"Verificar evento futuro","OK"))))))</f>
        <v/>
      </c>
    </row>
    <row r="1613" spans="9:12">
      <c r="I1613" s="5">
        <f>IF(OR(A1613="",B1613=""),"",B1613-WEEKDAY(B1613,2)+1)</f>
        <v/>
      </c>
      <c r="J1613" s="5">
        <f>IF(I1613="","",I1613+6)</f>
        <v/>
      </c>
      <c r="K1613" s="6">
        <f>IF(OR(A1613="",B1613=""),"",DATE(YEAR(B1613),MONTH(B1613),1))</f>
        <v/>
      </c>
      <c r="L1613" s="7">
        <f>IF(COUNTA(A1613,B1613)=0,"",IF(OR(A1613="",B1613=""),"Preencher CPF e entrada",IF(COUNTIFS($A$12:$A$5011,A1613,$B$12:$B$5011,B1613)&gt;1,"CPF + dia duplicado",IF(OR(AND(E1613&lt;&gt;"",E1613&lt;B1613),AND(F1613&lt;&gt;"",F1613&lt;B1613)),"Evento anterior à entrada",IF(AND(F1613&lt;&gt;"",E1613=""),"Conversa sem agendamento",IF(OR(E1613&gt;TODAY(),F1613&gt;TODAY()),"Verificar evento futuro","OK"))))))</f>
        <v/>
      </c>
    </row>
    <row r="1614" spans="9:12">
      <c r="I1614" s="5">
        <f>IF(OR(A1614="",B1614=""),"",B1614-WEEKDAY(B1614,2)+1)</f>
        <v/>
      </c>
      <c r="J1614" s="5">
        <f>IF(I1614="","",I1614+6)</f>
        <v/>
      </c>
      <c r="K1614" s="6">
        <f>IF(OR(A1614="",B1614=""),"",DATE(YEAR(B1614),MONTH(B1614),1))</f>
        <v/>
      </c>
      <c r="L1614" s="7">
        <f>IF(COUNTA(A1614,B1614)=0,"",IF(OR(A1614="",B1614=""),"Preencher CPF e entrada",IF(COUNTIFS($A$12:$A$5011,A1614,$B$12:$B$5011,B1614)&gt;1,"CPF + dia duplicado",IF(OR(AND(E1614&lt;&gt;"",E1614&lt;B1614),AND(F1614&lt;&gt;"",F1614&lt;B1614)),"Evento anterior à entrada",IF(AND(F1614&lt;&gt;"",E1614=""),"Conversa sem agendamento",IF(OR(E1614&gt;TODAY(),F1614&gt;TODAY()),"Verificar evento futuro","OK"))))))</f>
        <v/>
      </c>
    </row>
    <row r="1615" spans="9:12">
      <c r="I1615" s="5">
        <f>IF(OR(A1615="",B1615=""),"",B1615-WEEKDAY(B1615,2)+1)</f>
        <v/>
      </c>
      <c r="J1615" s="5">
        <f>IF(I1615="","",I1615+6)</f>
        <v/>
      </c>
      <c r="K1615" s="6">
        <f>IF(OR(A1615="",B1615=""),"",DATE(YEAR(B1615),MONTH(B1615),1))</f>
        <v/>
      </c>
      <c r="L1615" s="7">
        <f>IF(COUNTA(A1615,B1615)=0,"",IF(OR(A1615="",B1615=""),"Preencher CPF e entrada",IF(COUNTIFS($A$12:$A$5011,A1615,$B$12:$B$5011,B1615)&gt;1,"CPF + dia duplicado",IF(OR(AND(E1615&lt;&gt;"",E1615&lt;B1615),AND(F1615&lt;&gt;"",F1615&lt;B1615)),"Evento anterior à entrada",IF(AND(F1615&lt;&gt;"",E1615=""),"Conversa sem agendamento",IF(OR(E1615&gt;TODAY(),F1615&gt;TODAY()),"Verificar evento futuro","OK"))))))</f>
        <v/>
      </c>
    </row>
    <row r="1616" spans="9:12">
      <c r="I1616" s="5">
        <f>IF(OR(A1616="",B1616=""),"",B1616-WEEKDAY(B1616,2)+1)</f>
        <v/>
      </c>
      <c r="J1616" s="5">
        <f>IF(I1616="","",I1616+6)</f>
        <v/>
      </c>
      <c r="K1616" s="6">
        <f>IF(OR(A1616="",B1616=""),"",DATE(YEAR(B1616),MONTH(B1616),1))</f>
        <v/>
      </c>
      <c r="L1616" s="7">
        <f>IF(COUNTA(A1616,B1616)=0,"",IF(OR(A1616="",B1616=""),"Preencher CPF e entrada",IF(COUNTIFS($A$12:$A$5011,A1616,$B$12:$B$5011,B1616)&gt;1,"CPF + dia duplicado",IF(OR(AND(E1616&lt;&gt;"",E1616&lt;B1616),AND(F1616&lt;&gt;"",F1616&lt;B1616)),"Evento anterior à entrada",IF(AND(F1616&lt;&gt;"",E1616=""),"Conversa sem agendamento",IF(OR(E1616&gt;TODAY(),F1616&gt;TODAY()),"Verificar evento futuro","OK"))))))</f>
        <v/>
      </c>
    </row>
    <row r="1617" spans="9:12">
      <c r="I1617" s="5">
        <f>IF(OR(A1617="",B1617=""),"",B1617-WEEKDAY(B1617,2)+1)</f>
        <v/>
      </c>
      <c r="J1617" s="5">
        <f>IF(I1617="","",I1617+6)</f>
        <v/>
      </c>
      <c r="K1617" s="6">
        <f>IF(OR(A1617="",B1617=""),"",DATE(YEAR(B1617),MONTH(B1617),1))</f>
        <v/>
      </c>
      <c r="L1617" s="7">
        <f>IF(COUNTA(A1617,B1617)=0,"",IF(OR(A1617="",B1617=""),"Preencher CPF e entrada",IF(COUNTIFS($A$12:$A$5011,A1617,$B$12:$B$5011,B1617)&gt;1,"CPF + dia duplicado",IF(OR(AND(E1617&lt;&gt;"",E1617&lt;B1617),AND(F1617&lt;&gt;"",F1617&lt;B1617)),"Evento anterior à entrada",IF(AND(F1617&lt;&gt;"",E1617=""),"Conversa sem agendamento",IF(OR(E1617&gt;TODAY(),F1617&gt;TODAY()),"Verificar evento futuro","OK"))))))</f>
        <v/>
      </c>
    </row>
    <row r="1618" spans="9:12">
      <c r="I1618" s="5">
        <f>IF(OR(A1618="",B1618=""),"",B1618-WEEKDAY(B1618,2)+1)</f>
        <v/>
      </c>
      <c r="J1618" s="5">
        <f>IF(I1618="","",I1618+6)</f>
        <v/>
      </c>
      <c r="K1618" s="6">
        <f>IF(OR(A1618="",B1618=""),"",DATE(YEAR(B1618),MONTH(B1618),1))</f>
        <v/>
      </c>
      <c r="L1618" s="7">
        <f>IF(COUNTA(A1618,B1618)=0,"",IF(OR(A1618="",B1618=""),"Preencher CPF e entrada",IF(COUNTIFS($A$12:$A$5011,A1618,$B$12:$B$5011,B1618)&gt;1,"CPF + dia duplicado",IF(OR(AND(E1618&lt;&gt;"",E1618&lt;B1618),AND(F1618&lt;&gt;"",F1618&lt;B1618)),"Evento anterior à entrada",IF(AND(F1618&lt;&gt;"",E1618=""),"Conversa sem agendamento",IF(OR(E1618&gt;TODAY(),F1618&gt;TODAY()),"Verificar evento futuro","OK"))))))</f>
        <v/>
      </c>
    </row>
    <row r="1619" spans="9:12">
      <c r="I1619" s="5">
        <f>IF(OR(A1619="",B1619=""),"",B1619-WEEKDAY(B1619,2)+1)</f>
        <v/>
      </c>
      <c r="J1619" s="5">
        <f>IF(I1619="","",I1619+6)</f>
        <v/>
      </c>
      <c r="K1619" s="6">
        <f>IF(OR(A1619="",B1619=""),"",DATE(YEAR(B1619),MONTH(B1619),1))</f>
        <v/>
      </c>
      <c r="L1619" s="7">
        <f>IF(COUNTA(A1619,B1619)=0,"",IF(OR(A1619="",B1619=""),"Preencher CPF e entrada",IF(COUNTIFS($A$12:$A$5011,A1619,$B$12:$B$5011,B1619)&gt;1,"CPF + dia duplicado",IF(OR(AND(E1619&lt;&gt;"",E1619&lt;B1619),AND(F1619&lt;&gt;"",F1619&lt;B1619)),"Evento anterior à entrada",IF(AND(F1619&lt;&gt;"",E1619=""),"Conversa sem agendamento",IF(OR(E1619&gt;TODAY(),F1619&gt;TODAY()),"Verificar evento futuro","OK"))))))</f>
        <v/>
      </c>
    </row>
    <row r="1620" spans="9:12">
      <c r="I1620" s="5">
        <f>IF(OR(A1620="",B1620=""),"",B1620-WEEKDAY(B1620,2)+1)</f>
        <v/>
      </c>
      <c r="J1620" s="5">
        <f>IF(I1620="","",I1620+6)</f>
        <v/>
      </c>
      <c r="K1620" s="6">
        <f>IF(OR(A1620="",B1620=""),"",DATE(YEAR(B1620),MONTH(B1620),1))</f>
        <v/>
      </c>
      <c r="L1620" s="7">
        <f>IF(COUNTA(A1620,B1620)=0,"",IF(OR(A1620="",B1620=""),"Preencher CPF e entrada",IF(COUNTIFS($A$12:$A$5011,A1620,$B$12:$B$5011,B1620)&gt;1,"CPF + dia duplicado",IF(OR(AND(E1620&lt;&gt;"",E1620&lt;B1620),AND(F1620&lt;&gt;"",F1620&lt;B1620)),"Evento anterior à entrada",IF(AND(F1620&lt;&gt;"",E1620=""),"Conversa sem agendamento",IF(OR(E1620&gt;TODAY(),F1620&gt;TODAY()),"Verificar evento futuro","OK"))))))</f>
        <v/>
      </c>
    </row>
    <row r="1621" spans="9:12">
      <c r="I1621" s="5">
        <f>IF(OR(A1621="",B1621=""),"",B1621-WEEKDAY(B1621,2)+1)</f>
        <v/>
      </c>
      <c r="J1621" s="5">
        <f>IF(I1621="","",I1621+6)</f>
        <v/>
      </c>
      <c r="K1621" s="6">
        <f>IF(OR(A1621="",B1621=""),"",DATE(YEAR(B1621),MONTH(B1621),1))</f>
        <v/>
      </c>
      <c r="L1621" s="7">
        <f>IF(COUNTA(A1621,B1621)=0,"",IF(OR(A1621="",B1621=""),"Preencher CPF e entrada",IF(COUNTIFS($A$12:$A$5011,A1621,$B$12:$B$5011,B1621)&gt;1,"CPF + dia duplicado",IF(OR(AND(E1621&lt;&gt;"",E1621&lt;B1621),AND(F1621&lt;&gt;"",F1621&lt;B1621)),"Evento anterior à entrada",IF(AND(F1621&lt;&gt;"",E1621=""),"Conversa sem agendamento",IF(OR(E1621&gt;TODAY(),F1621&gt;TODAY()),"Verificar evento futuro","OK"))))))</f>
        <v/>
      </c>
    </row>
    <row r="1622" spans="9:12">
      <c r="I1622" s="5">
        <f>IF(OR(A1622="",B1622=""),"",B1622-WEEKDAY(B1622,2)+1)</f>
        <v/>
      </c>
      <c r="J1622" s="5">
        <f>IF(I1622="","",I1622+6)</f>
        <v/>
      </c>
      <c r="K1622" s="6">
        <f>IF(OR(A1622="",B1622=""),"",DATE(YEAR(B1622),MONTH(B1622),1))</f>
        <v/>
      </c>
      <c r="L1622" s="7">
        <f>IF(COUNTA(A1622,B1622)=0,"",IF(OR(A1622="",B1622=""),"Preencher CPF e entrada",IF(COUNTIFS($A$12:$A$5011,A1622,$B$12:$B$5011,B1622)&gt;1,"CPF + dia duplicado",IF(OR(AND(E1622&lt;&gt;"",E1622&lt;B1622),AND(F1622&lt;&gt;"",F1622&lt;B1622)),"Evento anterior à entrada",IF(AND(F1622&lt;&gt;"",E1622=""),"Conversa sem agendamento",IF(OR(E1622&gt;TODAY(),F1622&gt;TODAY()),"Verificar evento futuro","OK"))))))</f>
        <v/>
      </c>
    </row>
    <row r="1623" spans="9:12">
      <c r="I1623" s="5">
        <f>IF(OR(A1623="",B1623=""),"",B1623-WEEKDAY(B1623,2)+1)</f>
        <v/>
      </c>
      <c r="J1623" s="5">
        <f>IF(I1623="","",I1623+6)</f>
        <v/>
      </c>
      <c r="K1623" s="6">
        <f>IF(OR(A1623="",B1623=""),"",DATE(YEAR(B1623),MONTH(B1623),1))</f>
        <v/>
      </c>
      <c r="L1623" s="7">
        <f>IF(COUNTA(A1623,B1623)=0,"",IF(OR(A1623="",B1623=""),"Preencher CPF e entrada",IF(COUNTIFS($A$12:$A$5011,A1623,$B$12:$B$5011,B1623)&gt;1,"CPF + dia duplicado",IF(OR(AND(E1623&lt;&gt;"",E1623&lt;B1623),AND(F1623&lt;&gt;"",F1623&lt;B1623)),"Evento anterior à entrada",IF(AND(F1623&lt;&gt;"",E1623=""),"Conversa sem agendamento",IF(OR(E1623&gt;TODAY(),F1623&gt;TODAY()),"Verificar evento futuro","OK"))))))</f>
        <v/>
      </c>
    </row>
    <row r="1624" spans="9:12">
      <c r="I1624" s="5">
        <f>IF(OR(A1624="",B1624=""),"",B1624-WEEKDAY(B1624,2)+1)</f>
        <v/>
      </c>
      <c r="J1624" s="5">
        <f>IF(I1624="","",I1624+6)</f>
        <v/>
      </c>
      <c r="K1624" s="6">
        <f>IF(OR(A1624="",B1624=""),"",DATE(YEAR(B1624),MONTH(B1624),1))</f>
        <v/>
      </c>
      <c r="L1624" s="7">
        <f>IF(COUNTA(A1624,B1624)=0,"",IF(OR(A1624="",B1624=""),"Preencher CPF e entrada",IF(COUNTIFS($A$12:$A$5011,A1624,$B$12:$B$5011,B1624)&gt;1,"CPF + dia duplicado",IF(OR(AND(E1624&lt;&gt;"",E1624&lt;B1624),AND(F1624&lt;&gt;"",F1624&lt;B1624)),"Evento anterior à entrada",IF(AND(F1624&lt;&gt;"",E1624=""),"Conversa sem agendamento",IF(OR(E1624&gt;TODAY(),F1624&gt;TODAY()),"Verificar evento futuro","OK"))))))</f>
        <v/>
      </c>
    </row>
    <row r="1625" spans="9:12">
      <c r="I1625" s="5">
        <f>IF(OR(A1625="",B1625=""),"",B1625-WEEKDAY(B1625,2)+1)</f>
        <v/>
      </c>
      <c r="J1625" s="5">
        <f>IF(I1625="","",I1625+6)</f>
        <v/>
      </c>
      <c r="K1625" s="6">
        <f>IF(OR(A1625="",B1625=""),"",DATE(YEAR(B1625),MONTH(B1625),1))</f>
        <v/>
      </c>
      <c r="L1625" s="7">
        <f>IF(COUNTA(A1625,B1625)=0,"",IF(OR(A1625="",B1625=""),"Preencher CPF e entrada",IF(COUNTIFS($A$12:$A$5011,A1625,$B$12:$B$5011,B1625)&gt;1,"CPF + dia duplicado",IF(OR(AND(E1625&lt;&gt;"",E1625&lt;B1625),AND(F1625&lt;&gt;"",F1625&lt;B1625)),"Evento anterior à entrada",IF(AND(F1625&lt;&gt;"",E1625=""),"Conversa sem agendamento",IF(OR(E1625&gt;TODAY(),F1625&gt;TODAY()),"Verificar evento futuro","OK"))))))</f>
        <v/>
      </c>
    </row>
    <row r="1626" spans="9:12">
      <c r="I1626" s="5">
        <f>IF(OR(A1626="",B1626=""),"",B1626-WEEKDAY(B1626,2)+1)</f>
        <v/>
      </c>
      <c r="J1626" s="5">
        <f>IF(I1626="","",I1626+6)</f>
        <v/>
      </c>
      <c r="K1626" s="6">
        <f>IF(OR(A1626="",B1626=""),"",DATE(YEAR(B1626),MONTH(B1626),1))</f>
        <v/>
      </c>
      <c r="L1626" s="7">
        <f>IF(COUNTA(A1626,B1626)=0,"",IF(OR(A1626="",B1626=""),"Preencher CPF e entrada",IF(COUNTIFS($A$12:$A$5011,A1626,$B$12:$B$5011,B1626)&gt;1,"CPF + dia duplicado",IF(OR(AND(E1626&lt;&gt;"",E1626&lt;B1626),AND(F1626&lt;&gt;"",F1626&lt;B1626)),"Evento anterior à entrada",IF(AND(F1626&lt;&gt;"",E1626=""),"Conversa sem agendamento",IF(OR(E1626&gt;TODAY(),F1626&gt;TODAY()),"Verificar evento futuro","OK"))))))</f>
        <v/>
      </c>
    </row>
    <row r="1627" spans="9:12">
      <c r="I1627" s="5">
        <f>IF(OR(A1627="",B1627=""),"",B1627-WEEKDAY(B1627,2)+1)</f>
        <v/>
      </c>
      <c r="J1627" s="5">
        <f>IF(I1627="","",I1627+6)</f>
        <v/>
      </c>
      <c r="K1627" s="6">
        <f>IF(OR(A1627="",B1627=""),"",DATE(YEAR(B1627),MONTH(B1627),1))</f>
        <v/>
      </c>
      <c r="L1627" s="7">
        <f>IF(COUNTA(A1627,B1627)=0,"",IF(OR(A1627="",B1627=""),"Preencher CPF e entrada",IF(COUNTIFS($A$12:$A$5011,A1627,$B$12:$B$5011,B1627)&gt;1,"CPF + dia duplicado",IF(OR(AND(E1627&lt;&gt;"",E1627&lt;B1627),AND(F1627&lt;&gt;"",F1627&lt;B1627)),"Evento anterior à entrada",IF(AND(F1627&lt;&gt;"",E1627=""),"Conversa sem agendamento",IF(OR(E1627&gt;TODAY(),F1627&gt;TODAY()),"Verificar evento futuro","OK"))))))</f>
        <v/>
      </c>
    </row>
    <row r="1628" spans="9:12">
      <c r="I1628" s="5">
        <f>IF(OR(A1628="",B1628=""),"",B1628-WEEKDAY(B1628,2)+1)</f>
        <v/>
      </c>
      <c r="J1628" s="5">
        <f>IF(I1628="","",I1628+6)</f>
        <v/>
      </c>
      <c r="K1628" s="6">
        <f>IF(OR(A1628="",B1628=""),"",DATE(YEAR(B1628),MONTH(B1628),1))</f>
        <v/>
      </c>
      <c r="L1628" s="7">
        <f>IF(COUNTA(A1628,B1628)=0,"",IF(OR(A1628="",B1628=""),"Preencher CPF e entrada",IF(COUNTIFS($A$12:$A$5011,A1628,$B$12:$B$5011,B1628)&gt;1,"CPF + dia duplicado",IF(OR(AND(E1628&lt;&gt;"",E1628&lt;B1628),AND(F1628&lt;&gt;"",F1628&lt;B1628)),"Evento anterior à entrada",IF(AND(F1628&lt;&gt;"",E1628=""),"Conversa sem agendamento",IF(OR(E1628&gt;TODAY(),F1628&gt;TODAY()),"Verificar evento futuro","OK"))))))</f>
        <v/>
      </c>
    </row>
    <row r="1629" spans="9:12">
      <c r="I1629" s="5">
        <f>IF(OR(A1629="",B1629=""),"",B1629-WEEKDAY(B1629,2)+1)</f>
        <v/>
      </c>
      <c r="J1629" s="5">
        <f>IF(I1629="","",I1629+6)</f>
        <v/>
      </c>
      <c r="K1629" s="6">
        <f>IF(OR(A1629="",B1629=""),"",DATE(YEAR(B1629),MONTH(B1629),1))</f>
        <v/>
      </c>
      <c r="L1629" s="7">
        <f>IF(COUNTA(A1629,B1629)=0,"",IF(OR(A1629="",B1629=""),"Preencher CPF e entrada",IF(COUNTIFS($A$12:$A$5011,A1629,$B$12:$B$5011,B1629)&gt;1,"CPF + dia duplicado",IF(OR(AND(E1629&lt;&gt;"",E1629&lt;B1629),AND(F1629&lt;&gt;"",F1629&lt;B1629)),"Evento anterior à entrada",IF(AND(F1629&lt;&gt;"",E1629=""),"Conversa sem agendamento",IF(OR(E1629&gt;TODAY(),F1629&gt;TODAY()),"Verificar evento futuro","OK"))))))</f>
        <v/>
      </c>
    </row>
    <row r="1630" spans="9:12">
      <c r="I1630" s="5">
        <f>IF(OR(A1630="",B1630=""),"",B1630-WEEKDAY(B1630,2)+1)</f>
        <v/>
      </c>
      <c r="J1630" s="5">
        <f>IF(I1630="","",I1630+6)</f>
        <v/>
      </c>
      <c r="K1630" s="6">
        <f>IF(OR(A1630="",B1630=""),"",DATE(YEAR(B1630),MONTH(B1630),1))</f>
        <v/>
      </c>
      <c r="L1630" s="7">
        <f>IF(COUNTA(A1630,B1630)=0,"",IF(OR(A1630="",B1630=""),"Preencher CPF e entrada",IF(COUNTIFS($A$12:$A$5011,A1630,$B$12:$B$5011,B1630)&gt;1,"CPF + dia duplicado",IF(OR(AND(E1630&lt;&gt;"",E1630&lt;B1630),AND(F1630&lt;&gt;"",F1630&lt;B1630)),"Evento anterior à entrada",IF(AND(F1630&lt;&gt;"",E1630=""),"Conversa sem agendamento",IF(OR(E1630&gt;TODAY(),F1630&gt;TODAY()),"Verificar evento futuro","OK"))))))</f>
        <v/>
      </c>
    </row>
    <row r="1631" spans="9:12">
      <c r="I1631" s="5">
        <f>IF(OR(A1631="",B1631=""),"",B1631-WEEKDAY(B1631,2)+1)</f>
        <v/>
      </c>
      <c r="J1631" s="5">
        <f>IF(I1631="","",I1631+6)</f>
        <v/>
      </c>
      <c r="K1631" s="6">
        <f>IF(OR(A1631="",B1631=""),"",DATE(YEAR(B1631),MONTH(B1631),1))</f>
        <v/>
      </c>
      <c r="L1631" s="7">
        <f>IF(COUNTA(A1631,B1631)=0,"",IF(OR(A1631="",B1631=""),"Preencher CPF e entrada",IF(COUNTIFS($A$12:$A$5011,A1631,$B$12:$B$5011,B1631)&gt;1,"CPF + dia duplicado",IF(OR(AND(E1631&lt;&gt;"",E1631&lt;B1631),AND(F1631&lt;&gt;"",F1631&lt;B1631)),"Evento anterior à entrada",IF(AND(F1631&lt;&gt;"",E1631=""),"Conversa sem agendamento",IF(OR(E1631&gt;TODAY(),F1631&gt;TODAY()),"Verificar evento futuro","OK"))))))</f>
        <v/>
      </c>
    </row>
    <row r="1632" spans="9:12">
      <c r="I1632" s="5">
        <f>IF(OR(A1632="",B1632=""),"",B1632-WEEKDAY(B1632,2)+1)</f>
        <v/>
      </c>
      <c r="J1632" s="5">
        <f>IF(I1632="","",I1632+6)</f>
        <v/>
      </c>
      <c r="K1632" s="6">
        <f>IF(OR(A1632="",B1632=""),"",DATE(YEAR(B1632),MONTH(B1632),1))</f>
        <v/>
      </c>
      <c r="L1632" s="7">
        <f>IF(COUNTA(A1632,B1632)=0,"",IF(OR(A1632="",B1632=""),"Preencher CPF e entrada",IF(COUNTIFS($A$12:$A$5011,A1632,$B$12:$B$5011,B1632)&gt;1,"CPF + dia duplicado",IF(OR(AND(E1632&lt;&gt;"",E1632&lt;B1632),AND(F1632&lt;&gt;"",F1632&lt;B1632)),"Evento anterior à entrada",IF(AND(F1632&lt;&gt;"",E1632=""),"Conversa sem agendamento",IF(OR(E1632&gt;TODAY(),F1632&gt;TODAY()),"Verificar evento futuro","OK"))))))</f>
        <v/>
      </c>
    </row>
    <row r="1633" spans="9:12">
      <c r="I1633" s="5">
        <f>IF(OR(A1633="",B1633=""),"",B1633-WEEKDAY(B1633,2)+1)</f>
        <v/>
      </c>
      <c r="J1633" s="5">
        <f>IF(I1633="","",I1633+6)</f>
        <v/>
      </c>
      <c r="K1633" s="6">
        <f>IF(OR(A1633="",B1633=""),"",DATE(YEAR(B1633),MONTH(B1633),1))</f>
        <v/>
      </c>
      <c r="L1633" s="7">
        <f>IF(COUNTA(A1633,B1633)=0,"",IF(OR(A1633="",B1633=""),"Preencher CPF e entrada",IF(COUNTIFS($A$12:$A$5011,A1633,$B$12:$B$5011,B1633)&gt;1,"CPF + dia duplicado",IF(OR(AND(E1633&lt;&gt;"",E1633&lt;B1633),AND(F1633&lt;&gt;"",F1633&lt;B1633)),"Evento anterior à entrada",IF(AND(F1633&lt;&gt;"",E1633=""),"Conversa sem agendamento",IF(OR(E1633&gt;TODAY(),F1633&gt;TODAY()),"Verificar evento futuro","OK"))))))</f>
        <v/>
      </c>
    </row>
    <row r="1634" spans="9:12">
      <c r="I1634" s="5">
        <f>IF(OR(A1634="",B1634=""),"",B1634-WEEKDAY(B1634,2)+1)</f>
        <v/>
      </c>
      <c r="J1634" s="5">
        <f>IF(I1634="","",I1634+6)</f>
        <v/>
      </c>
      <c r="K1634" s="6">
        <f>IF(OR(A1634="",B1634=""),"",DATE(YEAR(B1634),MONTH(B1634),1))</f>
        <v/>
      </c>
      <c r="L1634" s="7">
        <f>IF(COUNTA(A1634,B1634)=0,"",IF(OR(A1634="",B1634=""),"Preencher CPF e entrada",IF(COUNTIFS($A$12:$A$5011,A1634,$B$12:$B$5011,B1634)&gt;1,"CPF + dia duplicado",IF(OR(AND(E1634&lt;&gt;"",E1634&lt;B1634),AND(F1634&lt;&gt;"",F1634&lt;B1634)),"Evento anterior à entrada",IF(AND(F1634&lt;&gt;"",E1634=""),"Conversa sem agendamento",IF(OR(E1634&gt;TODAY(),F1634&gt;TODAY()),"Verificar evento futuro","OK"))))))</f>
        <v/>
      </c>
    </row>
    <row r="1635" spans="9:12">
      <c r="I1635" s="5">
        <f>IF(OR(A1635="",B1635=""),"",B1635-WEEKDAY(B1635,2)+1)</f>
        <v/>
      </c>
      <c r="J1635" s="5">
        <f>IF(I1635="","",I1635+6)</f>
        <v/>
      </c>
      <c r="K1635" s="6">
        <f>IF(OR(A1635="",B1635=""),"",DATE(YEAR(B1635),MONTH(B1635),1))</f>
        <v/>
      </c>
      <c r="L1635" s="7">
        <f>IF(COUNTA(A1635,B1635)=0,"",IF(OR(A1635="",B1635=""),"Preencher CPF e entrada",IF(COUNTIFS($A$12:$A$5011,A1635,$B$12:$B$5011,B1635)&gt;1,"CPF + dia duplicado",IF(OR(AND(E1635&lt;&gt;"",E1635&lt;B1635),AND(F1635&lt;&gt;"",F1635&lt;B1635)),"Evento anterior à entrada",IF(AND(F1635&lt;&gt;"",E1635=""),"Conversa sem agendamento",IF(OR(E1635&gt;TODAY(),F1635&gt;TODAY()),"Verificar evento futuro","OK"))))))</f>
        <v/>
      </c>
    </row>
    <row r="1636" spans="9:12">
      <c r="I1636" s="5">
        <f>IF(OR(A1636="",B1636=""),"",B1636-WEEKDAY(B1636,2)+1)</f>
        <v/>
      </c>
      <c r="J1636" s="5">
        <f>IF(I1636="","",I1636+6)</f>
        <v/>
      </c>
      <c r="K1636" s="6">
        <f>IF(OR(A1636="",B1636=""),"",DATE(YEAR(B1636),MONTH(B1636),1))</f>
        <v/>
      </c>
      <c r="L1636" s="7">
        <f>IF(COUNTA(A1636,B1636)=0,"",IF(OR(A1636="",B1636=""),"Preencher CPF e entrada",IF(COUNTIFS($A$12:$A$5011,A1636,$B$12:$B$5011,B1636)&gt;1,"CPF + dia duplicado",IF(OR(AND(E1636&lt;&gt;"",E1636&lt;B1636),AND(F1636&lt;&gt;"",F1636&lt;B1636)),"Evento anterior à entrada",IF(AND(F1636&lt;&gt;"",E1636=""),"Conversa sem agendamento",IF(OR(E1636&gt;TODAY(),F1636&gt;TODAY()),"Verificar evento futuro","OK"))))))</f>
        <v/>
      </c>
    </row>
    <row r="1637" spans="9:12">
      <c r="I1637" s="5">
        <f>IF(OR(A1637="",B1637=""),"",B1637-WEEKDAY(B1637,2)+1)</f>
        <v/>
      </c>
      <c r="J1637" s="5">
        <f>IF(I1637="","",I1637+6)</f>
        <v/>
      </c>
      <c r="K1637" s="6">
        <f>IF(OR(A1637="",B1637=""),"",DATE(YEAR(B1637),MONTH(B1637),1))</f>
        <v/>
      </c>
      <c r="L1637" s="7">
        <f>IF(COUNTA(A1637,B1637)=0,"",IF(OR(A1637="",B1637=""),"Preencher CPF e entrada",IF(COUNTIFS($A$12:$A$5011,A1637,$B$12:$B$5011,B1637)&gt;1,"CPF + dia duplicado",IF(OR(AND(E1637&lt;&gt;"",E1637&lt;B1637),AND(F1637&lt;&gt;"",F1637&lt;B1637)),"Evento anterior à entrada",IF(AND(F1637&lt;&gt;"",E1637=""),"Conversa sem agendamento",IF(OR(E1637&gt;TODAY(),F1637&gt;TODAY()),"Verificar evento futuro","OK"))))))</f>
        <v/>
      </c>
    </row>
    <row r="1638" spans="9:12">
      <c r="I1638" s="5">
        <f>IF(OR(A1638="",B1638=""),"",B1638-WEEKDAY(B1638,2)+1)</f>
        <v/>
      </c>
      <c r="J1638" s="5">
        <f>IF(I1638="","",I1638+6)</f>
        <v/>
      </c>
      <c r="K1638" s="6">
        <f>IF(OR(A1638="",B1638=""),"",DATE(YEAR(B1638),MONTH(B1638),1))</f>
        <v/>
      </c>
      <c r="L1638" s="7">
        <f>IF(COUNTA(A1638,B1638)=0,"",IF(OR(A1638="",B1638=""),"Preencher CPF e entrada",IF(COUNTIFS($A$12:$A$5011,A1638,$B$12:$B$5011,B1638)&gt;1,"CPF + dia duplicado",IF(OR(AND(E1638&lt;&gt;"",E1638&lt;B1638),AND(F1638&lt;&gt;"",F1638&lt;B1638)),"Evento anterior à entrada",IF(AND(F1638&lt;&gt;"",E1638=""),"Conversa sem agendamento",IF(OR(E1638&gt;TODAY(),F1638&gt;TODAY()),"Verificar evento futuro","OK"))))))</f>
        <v/>
      </c>
    </row>
    <row r="1639" spans="9:12">
      <c r="I1639" s="5">
        <f>IF(OR(A1639="",B1639=""),"",B1639-WEEKDAY(B1639,2)+1)</f>
        <v/>
      </c>
      <c r="J1639" s="5">
        <f>IF(I1639="","",I1639+6)</f>
        <v/>
      </c>
      <c r="K1639" s="6">
        <f>IF(OR(A1639="",B1639=""),"",DATE(YEAR(B1639),MONTH(B1639),1))</f>
        <v/>
      </c>
      <c r="L1639" s="7">
        <f>IF(COUNTA(A1639,B1639)=0,"",IF(OR(A1639="",B1639=""),"Preencher CPF e entrada",IF(COUNTIFS($A$12:$A$5011,A1639,$B$12:$B$5011,B1639)&gt;1,"CPF + dia duplicado",IF(OR(AND(E1639&lt;&gt;"",E1639&lt;B1639),AND(F1639&lt;&gt;"",F1639&lt;B1639)),"Evento anterior à entrada",IF(AND(F1639&lt;&gt;"",E1639=""),"Conversa sem agendamento",IF(OR(E1639&gt;TODAY(),F1639&gt;TODAY()),"Verificar evento futuro","OK"))))))</f>
        <v/>
      </c>
    </row>
    <row r="1640" spans="9:12">
      <c r="I1640" s="5">
        <f>IF(OR(A1640="",B1640=""),"",B1640-WEEKDAY(B1640,2)+1)</f>
        <v/>
      </c>
      <c r="J1640" s="5">
        <f>IF(I1640="","",I1640+6)</f>
        <v/>
      </c>
      <c r="K1640" s="6">
        <f>IF(OR(A1640="",B1640=""),"",DATE(YEAR(B1640),MONTH(B1640),1))</f>
        <v/>
      </c>
      <c r="L1640" s="7">
        <f>IF(COUNTA(A1640,B1640)=0,"",IF(OR(A1640="",B1640=""),"Preencher CPF e entrada",IF(COUNTIFS($A$12:$A$5011,A1640,$B$12:$B$5011,B1640)&gt;1,"CPF + dia duplicado",IF(OR(AND(E1640&lt;&gt;"",E1640&lt;B1640),AND(F1640&lt;&gt;"",F1640&lt;B1640)),"Evento anterior à entrada",IF(AND(F1640&lt;&gt;"",E1640=""),"Conversa sem agendamento",IF(OR(E1640&gt;TODAY(),F1640&gt;TODAY()),"Verificar evento futuro","OK"))))))</f>
        <v/>
      </c>
    </row>
    <row r="1641" spans="9:12">
      <c r="I1641" s="5">
        <f>IF(OR(A1641="",B1641=""),"",B1641-WEEKDAY(B1641,2)+1)</f>
        <v/>
      </c>
      <c r="J1641" s="5">
        <f>IF(I1641="","",I1641+6)</f>
        <v/>
      </c>
      <c r="K1641" s="6">
        <f>IF(OR(A1641="",B1641=""),"",DATE(YEAR(B1641),MONTH(B1641),1))</f>
        <v/>
      </c>
      <c r="L1641" s="7">
        <f>IF(COUNTA(A1641,B1641)=0,"",IF(OR(A1641="",B1641=""),"Preencher CPF e entrada",IF(COUNTIFS($A$12:$A$5011,A1641,$B$12:$B$5011,B1641)&gt;1,"CPF + dia duplicado",IF(OR(AND(E1641&lt;&gt;"",E1641&lt;B1641),AND(F1641&lt;&gt;"",F1641&lt;B1641)),"Evento anterior à entrada",IF(AND(F1641&lt;&gt;"",E1641=""),"Conversa sem agendamento",IF(OR(E1641&gt;TODAY(),F1641&gt;TODAY()),"Verificar evento futuro","OK"))))))</f>
        <v/>
      </c>
    </row>
    <row r="1642" spans="9:12">
      <c r="I1642" s="5">
        <f>IF(OR(A1642="",B1642=""),"",B1642-WEEKDAY(B1642,2)+1)</f>
        <v/>
      </c>
      <c r="J1642" s="5">
        <f>IF(I1642="","",I1642+6)</f>
        <v/>
      </c>
      <c r="K1642" s="6">
        <f>IF(OR(A1642="",B1642=""),"",DATE(YEAR(B1642),MONTH(B1642),1))</f>
        <v/>
      </c>
      <c r="L1642" s="7">
        <f>IF(COUNTA(A1642,B1642)=0,"",IF(OR(A1642="",B1642=""),"Preencher CPF e entrada",IF(COUNTIFS($A$12:$A$5011,A1642,$B$12:$B$5011,B1642)&gt;1,"CPF + dia duplicado",IF(OR(AND(E1642&lt;&gt;"",E1642&lt;B1642),AND(F1642&lt;&gt;"",F1642&lt;B1642)),"Evento anterior à entrada",IF(AND(F1642&lt;&gt;"",E1642=""),"Conversa sem agendamento",IF(OR(E1642&gt;TODAY(),F1642&gt;TODAY()),"Verificar evento futuro","OK"))))))</f>
        <v/>
      </c>
    </row>
    <row r="1643" spans="9:12">
      <c r="I1643" s="5">
        <f>IF(OR(A1643="",B1643=""),"",B1643-WEEKDAY(B1643,2)+1)</f>
        <v/>
      </c>
      <c r="J1643" s="5">
        <f>IF(I1643="","",I1643+6)</f>
        <v/>
      </c>
      <c r="K1643" s="6">
        <f>IF(OR(A1643="",B1643=""),"",DATE(YEAR(B1643),MONTH(B1643),1))</f>
        <v/>
      </c>
      <c r="L1643" s="7">
        <f>IF(COUNTA(A1643,B1643)=0,"",IF(OR(A1643="",B1643=""),"Preencher CPF e entrada",IF(COUNTIFS($A$12:$A$5011,A1643,$B$12:$B$5011,B1643)&gt;1,"CPF + dia duplicado",IF(OR(AND(E1643&lt;&gt;"",E1643&lt;B1643),AND(F1643&lt;&gt;"",F1643&lt;B1643)),"Evento anterior à entrada",IF(AND(F1643&lt;&gt;"",E1643=""),"Conversa sem agendamento",IF(OR(E1643&gt;TODAY(),F1643&gt;TODAY()),"Verificar evento futuro","OK"))))))</f>
        <v/>
      </c>
    </row>
    <row r="1644" spans="9:12">
      <c r="I1644" s="5">
        <f>IF(OR(A1644="",B1644=""),"",B1644-WEEKDAY(B1644,2)+1)</f>
        <v/>
      </c>
      <c r="J1644" s="5">
        <f>IF(I1644="","",I1644+6)</f>
        <v/>
      </c>
      <c r="K1644" s="6">
        <f>IF(OR(A1644="",B1644=""),"",DATE(YEAR(B1644),MONTH(B1644),1))</f>
        <v/>
      </c>
      <c r="L1644" s="7">
        <f>IF(COUNTA(A1644,B1644)=0,"",IF(OR(A1644="",B1644=""),"Preencher CPF e entrada",IF(COUNTIFS($A$12:$A$5011,A1644,$B$12:$B$5011,B1644)&gt;1,"CPF + dia duplicado",IF(OR(AND(E1644&lt;&gt;"",E1644&lt;B1644),AND(F1644&lt;&gt;"",F1644&lt;B1644)),"Evento anterior à entrada",IF(AND(F1644&lt;&gt;"",E1644=""),"Conversa sem agendamento",IF(OR(E1644&gt;TODAY(),F1644&gt;TODAY()),"Verificar evento futuro","OK"))))))</f>
        <v/>
      </c>
    </row>
    <row r="1645" spans="9:12">
      <c r="I1645" s="5">
        <f>IF(OR(A1645="",B1645=""),"",B1645-WEEKDAY(B1645,2)+1)</f>
        <v/>
      </c>
      <c r="J1645" s="5">
        <f>IF(I1645="","",I1645+6)</f>
        <v/>
      </c>
      <c r="K1645" s="6">
        <f>IF(OR(A1645="",B1645=""),"",DATE(YEAR(B1645),MONTH(B1645),1))</f>
        <v/>
      </c>
      <c r="L1645" s="7">
        <f>IF(COUNTA(A1645,B1645)=0,"",IF(OR(A1645="",B1645=""),"Preencher CPF e entrada",IF(COUNTIFS($A$12:$A$5011,A1645,$B$12:$B$5011,B1645)&gt;1,"CPF + dia duplicado",IF(OR(AND(E1645&lt;&gt;"",E1645&lt;B1645),AND(F1645&lt;&gt;"",F1645&lt;B1645)),"Evento anterior à entrada",IF(AND(F1645&lt;&gt;"",E1645=""),"Conversa sem agendamento",IF(OR(E1645&gt;TODAY(),F1645&gt;TODAY()),"Verificar evento futuro","OK"))))))</f>
        <v/>
      </c>
    </row>
    <row r="1646" spans="9:12">
      <c r="I1646" s="5">
        <f>IF(OR(A1646="",B1646=""),"",B1646-WEEKDAY(B1646,2)+1)</f>
        <v/>
      </c>
      <c r="J1646" s="5">
        <f>IF(I1646="","",I1646+6)</f>
        <v/>
      </c>
      <c r="K1646" s="6">
        <f>IF(OR(A1646="",B1646=""),"",DATE(YEAR(B1646),MONTH(B1646),1))</f>
        <v/>
      </c>
      <c r="L1646" s="7">
        <f>IF(COUNTA(A1646,B1646)=0,"",IF(OR(A1646="",B1646=""),"Preencher CPF e entrada",IF(COUNTIFS($A$12:$A$5011,A1646,$B$12:$B$5011,B1646)&gt;1,"CPF + dia duplicado",IF(OR(AND(E1646&lt;&gt;"",E1646&lt;B1646),AND(F1646&lt;&gt;"",F1646&lt;B1646)),"Evento anterior à entrada",IF(AND(F1646&lt;&gt;"",E1646=""),"Conversa sem agendamento",IF(OR(E1646&gt;TODAY(),F1646&gt;TODAY()),"Verificar evento futuro","OK"))))))</f>
        <v/>
      </c>
    </row>
    <row r="1647" spans="9:12">
      <c r="I1647" s="5">
        <f>IF(OR(A1647="",B1647=""),"",B1647-WEEKDAY(B1647,2)+1)</f>
        <v/>
      </c>
      <c r="J1647" s="5">
        <f>IF(I1647="","",I1647+6)</f>
        <v/>
      </c>
      <c r="K1647" s="6">
        <f>IF(OR(A1647="",B1647=""),"",DATE(YEAR(B1647),MONTH(B1647),1))</f>
        <v/>
      </c>
      <c r="L1647" s="7">
        <f>IF(COUNTA(A1647,B1647)=0,"",IF(OR(A1647="",B1647=""),"Preencher CPF e entrada",IF(COUNTIFS($A$12:$A$5011,A1647,$B$12:$B$5011,B1647)&gt;1,"CPF + dia duplicado",IF(OR(AND(E1647&lt;&gt;"",E1647&lt;B1647),AND(F1647&lt;&gt;"",F1647&lt;B1647)),"Evento anterior à entrada",IF(AND(F1647&lt;&gt;"",E1647=""),"Conversa sem agendamento",IF(OR(E1647&gt;TODAY(),F1647&gt;TODAY()),"Verificar evento futuro","OK"))))))</f>
        <v/>
      </c>
    </row>
    <row r="1648" spans="9:12">
      <c r="I1648" s="5">
        <f>IF(OR(A1648="",B1648=""),"",B1648-WEEKDAY(B1648,2)+1)</f>
        <v/>
      </c>
      <c r="J1648" s="5">
        <f>IF(I1648="","",I1648+6)</f>
        <v/>
      </c>
      <c r="K1648" s="6">
        <f>IF(OR(A1648="",B1648=""),"",DATE(YEAR(B1648),MONTH(B1648),1))</f>
        <v/>
      </c>
      <c r="L1648" s="7">
        <f>IF(COUNTA(A1648,B1648)=0,"",IF(OR(A1648="",B1648=""),"Preencher CPF e entrada",IF(COUNTIFS($A$12:$A$5011,A1648,$B$12:$B$5011,B1648)&gt;1,"CPF + dia duplicado",IF(OR(AND(E1648&lt;&gt;"",E1648&lt;B1648),AND(F1648&lt;&gt;"",F1648&lt;B1648)),"Evento anterior à entrada",IF(AND(F1648&lt;&gt;"",E1648=""),"Conversa sem agendamento",IF(OR(E1648&gt;TODAY(),F1648&gt;TODAY()),"Verificar evento futuro","OK"))))))</f>
        <v/>
      </c>
    </row>
    <row r="1649" spans="9:12">
      <c r="I1649" s="5">
        <f>IF(OR(A1649="",B1649=""),"",B1649-WEEKDAY(B1649,2)+1)</f>
        <v/>
      </c>
      <c r="J1649" s="5">
        <f>IF(I1649="","",I1649+6)</f>
        <v/>
      </c>
      <c r="K1649" s="6">
        <f>IF(OR(A1649="",B1649=""),"",DATE(YEAR(B1649),MONTH(B1649),1))</f>
        <v/>
      </c>
      <c r="L1649" s="7">
        <f>IF(COUNTA(A1649,B1649)=0,"",IF(OR(A1649="",B1649=""),"Preencher CPF e entrada",IF(COUNTIFS($A$12:$A$5011,A1649,$B$12:$B$5011,B1649)&gt;1,"CPF + dia duplicado",IF(OR(AND(E1649&lt;&gt;"",E1649&lt;B1649),AND(F1649&lt;&gt;"",F1649&lt;B1649)),"Evento anterior à entrada",IF(AND(F1649&lt;&gt;"",E1649=""),"Conversa sem agendamento",IF(OR(E1649&gt;TODAY(),F1649&gt;TODAY()),"Verificar evento futuro","OK"))))))</f>
        <v/>
      </c>
    </row>
    <row r="1650" spans="9:12">
      <c r="I1650" s="5">
        <f>IF(OR(A1650="",B1650=""),"",B1650-WEEKDAY(B1650,2)+1)</f>
        <v/>
      </c>
      <c r="J1650" s="5">
        <f>IF(I1650="","",I1650+6)</f>
        <v/>
      </c>
      <c r="K1650" s="6">
        <f>IF(OR(A1650="",B1650=""),"",DATE(YEAR(B1650),MONTH(B1650),1))</f>
        <v/>
      </c>
      <c r="L1650" s="7">
        <f>IF(COUNTA(A1650,B1650)=0,"",IF(OR(A1650="",B1650=""),"Preencher CPF e entrada",IF(COUNTIFS($A$12:$A$5011,A1650,$B$12:$B$5011,B1650)&gt;1,"CPF + dia duplicado",IF(OR(AND(E1650&lt;&gt;"",E1650&lt;B1650),AND(F1650&lt;&gt;"",F1650&lt;B1650)),"Evento anterior à entrada",IF(AND(F1650&lt;&gt;"",E1650=""),"Conversa sem agendamento",IF(OR(E1650&gt;TODAY(),F1650&gt;TODAY()),"Verificar evento futuro","OK"))))))</f>
        <v/>
      </c>
    </row>
    <row r="1651" spans="9:12">
      <c r="I1651" s="5">
        <f>IF(OR(A1651="",B1651=""),"",B1651-WEEKDAY(B1651,2)+1)</f>
        <v/>
      </c>
      <c r="J1651" s="5">
        <f>IF(I1651="","",I1651+6)</f>
        <v/>
      </c>
      <c r="K1651" s="6">
        <f>IF(OR(A1651="",B1651=""),"",DATE(YEAR(B1651),MONTH(B1651),1))</f>
        <v/>
      </c>
      <c r="L1651" s="7">
        <f>IF(COUNTA(A1651,B1651)=0,"",IF(OR(A1651="",B1651=""),"Preencher CPF e entrada",IF(COUNTIFS($A$12:$A$5011,A1651,$B$12:$B$5011,B1651)&gt;1,"CPF + dia duplicado",IF(OR(AND(E1651&lt;&gt;"",E1651&lt;B1651),AND(F1651&lt;&gt;"",F1651&lt;B1651)),"Evento anterior à entrada",IF(AND(F1651&lt;&gt;"",E1651=""),"Conversa sem agendamento",IF(OR(E1651&gt;TODAY(),F1651&gt;TODAY()),"Verificar evento futuro","OK"))))))</f>
        <v/>
      </c>
    </row>
    <row r="1652" spans="9:12">
      <c r="I1652" s="5">
        <f>IF(OR(A1652="",B1652=""),"",B1652-WEEKDAY(B1652,2)+1)</f>
        <v/>
      </c>
      <c r="J1652" s="5">
        <f>IF(I1652="","",I1652+6)</f>
        <v/>
      </c>
      <c r="K1652" s="6">
        <f>IF(OR(A1652="",B1652=""),"",DATE(YEAR(B1652),MONTH(B1652),1))</f>
        <v/>
      </c>
      <c r="L1652" s="7">
        <f>IF(COUNTA(A1652,B1652)=0,"",IF(OR(A1652="",B1652=""),"Preencher CPF e entrada",IF(COUNTIFS($A$12:$A$5011,A1652,$B$12:$B$5011,B1652)&gt;1,"CPF + dia duplicado",IF(OR(AND(E1652&lt;&gt;"",E1652&lt;B1652),AND(F1652&lt;&gt;"",F1652&lt;B1652)),"Evento anterior à entrada",IF(AND(F1652&lt;&gt;"",E1652=""),"Conversa sem agendamento",IF(OR(E1652&gt;TODAY(),F1652&gt;TODAY()),"Verificar evento futuro","OK"))))))</f>
        <v/>
      </c>
    </row>
    <row r="1653" spans="9:12">
      <c r="I1653" s="5">
        <f>IF(OR(A1653="",B1653=""),"",B1653-WEEKDAY(B1653,2)+1)</f>
        <v/>
      </c>
      <c r="J1653" s="5">
        <f>IF(I1653="","",I1653+6)</f>
        <v/>
      </c>
      <c r="K1653" s="6">
        <f>IF(OR(A1653="",B1653=""),"",DATE(YEAR(B1653),MONTH(B1653),1))</f>
        <v/>
      </c>
      <c r="L1653" s="7">
        <f>IF(COUNTA(A1653,B1653)=0,"",IF(OR(A1653="",B1653=""),"Preencher CPF e entrada",IF(COUNTIFS($A$12:$A$5011,A1653,$B$12:$B$5011,B1653)&gt;1,"CPF + dia duplicado",IF(OR(AND(E1653&lt;&gt;"",E1653&lt;B1653),AND(F1653&lt;&gt;"",F1653&lt;B1653)),"Evento anterior à entrada",IF(AND(F1653&lt;&gt;"",E1653=""),"Conversa sem agendamento",IF(OR(E1653&gt;TODAY(),F1653&gt;TODAY()),"Verificar evento futuro","OK"))))))</f>
        <v/>
      </c>
    </row>
    <row r="1654" spans="9:12">
      <c r="I1654" s="5">
        <f>IF(OR(A1654="",B1654=""),"",B1654-WEEKDAY(B1654,2)+1)</f>
        <v/>
      </c>
      <c r="J1654" s="5">
        <f>IF(I1654="","",I1654+6)</f>
        <v/>
      </c>
      <c r="K1654" s="6">
        <f>IF(OR(A1654="",B1654=""),"",DATE(YEAR(B1654),MONTH(B1654),1))</f>
        <v/>
      </c>
      <c r="L1654" s="7">
        <f>IF(COUNTA(A1654,B1654)=0,"",IF(OR(A1654="",B1654=""),"Preencher CPF e entrada",IF(COUNTIFS($A$12:$A$5011,A1654,$B$12:$B$5011,B1654)&gt;1,"CPF + dia duplicado",IF(OR(AND(E1654&lt;&gt;"",E1654&lt;B1654),AND(F1654&lt;&gt;"",F1654&lt;B1654)),"Evento anterior à entrada",IF(AND(F1654&lt;&gt;"",E1654=""),"Conversa sem agendamento",IF(OR(E1654&gt;TODAY(),F1654&gt;TODAY()),"Verificar evento futuro","OK"))))))</f>
        <v/>
      </c>
    </row>
    <row r="1655" spans="9:12">
      <c r="I1655" s="5">
        <f>IF(OR(A1655="",B1655=""),"",B1655-WEEKDAY(B1655,2)+1)</f>
        <v/>
      </c>
      <c r="J1655" s="5">
        <f>IF(I1655="","",I1655+6)</f>
        <v/>
      </c>
      <c r="K1655" s="6">
        <f>IF(OR(A1655="",B1655=""),"",DATE(YEAR(B1655),MONTH(B1655),1))</f>
        <v/>
      </c>
      <c r="L1655" s="7">
        <f>IF(COUNTA(A1655,B1655)=0,"",IF(OR(A1655="",B1655=""),"Preencher CPF e entrada",IF(COUNTIFS($A$12:$A$5011,A1655,$B$12:$B$5011,B1655)&gt;1,"CPF + dia duplicado",IF(OR(AND(E1655&lt;&gt;"",E1655&lt;B1655),AND(F1655&lt;&gt;"",F1655&lt;B1655)),"Evento anterior à entrada",IF(AND(F1655&lt;&gt;"",E1655=""),"Conversa sem agendamento",IF(OR(E1655&gt;TODAY(),F1655&gt;TODAY()),"Verificar evento futuro","OK"))))))</f>
        <v/>
      </c>
    </row>
    <row r="1656" spans="9:12">
      <c r="I1656" s="5">
        <f>IF(OR(A1656="",B1656=""),"",B1656-WEEKDAY(B1656,2)+1)</f>
        <v/>
      </c>
      <c r="J1656" s="5">
        <f>IF(I1656="","",I1656+6)</f>
        <v/>
      </c>
      <c r="K1656" s="6">
        <f>IF(OR(A1656="",B1656=""),"",DATE(YEAR(B1656),MONTH(B1656),1))</f>
        <v/>
      </c>
      <c r="L1656" s="7">
        <f>IF(COUNTA(A1656,B1656)=0,"",IF(OR(A1656="",B1656=""),"Preencher CPF e entrada",IF(COUNTIFS($A$12:$A$5011,A1656,$B$12:$B$5011,B1656)&gt;1,"CPF + dia duplicado",IF(OR(AND(E1656&lt;&gt;"",E1656&lt;B1656),AND(F1656&lt;&gt;"",F1656&lt;B1656)),"Evento anterior à entrada",IF(AND(F1656&lt;&gt;"",E1656=""),"Conversa sem agendamento",IF(OR(E1656&gt;TODAY(),F1656&gt;TODAY()),"Verificar evento futuro","OK"))))))</f>
        <v/>
      </c>
    </row>
    <row r="1657" spans="9:12">
      <c r="I1657" s="5">
        <f>IF(OR(A1657="",B1657=""),"",B1657-WEEKDAY(B1657,2)+1)</f>
        <v/>
      </c>
      <c r="J1657" s="5">
        <f>IF(I1657="","",I1657+6)</f>
        <v/>
      </c>
      <c r="K1657" s="6">
        <f>IF(OR(A1657="",B1657=""),"",DATE(YEAR(B1657),MONTH(B1657),1))</f>
        <v/>
      </c>
      <c r="L1657" s="7">
        <f>IF(COUNTA(A1657,B1657)=0,"",IF(OR(A1657="",B1657=""),"Preencher CPF e entrada",IF(COUNTIFS($A$12:$A$5011,A1657,$B$12:$B$5011,B1657)&gt;1,"CPF + dia duplicado",IF(OR(AND(E1657&lt;&gt;"",E1657&lt;B1657),AND(F1657&lt;&gt;"",F1657&lt;B1657)),"Evento anterior à entrada",IF(AND(F1657&lt;&gt;"",E1657=""),"Conversa sem agendamento",IF(OR(E1657&gt;TODAY(),F1657&gt;TODAY()),"Verificar evento futuro","OK"))))))</f>
        <v/>
      </c>
    </row>
    <row r="1658" spans="9:12">
      <c r="I1658" s="5">
        <f>IF(OR(A1658="",B1658=""),"",B1658-WEEKDAY(B1658,2)+1)</f>
        <v/>
      </c>
      <c r="J1658" s="5">
        <f>IF(I1658="","",I1658+6)</f>
        <v/>
      </c>
      <c r="K1658" s="6">
        <f>IF(OR(A1658="",B1658=""),"",DATE(YEAR(B1658),MONTH(B1658),1))</f>
        <v/>
      </c>
      <c r="L1658" s="7">
        <f>IF(COUNTA(A1658,B1658)=0,"",IF(OR(A1658="",B1658=""),"Preencher CPF e entrada",IF(COUNTIFS($A$12:$A$5011,A1658,$B$12:$B$5011,B1658)&gt;1,"CPF + dia duplicado",IF(OR(AND(E1658&lt;&gt;"",E1658&lt;B1658),AND(F1658&lt;&gt;"",F1658&lt;B1658)),"Evento anterior à entrada",IF(AND(F1658&lt;&gt;"",E1658=""),"Conversa sem agendamento",IF(OR(E1658&gt;TODAY(),F1658&gt;TODAY()),"Verificar evento futuro","OK"))))))</f>
        <v/>
      </c>
    </row>
    <row r="1659" spans="9:12">
      <c r="I1659" s="5">
        <f>IF(OR(A1659="",B1659=""),"",B1659-WEEKDAY(B1659,2)+1)</f>
        <v/>
      </c>
      <c r="J1659" s="5">
        <f>IF(I1659="","",I1659+6)</f>
        <v/>
      </c>
      <c r="K1659" s="6">
        <f>IF(OR(A1659="",B1659=""),"",DATE(YEAR(B1659),MONTH(B1659),1))</f>
        <v/>
      </c>
      <c r="L1659" s="7">
        <f>IF(COUNTA(A1659,B1659)=0,"",IF(OR(A1659="",B1659=""),"Preencher CPF e entrada",IF(COUNTIFS($A$12:$A$5011,A1659,$B$12:$B$5011,B1659)&gt;1,"CPF + dia duplicado",IF(OR(AND(E1659&lt;&gt;"",E1659&lt;B1659),AND(F1659&lt;&gt;"",F1659&lt;B1659)),"Evento anterior à entrada",IF(AND(F1659&lt;&gt;"",E1659=""),"Conversa sem agendamento",IF(OR(E1659&gt;TODAY(),F1659&gt;TODAY()),"Verificar evento futuro","OK"))))))</f>
        <v/>
      </c>
    </row>
    <row r="1660" spans="9:12">
      <c r="I1660" s="5">
        <f>IF(OR(A1660="",B1660=""),"",B1660-WEEKDAY(B1660,2)+1)</f>
        <v/>
      </c>
      <c r="J1660" s="5">
        <f>IF(I1660="","",I1660+6)</f>
        <v/>
      </c>
      <c r="K1660" s="6">
        <f>IF(OR(A1660="",B1660=""),"",DATE(YEAR(B1660),MONTH(B1660),1))</f>
        <v/>
      </c>
      <c r="L1660" s="7">
        <f>IF(COUNTA(A1660,B1660)=0,"",IF(OR(A1660="",B1660=""),"Preencher CPF e entrada",IF(COUNTIFS($A$12:$A$5011,A1660,$B$12:$B$5011,B1660)&gt;1,"CPF + dia duplicado",IF(OR(AND(E1660&lt;&gt;"",E1660&lt;B1660),AND(F1660&lt;&gt;"",F1660&lt;B1660)),"Evento anterior à entrada",IF(AND(F1660&lt;&gt;"",E1660=""),"Conversa sem agendamento",IF(OR(E1660&gt;TODAY(),F1660&gt;TODAY()),"Verificar evento futuro","OK"))))))</f>
        <v/>
      </c>
    </row>
    <row r="1661" spans="9:12">
      <c r="I1661" s="5">
        <f>IF(OR(A1661="",B1661=""),"",B1661-WEEKDAY(B1661,2)+1)</f>
        <v/>
      </c>
      <c r="J1661" s="5">
        <f>IF(I1661="","",I1661+6)</f>
        <v/>
      </c>
      <c r="K1661" s="6">
        <f>IF(OR(A1661="",B1661=""),"",DATE(YEAR(B1661),MONTH(B1661),1))</f>
        <v/>
      </c>
      <c r="L1661" s="7">
        <f>IF(COUNTA(A1661,B1661)=0,"",IF(OR(A1661="",B1661=""),"Preencher CPF e entrada",IF(COUNTIFS($A$12:$A$5011,A1661,$B$12:$B$5011,B1661)&gt;1,"CPF + dia duplicado",IF(OR(AND(E1661&lt;&gt;"",E1661&lt;B1661),AND(F1661&lt;&gt;"",F1661&lt;B1661)),"Evento anterior à entrada",IF(AND(F1661&lt;&gt;"",E1661=""),"Conversa sem agendamento",IF(OR(E1661&gt;TODAY(),F1661&gt;TODAY()),"Verificar evento futuro","OK"))))))</f>
        <v/>
      </c>
    </row>
    <row r="1662" spans="9:12">
      <c r="I1662" s="5">
        <f>IF(OR(A1662="",B1662=""),"",B1662-WEEKDAY(B1662,2)+1)</f>
        <v/>
      </c>
      <c r="J1662" s="5">
        <f>IF(I1662="","",I1662+6)</f>
        <v/>
      </c>
      <c r="K1662" s="6">
        <f>IF(OR(A1662="",B1662=""),"",DATE(YEAR(B1662),MONTH(B1662),1))</f>
        <v/>
      </c>
      <c r="L1662" s="7">
        <f>IF(COUNTA(A1662,B1662)=0,"",IF(OR(A1662="",B1662=""),"Preencher CPF e entrada",IF(COUNTIFS($A$12:$A$5011,A1662,$B$12:$B$5011,B1662)&gt;1,"CPF + dia duplicado",IF(OR(AND(E1662&lt;&gt;"",E1662&lt;B1662),AND(F1662&lt;&gt;"",F1662&lt;B1662)),"Evento anterior à entrada",IF(AND(F1662&lt;&gt;"",E1662=""),"Conversa sem agendamento",IF(OR(E1662&gt;TODAY(),F1662&gt;TODAY()),"Verificar evento futuro","OK"))))))</f>
        <v/>
      </c>
    </row>
    <row r="1663" spans="9:12">
      <c r="I1663" s="5">
        <f>IF(OR(A1663="",B1663=""),"",B1663-WEEKDAY(B1663,2)+1)</f>
        <v/>
      </c>
      <c r="J1663" s="5">
        <f>IF(I1663="","",I1663+6)</f>
        <v/>
      </c>
      <c r="K1663" s="6">
        <f>IF(OR(A1663="",B1663=""),"",DATE(YEAR(B1663),MONTH(B1663),1))</f>
        <v/>
      </c>
      <c r="L1663" s="7">
        <f>IF(COUNTA(A1663,B1663)=0,"",IF(OR(A1663="",B1663=""),"Preencher CPF e entrada",IF(COUNTIFS($A$12:$A$5011,A1663,$B$12:$B$5011,B1663)&gt;1,"CPF + dia duplicado",IF(OR(AND(E1663&lt;&gt;"",E1663&lt;B1663),AND(F1663&lt;&gt;"",F1663&lt;B1663)),"Evento anterior à entrada",IF(AND(F1663&lt;&gt;"",E1663=""),"Conversa sem agendamento",IF(OR(E1663&gt;TODAY(),F1663&gt;TODAY()),"Verificar evento futuro","OK"))))))</f>
        <v/>
      </c>
    </row>
    <row r="1664" spans="9:12">
      <c r="I1664" s="5">
        <f>IF(OR(A1664="",B1664=""),"",B1664-WEEKDAY(B1664,2)+1)</f>
        <v/>
      </c>
      <c r="J1664" s="5">
        <f>IF(I1664="","",I1664+6)</f>
        <v/>
      </c>
      <c r="K1664" s="6">
        <f>IF(OR(A1664="",B1664=""),"",DATE(YEAR(B1664),MONTH(B1664),1))</f>
        <v/>
      </c>
      <c r="L1664" s="7">
        <f>IF(COUNTA(A1664,B1664)=0,"",IF(OR(A1664="",B1664=""),"Preencher CPF e entrada",IF(COUNTIFS($A$12:$A$5011,A1664,$B$12:$B$5011,B1664)&gt;1,"CPF + dia duplicado",IF(OR(AND(E1664&lt;&gt;"",E1664&lt;B1664),AND(F1664&lt;&gt;"",F1664&lt;B1664)),"Evento anterior à entrada",IF(AND(F1664&lt;&gt;"",E1664=""),"Conversa sem agendamento",IF(OR(E1664&gt;TODAY(),F1664&gt;TODAY()),"Verificar evento futuro","OK"))))))</f>
        <v/>
      </c>
    </row>
    <row r="1665" spans="9:12">
      <c r="I1665" s="5">
        <f>IF(OR(A1665="",B1665=""),"",B1665-WEEKDAY(B1665,2)+1)</f>
        <v/>
      </c>
      <c r="J1665" s="5">
        <f>IF(I1665="","",I1665+6)</f>
        <v/>
      </c>
      <c r="K1665" s="6">
        <f>IF(OR(A1665="",B1665=""),"",DATE(YEAR(B1665),MONTH(B1665),1))</f>
        <v/>
      </c>
      <c r="L1665" s="7">
        <f>IF(COUNTA(A1665,B1665)=0,"",IF(OR(A1665="",B1665=""),"Preencher CPF e entrada",IF(COUNTIFS($A$12:$A$5011,A1665,$B$12:$B$5011,B1665)&gt;1,"CPF + dia duplicado",IF(OR(AND(E1665&lt;&gt;"",E1665&lt;B1665),AND(F1665&lt;&gt;"",F1665&lt;B1665)),"Evento anterior à entrada",IF(AND(F1665&lt;&gt;"",E1665=""),"Conversa sem agendamento",IF(OR(E1665&gt;TODAY(),F1665&gt;TODAY()),"Verificar evento futuro","OK"))))))</f>
        <v/>
      </c>
    </row>
    <row r="1666" spans="9:12">
      <c r="I1666" s="5">
        <f>IF(OR(A1666="",B1666=""),"",B1666-WEEKDAY(B1666,2)+1)</f>
        <v/>
      </c>
      <c r="J1666" s="5">
        <f>IF(I1666="","",I1666+6)</f>
        <v/>
      </c>
      <c r="K1666" s="6">
        <f>IF(OR(A1666="",B1666=""),"",DATE(YEAR(B1666),MONTH(B1666),1))</f>
        <v/>
      </c>
      <c r="L1666" s="7">
        <f>IF(COUNTA(A1666,B1666)=0,"",IF(OR(A1666="",B1666=""),"Preencher CPF e entrada",IF(COUNTIFS($A$12:$A$5011,A1666,$B$12:$B$5011,B1666)&gt;1,"CPF + dia duplicado",IF(OR(AND(E1666&lt;&gt;"",E1666&lt;B1666),AND(F1666&lt;&gt;"",F1666&lt;B1666)),"Evento anterior à entrada",IF(AND(F1666&lt;&gt;"",E1666=""),"Conversa sem agendamento",IF(OR(E1666&gt;TODAY(),F1666&gt;TODAY()),"Verificar evento futuro","OK"))))))</f>
        <v/>
      </c>
    </row>
    <row r="1667" spans="9:12">
      <c r="I1667" s="5">
        <f>IF(OR(A1667="",B1667=""),"",B1667-WEEKDAY(B1667,2)+1)</f>
        <v/>
      </c>
      <c r="J1667" s="5">
        <f>IF(I1667="","",I1667+6)</f>
        <v/>
      </c>
      <c r="K1667" s="6">
        <f>IF(OR(A1667="",B1667=""),"",DATE(YEAR(B1667),MONTH(B1667),1))</f>
        <v/>
      </c>
      <c r="L1667" s="7">
        <f>IF(COUNTA(A1667,B1667)=0,"",IF(OR(A1667="",B1667=""),"Preencher CPF e entrada",IF(COUNTIFS($A$12:$A$5011,A1667,$B$12:$B$5011,B1667)&gt;1,"CPF + dia duplicado",IF(OR(AND(E1667&lt;&gt;"",E1667&lt;B1667),AND(F1667&lt;&gt;"",F1667&lt;B1667)),"Evento anterior à entrada",IF(AND(F1667&lt;&gt;"",E1667=""),"Conversa sem agendamento",IF(OR(E1667&gt;TODAY(),F1667&gt;TODAY()),"Verificar evento futuro","OK"))))))</f>
        <v/>
      </c>
    </row>
    <row r="1668" spans="9:12">
      <c r="I1668" s="5">
        <f>IF(OR(A1668="",B1668=""),"",B1668-WEEKDAY(B1668,2)+1)</f>
        <v/>
      </c>
      <c r="J1668" s="5">
        <f>IF(I1668="","",I1668+6)</f>
        <v/>
      </c>
      <c r="K1668" s="6">
        <f>IF(OR(A1668="",B1668=""),"",DATE(YEAR(B1668),MONTH(B1668),1))</f>
        <v/>
      </c>
      <c r="L1668" s="7">
        <f>IF(COUNTA(A1668,B1668)=0,"",IF(OR(A1668="",B1668=""),"Preencher CPF e entrada",IF(COUNTIFS($A$12:$A$5011,A1668,$B$12:$B$5011,B1668)&gt;1,"CPF + dia duplicado",IF(OR(AND(E1668&lt;&gt;"",E1668&lt;B1668),AND(F1668&lt;&gt;"",F1668&lt;B1668)),"Evento anterior à entrada",IF(AND(F1668&lt;&gt;"",E1668=""),"Conversa sem agendamento",IF(OR(E1668&gt;TODAY(),F1668&gt;TODAY()),"Verificar evento futuro","OK"))))))</f>
        <v/>
      </c>
    </row>
    <row r="1669" spans="9:12">
      <c r="I1669" s="5">
        <f>IF(OR(A1669="",B1669=""),"",B1669-WEEKDAY(B1669,2)+1)</f>
        <v/>
      </c>
      <c r="J1669" s="5">
        <f>IF(I1669="","",I1669+6)</f>
        <v/>
      </c>
      <c r="K1669" s="6">
        <f>IF(OR(A1669="",B1669=""),"",DATE(YEAR(B1669),MONTH(B1669),1))</f>
        <v/>
      </c>
      <c r="L1669" s="7">
        <f>IF(COUNTA(A1669,B1669)=0,"",IF(OR(A1669="",B1669=""),"Preencher CPF e entrada",IF(COUNTIFS($A$12:$A$5011,A1669,$B$12:$B$5011,B1669)&gt;1,"CPF + dia duplicado",IF(OR(AND(E1669&lt;&gt;"",E1669&lt;B1669),AND(F1669&lt;&gt;"",F1669&lt;B1669)),"Evento anterior à entrada",IF(AND(F1669&lt;&gt;"",E1669=""),"Conversa sem agendamento",IF(OR(E1669&gt;TODAY(),F1669&gt;TODAY()),"Verificar evento futuro","OK"))))))</f>
        <v/>
      </c>
    </row>
    <row r="1670" spans="9:12">
      <c r="I1670" s="5">
        <f>IF(OR(A1670="",B1670=""),"",B1670-WEEKDAY(B1670,2)+1)</f>
        <v/>
      </c>
      <c r="J1670" s="5">
        <f>IF(I1670="","",I1670+6)</f>
        <v/>
      </c>
      <c r="K1670" s="6">
        <f>IF(OR(A1670="",B1670=""),"",DATE(YEAR(B1670),MONTH(B1670),1))</f>
        <v/>
      </c>
      <c r="L1670" s="7">
        <f>IF(COUNTA(A1670,B1670)=0,"",IF(OR(A1670="",B1670=""),"Preencher CPF e entrada",IF(COUNTIFS($A$12:$A$5011,A1670,$B$12:$B$5011,B1670)&gt;1,"CPF + dia duplicado",IF(OR(AND(E1670&lt;&gt;"",E1670&lt;B1670),AND(F1670&lt;&gt;"",F1670&lt;B1670)),"Evento anterior à entrada",IF(AND(F1670&lt;&gt;"",E1670=""),"Conversa sem agendamento",IF(OR(E1670&gt;TODAY(),F1670&gt;TODAY()),"Verificar evento futuro","OK"))))))</f>
        <v/>
      </c>
    </row>
    <row r="1671" spans="9:12">
      <c r="I1671" s="5">
        <f>IF(OR(A1671="",B1671=""),"",B1671-WEEKDAY(B1671,2)+1)</f>
        <v/>
      </c>
      <c r="J1671" s="5">
        <f>IF(I1671="","",I1671+6)</f>
        <v/>
      </c>
      <c r="K1671" s="6">
        <f>IF(OR(A1671="",B1671=""),"",DATE(YEAR(B1671),MONTH(B1671),1))</f>
        <v/>
      </c>
      <c r="L1671" s="7">
        <f>IF(COUNTA(A1671,B1671)=0,"",IF(OR(A1671="",B1671=""),"Preencher CPF e entrada",IF(COUNTIFS($A$12:$A$5011,A1671,$B$12:$B$5011,B1671)&gt;1,"CPF + dia duplicado",IF(OR(AND(E1671&lt;&gt;"",E1671&lt;B1671),AND(F1671&lt;&gt;"",F1671&lt;B1671)),"Evento anterior à entrada",IF(AND(F1671&lt;&gt;"",E1671=""),"Conversa sem agendamento",IF(OR(E1671&gt;TODAY(),F1671&gt;TODAY()),"Verificar evento futuro","OK"))))))</f>
        <v/>
      </c>
    </row>
    <row r="1672" spans="9:12">
      <c r="I1672" s="5">
        <f>IF(OR(A1672="",B1672=""),"",B1672-WEEKDAY(B1672,2)+1)</f>
        <v/>
      </c>
      <c r="J1672" s="5">
        <f>IF(I1672="","",I1672+6)</f>
        <v/>
      </c>
      <c r="K1672" s="6">
        <f>IF(OR(A1672="",B1672=""),"",DATE(YEAR(B1672),MONTH(B1672),1))</f>
        <v/>
      </c>
      <c r="L1672" s="7">
        <f>IF(COUNTA(A1672,B1672)=0,"",IF(OR(A1672="",B1672=""),"Preencher CPF e entrada",IF(COUNTIFS($A$12:$A$5011,A1672,$B$12:$B$5011,B1672)&gt;1,"CPF + dia duplicado",IF(OR(AND(E1672&lt;&gt;"",E1672&lt;B1672),AND(F1672&lt;&gt;"",F1672&lt;B1672)),"Evento anterior à entrada",IF(AND(F1672&lt;&gt;"",E1672=""),"Conversa sem agendamento",IF(OR(E1672&gt;TODAY(),F1672&gt;TODAY()),"Verificar evento futuro","OK"))))))</f>
        <v/>
      </c>
    </row>
    <row r="1673" spans="9:12">
      <c r="I1673" s="5">
        <f>IF(OR(A1673="",B1673=""),"",B1673-WEEKDAY(B1673,2)+1)</f>
        <v/>
      </c>
      <c r="J1673" s="5">
        <f>IF(I1673="","",I1673+6)</f>
        <v/>
      </c>
      <c r="K1673" s="6">
        <f>IF(OR(A1673="",B1673=""),"",DATE(YEAR(B1673),MONTH(B1673),1))</f>
        <v/>
      </c>
      <c r="L1673" s="7">
        <f>IF(COUNTA(A1673,B1673)=0,"",IF(OR(A1673="",B1673=""),"Preencher CPF e entrada",IF(COUNTIFS($A$12:$A$5011,A1673,$B$12:$B$5011,B1673)&gt;1,"CPF + dia duplicado",IF(OR(AND(E1673&lt;&gt;"",E1673&lt;B1673),AND(F1673&lt;&gt;"",F1673&lt;B1673)),"Evento anterior à entrada",IF(AND(F1673&lt;&gt;"",E1673=""),"Conversa sem agendamento",IF(OR(E1673&gt;TODAY(),F1673&gt;TODAY()),"Verificar evento futuro","OK"))))))</f>
        <v/>
      </c>
    </row>
    <row r="1674" spans="9:12">
      <c r="I1674" s="5">
        <f>IF(OR(A1674="",B1674=""),"",B1674-WEEKDAY(B1674,2)+1)</f>
        <v/>
      </c>
      <c r="J1674" s="5">
        <f>IF(I1674="","",I1674+6)</f>
        <v/>
      </c>
      <c r="K1674" s="6">
        <f>IF(OR(A1674="",B1674=""),"",DATE(YEAR(B1674),MONTH(B1674),1))</f>
        <v/>
      </c>
      <c r="L1674" s="7">
        <f>IF(COUNTA(A1674,B1674)=0,"",IF(OR(A1674="",B1674=""),"Preencher CPF e entrada",IF(COUNTIFS($A$12:$A$5011,A1674,$B$12:$B$5011,B1674)&gt;1,"CPF + dia duplicado",IF(OR(AND(E1674&lt;&gt;"",E1674&lt;B1674),AND(F1674&lt;&gt;"",F1674&lt;B1674)),"Evento anterior à entrada",IF(AND(F1674&lt;&gt;"",E1674=""),"Conversa sem agendamento",IF(OR(E1674&gt;TODAY(),F1674&gt;TODAY()),"Verificar evento futuro","OK"))))))</f>
        <v/>
      </c>
    </row>
    <row r="1675" spans="9:12">
      <c r="I1675" s="5">
        <f>IF(OR(A1675="",B1675=""),"",B1675-WEEKDAY(B1675,2)+1)</f>
        <v/>
      </c>
      <c r="J1675" s="5">
        <f>IF(I1675="","",I1675+6)</f>
        <v/>
      </c>
      <c r="K1675" s="6">
        <f>IF(OR(A1675="",B1675=""),"",DATE(YEAR(B1675),MONTH(B1675),1))</f>
        <v/>
      </c>
      <c r="L1675" s="7">
        <f>IF(COUNTA(A1675,B1675)=0,"",IF(OR(A1675="",B1675=""),"Preencher CPF e entrada",IF(COUNTIFS($A$12:$A$5011,A1675,$B$12:$B$5011,B1675)&gt;1,"CPF + dia duplicado",IF(OR(AND(E1675&lt;&gt;"",E1675&lt;B1675),AND(F1675&lt;&gt;"",F1675&lt;B1675)),"Evento anterior à entrada",IF(AND(F1675&lt;&gt;"",E1675=""),"Conversa sem agendamento",IF(OR(E1675&gt;TODAY(),F1675&gt;TODAY()),"Verificar evento futuro","OK"))))))</f>
        <v/>
      </c>
    </row>
    <row r="1676" spans="9:12">
      <c r="I1676" s="5">
        <f>IF(OR(A1676="",B1676=""),"",B1676-WEEKDAY(B1676,2)+1)</f>
        <v/>
      </c>
      <c r="J1676" s="5">
        <f>IF(I1676="","",I1676+6)</f>
        <v/>
      </c>
      <c r="K1676" s="6">
        <f>IF(OR(A1676="",B1676=""),"",DATE(YEAR(B1676),MONTH(B1676),1))</f>
        <v/>
      </c>
      <c r="L1676" s="7">
        <f>IF(COUNTA(A1676,B1676)=0,"",IF(OR(A1676="",B1676=""),"Preencher CPF e entrada",IF(COUNTIFS($A$12:$A$5011,A1676,$B$12:$B$5011,B1676)&gt;1,"CPF + dia duplicado",IF(OR(AND(E1676&lt;&gt;"",E1676&lt;B1676),AND(F1676&lt;&gt;"",F1676&lt;B1676)),"Evento anterior à entrada",IF(AND(F1676&lt;&gt;"",E1676=""),"Conversa sem agendamento",IF(OR(E1676&gt;TODAY(),F1676&gt;TODAY()),"Verificar evento futuro","OK"))))))</f>
        <v/>
      </c>
    </row>
    <row r="1677" spans="9:12">
      <c r="I1677" s="5">
        <f>IF(OR(A1677="",B1677=""),"",B1677-WEEKDAY(B1677,2)+1)</f>
        <v/>
      </c>
      <c r="J1677" s="5">
        <f>IF(I1677="","",I1677+6)</f>
        <v/>
      </c>
      <c r="K1677" s="6">
        <f>IF(OR(A1677="",B1677=""),"",DATE(YEAR(B1677),MONTH(B1677),1))</f>
        <v/>
      </c>
      <c r="L1677" s="7">
        <f>IF(COUNTA(A1677,B1677)=0,"",IF(OR(A1677="",B1677=""),"Preencher CPF e entrada",IF(COUNTIFS($A$12:$A$5011,A1677,$B$12:$B$5011,B1677)&gt;1,"CPF + dia duplicado",IF(OR(AND(E1677&lt;&gt;"",E1677&lt;B1677),AND(F1677&lt;&gt;"",F1677&lt;B1677)),"Evento anterior à entrada",IF(AND(F1677&lt;&gt;"",E1677=""),"Conversa sem agendamento",IF(OR(E1677&gt;TODAY(),F1677&gt;TODAY()),"Verificar evento futuro","OK"))))))</f>
        <v/>
      </c>
    </row>
    <row r="1678" spans="9:12">
      <c r="I1678" s="5">
        <f>IF(OR(A1678="",B1678=""),"",B1678-WEEKDAY(B1678,2)+1)</f>
        <v/>
      </c>
      <c r="J1678" s="5">
        <f>IF(I1678="","",I1678+6)</f>
        <v/>
      </c>
      <c r="K1678" s="6">
        <f>IF(OR(A1678="",B1678=""),"",DATE(YEAR(B1678),MONTH(B1678),1))</f>
        <v/>
      </c>
      <c r="L1678" s="7">
        <f>IF(COUNTA(A1678,B1678)=0,"",IF(OR(A1678="",B1678=""),"Preencher CPF e entrada",IF(COUNTIFS($A$12:$A$5011,A1678,$B$12:$B$5011,B1678)&gt;1,"CPF + dia duplicado",IF(OR(AND(E1678&lt;&gt;"",E1678&lt;B1678),AND(F1678&lt;&gt;"",F1678&lt;B1678)),"Evento anterior à entrada",IF(AND(F1678&lt;&gt;"",E1678=""),"Conversa sem agendamento",IF(OR(E1678&gt;TODAY(),F1678&gt;TODAY()),"Verificar evento futuro","OK"))))))</f>
        <v/>
      </c>
    </row>
    <row r="1679" spans="9:12">
      <c r="I1679" s="5">
        <f>IF(OR(A1679="",B1679=""),"",B1679-WEEKDAY(B1679,2)+1)</f>
        <v/>
      </c>
      <c r="J1679" s="5">
        <f>IF(I1679="","",I1679+6)</f>
        <v/>
      </c>
      <c r="K1679" s="6">
        <f>IF(OR(A1679="",B1679=""),"",DATE(YEAR(B1679),MONTH(B1679),1))</f>
        <v/>
      </c>
      <c r="L1679" s="7">
        <f>IF(COUNTA(A1679,B1679)=0,"",IF(OR(A1679="",B1679=""),"Preencher CPF e entrada",IF(COUNTIFS($A$12:$A$5011,A1679,$B$12:$B$5011,B1679)&gt;1,"CPF + dia duplicado",IF(OR(AND(E1679&lt;&gt;"",E1679&lt;B1679),AND(F1679&lt;&gt;"",F1679&lt;B1679)),"Evento anterior à entrada",IF(AND(F1679&lt;&gt;"",E1679=""),"Conversa sem agendamento",IF(OR(E1679&gt;TODAY(),F1679&gt;TODAY()),"Verificar evento futuro","OK"))))))</f>
        <v/>
      </c>
    </row>
    <row r="1680" spans="9:12">
      <c r="I1680" s="5">
        <f>IF(OR(A1680="",B1680=""),"",B1680-WEEKDAY(B1680,2)+1)</f>
        <v/>
      </c>
      <c r="J1680" s="5">
        <f>IF(I1680="","",I1680+6)</f>
        <v/>
      </c>
      <c r="K1680" s="6">
        <f>IF(OR(A1680="",B1680=""),"",DATE(YEAR(B1680),MONTH(B1680),1))</f>
        <v/>
      </c>
      <c r="L1680" s="7">
        <f>IF(COUNTA(A1680,B1680)=0,"",IF(OR(A1680="",B1680=""),"Preencher CPF e entrada",IF(COUNTIFS($A$12:$A$5011,A1680,$B$12:$B$5011,B1680)&gt;1,"CPF + dia duplicado",IF(OR(AND(E1680&lt;&gt;"",E1680&lt;B1680),AND(F1680&lt;&gt;"",F1680&lt;B1680)),"Evento anterior à entrada",IF(AND(F1680&lt;&gt;"",E1680=""),"Conversa sem agendamento",IF(OR(E1680&gt;TODAY(),F1680&gt;TODAY()),"Verificar evento futuro","OK"))))))</f>
        <v/>
      </c>
    </row>
    <row r="1681" spans="9:12">
      <c r="I1681" s="5">
        <f>IF(OR(A1681="",B1681=""),"",B1681-WEEKDAY(B1681,2)+1)</f>
        <v/>
      </c>
      <c r="J1681" s="5">
        <f>IF(I1681="","",I1681+6)</f>
        <v/>
      </c>
      <c r="K1681" s="6">
        <f>IF(OR(A1681="",B1681=""),"",DATE(YEAR(B1681),MONTH(B1681),1))</f>
        <v/>
      </c>
      <c r="L1681" s="7">
        <f>IF(COUNTA(A1681,B1681)=0,"",IF(OR(A1681="",B1681=""),"Preencher CPF e entrada",IF(COUNTIFS($A$12:$A$5011,A1681,$B$12:$B$5011,B1681)&gt;1,"CPF + dia duplicado",IF(OR(AND(E1681&lt;&gt;"",E1681&lt;B1681),AND(F1681&lt;&gt;"",F1681&lt;B1681)),"Evento anterior à entrada",IF(AND(F1681&lt;&gt;"",E1681=""),"Conversa sem agendamento",IF(OR(E1681&gt;TODAY(),F1681&gt;TODAY()),"Verificar evento futuro","OK"))))))</f>
        <v/>
      </c>
    </row>
    <row r="1682" spans="9:12">
      <c r="I1682" s="5">
        <f>IF(OR(A1682="",B1682=""),"",B1682-WEEKDAY(B1682,2)+1)</f>
        <v/>
      </c>
      <c r="J1682" s="5">
        <f>IF(I1682="","",I1682+6)</f>
        <v/>
      </c>
      <c r="K1682" s="6">
        <f>IF(OR(A1682="",B1682=""),"",DATE(YEAR(B1682),MONTH(B1682),1))</f>
        <v/>
      </c>
      <c r="L1682" s="7">
        <f>IF(COUNTA(A1682,B1682)=0,"",IF(OR(A1682="",B1682=""),"Preencher CPF e entrada",IF(COUNTIFS($A$12:$A$5011,A1682,$B$12:$B$5011,B1682)&gt;1,"CPF + dia duplicado",IF(OR(AND(E1682&lt;&gt;"",E1682&lt;B1682),AND(F1682&lt;&gt;"",F1682&lt;B1682)),"Evento anterior à entrada",IF(AND(F1682&lt;&gt;"",E1682=""),"Conversa sem agendamento",IF(OR(E1682&gt;TODAY(),F1682&gt;TODAY()),"Verificar evento futuro","OK"))))))</f>
        <v/>
      </c>
    </row>
    <row r="1683" spans="9:12">
      <c r="I1683" s="5">
        <f>IF(OR(A1683="",B1683=""),"",B1683-WEEKDAY(B1683,2)+1)</f>
        <v/>
      </c>
      <c r="J1683" s="5">
        <f>IF(I1683="","",I1683+6)</f>
        <v/>
      </c>
      <c r="K1683" s="6">
        <f>IF(OR(A1683="",B1683=""),"",DATE(YEAR(B1683),MONTH(B1683),1))</f>
        <v/>
      </c>
      <c r="L1683" s="7">
        <f>IF(COUNTA(A1683,B1683)=0,"",IF(OR(A1683="",B1683=""),"Preencher CPF e entrada",IF(COUNTIFS($A$12:$A$5011,A1683,$B$12:$B$5011,B1683)&gt;1,"CPF + dia duplicado",IF(OR(AND(E1683&lt;&gt;"",E1683&lt;B1683),AND(F1683&lt;&gt;"",F1683&lt;B1683)),"Evento anterior à entrada",IF(AND(F1683&lt;&gt;"",E1683=""),"Conversa sem agendamento",IF(OR(E1683&gt;TODAY(),F1683&gt;TODAY()),"Verificar evento futuro","OK"))))))</f>
        <v/>
      </c>
    </row>
    <row r="1684" spans="9:12">
      <c r="I1684" s="5">
        <f>IF(OR(A1684="",B1684=""),"",B1684-WEEKDAY(B1684,2)+1)</f>
        <v/>
      </c>
      <c r="J1684" s="5">
        <f>IF(I1684="","",I1684+6)</f>
        <v/>
      </c>
      <c r="K1684" s="6">
        <f>IF(OR(A1684="",B1684=""),"",DATE(YEAR(B1684),MONTH(B1684),1))</f>
        <v/>
      </c>
      <c r="L1684" s="7">
        <f>IF(COUNTA(A1684,B1684)=0,"",IF(OR(A1684="",B1684=""),"Preencher CPF e entrada",IF(COUNTIFS($A$12:$A$5011,A1684,$B$12:$B$5011,B1684)&gt;1,"CPF + dia duplicado",IF(OR(AND(E1684&lt;&gt;"",E1684&lt;B1684),AND(F1684&lt;&gt;"",F1684&lt;B1684)),"Evento anterior à entrada",IF(AND(F1684&lt;&gt;"",E1684=""),"Conversa sem agendamento",IF(OR(E1684&gt;TODAY(),F1684&gt;TODAY()),"Verificar evento futuro","OK"))))))</f>
        <v/>
      </c>
    </row>
    <row r="1685" spans="9:12">
      <c r="I1685" s="5">
        <f>IF(OR(A1685="",B1685=""),"",B1685-WEEKDAY(B1685,2)+1)</f>
        <v/>
      </c>
      <c r="J1685" s="5">
        <f>IF(I1685="","",I1685+6)</f>
        <v/>
      </c>
      <c r="K1685" s="6">
        <f>IF(OR(A1685="",B1685=""),"",DATE(YEAR(B1685),MONTH(B1685),1))</f>
        <v/>
      </c>
      <c r="L1685" s="7">
        <f>IF(COUNTA(A1685,B1685)=0,"",IF(OR(A1685="",B1685=""),"Preencher CPF e entrada",IF(COUNTIFS($A$12:$A$5011,A1685,$B$12:$B$5011,B1685)&gt;1,"CPF + dia duplicado",IF(OR(AND(E1685&lt;&gt;"",E1685&lt;B1685),AND(F1685&lt;&gt;"",F1685&lt;B1685)),"Evento anterior à entrada",IF(AND(F1685&lt;&gt;"",E1685=""),"Conversa sem agendamento",IF(OR(E1685&gt;TODAY(),F1685&gt;TODAY()),"Verificar evento futuro","OK"))))))</f>
        <v/>
      </c>
    </row>
    <row r="1686" spans="9:12">
      <c r="I1686" s="5">
        <f>IF(OR(A1686="",B1686=""),"",B1686-WEEKDAY(B1686,2)+1)</f>
        <v/>
      </c>
      <c r="J1686" s="5">
        <f>IF(I1686="","",I1686+6)</f>
        <v/>
      </c>
      <c r="K1686" s="6">
        <f>IF(OR(A1686="",B1686=""),"",DATE(YEAR(B1686),MONTH(B1686),1))</f>
        <v/>
      </c>
      <c r="L1686" s="7">
        <f>IF(COUNTA(A1686,B1686)=0,"",IF(OR(A1686="",B1686=""),"Preencher CPF e entrada",IF(COUNTIFS($A$12:$A$5011,A1686,$B$12:$B$5011,B1686)&gt;1,"CPF + dia duplicado",IF(OR(AND(E1686&lt;&gt;"",E1686&lt;B1686),AND(F1686&lt;&gt;"",F1686&lt;B1686)),"Evento anterior à entrada",IF(AND(F1686&lt;&gt;"",E1686=""),"Conversa sem agendamento",IF(OR(E1686&gt;TODAY(),F1686&gt;TODAY()),"Verificar evento futuro","OK"))))))</f>
        <v/>
      </c>
    </row>
    <row r="1687" spans="9:12">
      <c r="I1687" s="5">
        <f>IF(OR(A1687="",B1687=""),"",B1687-WEEKDAY(B1687,2)+1)</f>
        <v/>
      </c>
      <c r="J1687" s="5">
        <f>IF(I1687="","",I1687+6)</f>
        <v/>
      </c>
      <c r="K1687" s="6">
        <f>IF(OR(A1687="",B1687=""),"",DATE(YEAR(B1687),MONTH(B1687),1))</f>
        <v/>
      </c>
      <c r="L1687" s="7">
        <f>IF(COUNTA(A1687,B1687)=0,"",IF(OR(A1687="",B1687=""),"Preencher CPF e entrada",IF(COUNTIFS($A$12:$A$5011,A1687,$B$12:$B$5011,B1687)&gt;1,"CPF + dia duplicado",IF(OR(AND(E1687&lt;&gt;"",E1687&lt;B1687),AND(F1687&lt;&gt;"",F1687&lt;B1687)),"Evento anterior à entrada",IF(AND(F1687&lt;&gt;"",E1687=""),"Conversa sem agendamento",IF(OR(E1687&gt;TODAY(),F1687&gt;TODAY()),"Verificar evento futuro","OK"))))))</f>
        <v/>
      </c>
    </row>
    <row r="1688" spans="9:12">
      <c r="I1688" s="5">
        <f>IF(OR(A1688="",B1688=""),"",B1688-WEEKDAY(B1688,2)+1)</f>
        <v/>
      </c>
      <c r="J1688" s="5">
        <f>IF(I1688="","",I1688+6)</f>
        <v/>
      </c>
      <c r="K1688" s="6">
        <f>IF(OR(A1688="",B1688=""),"",DATE(YEAR(B1688),MONTH(B1688),1))</f>
        <v/>
      </c>
      <c r="L1688" s="7">
        <f>IF(COUNTA(A1688,B1688)=0,"",IF(OR(A1688="",B1688=""),"Preencher CPF e entrada",IF(COUNTIFS($A$12:$A$5011,A1688,$B$12:$B$5011,B1688)&gt;1,"CPF + dia duplicado",IF(OR(AND(E1688&lt;&gt;"",E1688&lt;B1688),AND(F1688&lt;&gt;"",F1688&lt;B1688)),"Evento anterior à entrada",IF(AND(F1688&lt;&gt;"",E1688=""),"Conversa sem agendamento",IF(OR(E1688&gt;TODAY(),F1688&gt;TODAY()),"Verificar evento futuro","OK"))))))</f>
        <v/>
      </c>
    </row>
    <row r="1689" spans="9:12">
      <c r="I1689" s="5">
        <f>IF(OR(A1689="",B1689=""),"",B1689-WEEKDAY(B1689,2)+1)</f>
        <v/>
      </c>
      <c r="J1689" s="5">
        <f>IF(I1689="","",I1689+6)</f>
        <v/>
      </c>
      <c r="K1689" s="6">
        <f>IF(OR(A1689="",B1689=""),"",DATE(YEAR(B1689),MONTH(B1689),1))</f>
        <v/>
      </c>
      <c r="L1689" s="7">
        <f>IF(COUNTA(A1689,B1689)=0,"",IF(OR(A1689="",B1689=""),"Preencher CPF e entrada",IF(COUNTIFS($A$12:$A$5011,A1689,$B$12:$B$5011,B1689)&gt;1,"CPF + dia duplicado",IF(OR(AND(E1689&lt;&gt;"",E1689&lt;B1689),AND(F1689&lt;&gt;"",F1689&lt;B1689)),"Evento anterior à entrada",IF(AND(F1689&lt;&gt;"",E1689=""),"Conversa sem agendamento",IF(OR(E1689&gt;TODAY(),F1689&gt;TODAY()),"Verificar evento futuro","OK"))))))</f>
        <v/>
      </c>
    </row>
    <row r="1690" spans="9:12">
      <c r="I1690" s="5">
        <f>IF(OR(A1690="",B1690=""),"",B1690-WEEKDAY(B1690,2)+1)</f>
        <v/>
      </c>
      <c r="J1690" s="5">
        <f>IF(I1690="","",I1690+6)</f>
        <v/>
      </c>
      <c r="K1690" s="6">
        <f>IF(OR(A1690="",B1690=""),"",DATE(YEAR(B1690),MONTH(B1690),1))</f>
        <v/>
      </c>
      <c r="L1690" s="7">
        <f>IF(COUNTA(A1690,B1690)=0,"",IF(OR(A1690="",B1690=""),"Preencher CPF e entrada",IF(COUNTIFS($A$12:$A$5011,A1690,$B$12:$B$5011,B1690)&gt;1,"CPF + dia duplicado",IF(OR(AND(E1690&lt;&gt;"",E1690&lt;B1690),AND(F1690&lt;&gt;"",F1690&lt;B1690)),"Evento anterior à entrada",IF(AND(F1690&lt;&gt;"",E1690=""),"Conversa sem agendamento",IF(OR(E1690&gt;TODAY(),F1690&gt;TODAY()),"Verificar evento futuro","OK"))))))</f>
        <v/>
      </c>
    </row>
    <row r="1691" spans="9:12">
      <c r="I1691" s="5">
        <f>IF(OR(A1691="",B1691=""),"",B1691-WEEKDAY(B1691,2)+1)</f>
        <v/>
      </c>
      <c r="J1691" s="5">
        <f>IF(I1691="","",I1691+6)</f>
        <v/>
      </c>
      <c r="K1691" s="6">
        <f>IF(OR(A1691="",B1691=""),"",DATE(YEAR(B1691),MONTH(B1691),1))</f>
        <v/>
      </c>
      <c r="L1691" s="7">
        <f>IF(COUNTA(A1691,B1691)=0,"",IF(OR(A1691="",B1691=""),"Preencher CPF e entrada",IF(COUNTIFS($A$12:$A$5011,A1691,$B$12:$B$5011,B1691)&gt;1,"CPF + dia duplicado",IF(OR(AND(E1691&lt;&gt;"",E1691&lt;B1691),AND(F1691&lt;&gt;"",F1691&lt;B1691)),"Evento anterior à entrada",IF(AND(F1691&lt;&gt;"",E1691=""),"Conversa sem agendamento",IF(OR(E1691&gt;TODAY(),F1691&gt;TODAY()),"Verificar evento futuro","OK"))))))</f>
        <v/>
      </c>
    </row>
    <row r="1692" spans="9:12">
      <c r="I1692" s="5">
        <f>IF(OR(A1692="",B1692=""),"",B1692-WEEKDAY(B1692,2)+1)</f>
        <v/>
      </c>
      <c r="J1692" s="5">
        <f>IF(I1692="","",I1692+6)</f>
        <v/>
      </c>
      <c r="K1692" s="6">
        <f>IF(OR(A1692="",B1692=""),"",DATE(YEAR(B1692),MONTH(B1692),1))</f>
        <v/>
      </c>
      <c r="L1692" s="7">
        <f>IF(COUNTA(A1692,B1692)=0,"",IF(OR(A1692="",B1692=""),"Preencher CPF e entrada",IF(COUNTIFS($A$12:$A$5011,A1692,$B$12:$B$5011,B1692)&gt;1,"CPF + dia duplicado",IF(OR(AND(E1692&lt;&gt;"",E1692&lt;B1692),AND(F1692&lt;&gt;"",F1692&lt;B1692)),"Evento anterior à entrada",IF(AND(F1692&lt;&gt;"",E1692=""),"Conversa sem agendamento",IF(OR(E1692&gt;TODAY(),F1692&gt;TODAY()),"Verificar evento futuro","OK"))))))</f>
        <v/>
      </c>
    </row>
    <row r="1693" spans="9:12">
      <c r="I1693" s="5">
        <f>IF(OR(A1693="",B1693=""),"",B1693-WEEKDAY(B1693,2)+1)</f>
        <v/>
      </c>
      <c r="J1693" s="5">
        <f>IF(I1693="","",I1693+6)</f>
        <v/>
      </c>
      <c r="K1693" s="6">
        <f>IF(OR(A1693="",B1693=""),"",DATE(YEAR(B1693),MONTH(B1693),1))</f>
        <v/>
      </c>
      <c r="L1693" s="7">
        <f>IF(COUNTA(A1693,B1693)=0,"",IF(OR(A1693="",B1693=""),"Preencher CPF e entrada",IF(COUNTIFS($A$12:$A$5011,A1693,$B$12:$B$5011,B1693)&gt;1,"CPF + dia duplicado",IF(OR(AND(E1693&lt;&gt;"",E1693&lt;B1693),AND(F1693&lt;&gt;"",F1693&lt;B1693)),"Evento anterior à entrada",IF(AND(F1693&lt;&gt;"",E1693=""),"Conversa sem agendamento",IF(OR(E1693&gt;TODAY(),F1693&gt;TODAY()),"Verificar evento futuro","OK"))))))</f>
        <v/>
      </c>
    </row>
    <row r="1694" spans="9:12">
      <c r="I1694" s="5">
        <f>IF(OR(A1694="",B1694=""),"",B1694-WEEKDAY(B1694,2)+1)</f>
        <v/>
      </c>
      <c r="J1694" s="5">
        <f>IF(I1694="","",I1694+6)</f>
        <v/>
      </c>
      <c r="K1694" s="6">
        <f>IF(OR(A1694="",B1694=""),"",DATE(YEAR(B1694),MONTH(B1694),1))</f>
        <v/>
      </c>
      <c r="L1694" s="7">
        <f>IF(COUNTA(A1694,B1694)=0,"",IF(OR(A1694="",B1694=""),"Preencher CPF e entrada",IF(COUNTIFS($A$12:$A$5011,A1694,$B$12:$B$5011,B1694)&gt;1,"CPF + dia duplicado",IF(OR(AND(E1694&lt;&gt;"",E1694&lt;B1694),AND(F1694&lt;&gt;"",F1694&lt;B1694)),"Evento anterior à entrada",IF(AND(F1694&lt;&gt;"",E1694=""),"Conversa sem agendamento",IF(OR(E1694&gt;TODAY(),F1694&gt;TODAY()),"Verificar evento futuro","OK"))))))</f>
        <v/>
      </c>
    </row>
    <row r="1695" spans="9:12">
      <c r="I1695" s="5">
        <f>IF(OR(A1695="",B1695=""),"",B1695-WEEKDAY(B1695,2)+1)</f>
        <v/>
      </c>
      <c r="J1695" s="5">
        <f>IF(I1695="","",I1695+6)</f>
        <v/>
      </c>
      <c r="K1695" s="6">
        <f>IF(OR(A1695="",B1695=""),"",DATE(YEAR(B1695),MONTH(B1695),1))</f>
        <v/>
      </c>
      <c r="L1695" s="7">
        <f>IF(COUNTA(A1695,B1695)=0,"",IF(OR(A1695="",B1695=""),"Preencher CPF e entrada",IF(COUNTIFS($A$12:$A$5011,A1695,$B$12:$B$5011,B1695)&gt;1,"CPF + dia duplicado",IF(OR(AND(E1695&lt;&gt;"",E1695&lt;B1695),AND(F1695&lt;&gt;"",F1695&lt;B1695)),"Evento anterior à entrada",IF(AND(F1695&lt;&gt;"",E1695=""),"Conversa sem agendamento",IF(OR(E1695&gt;TODAY(),F1695&gt;TODAY()),"Verificar evento futuro","OK"))))))</f>
        <v/>
      </c>
    </row>
    <row r="1696" spans="9:12">
      <c r="I1696" s="5">
        <f>IF(OR(A1696="",B1696=""),"",B1696-WEEKDAY(B1696,2)+1)</f>
        <v/>
      </c>
      <c r="J1696" s="5">
        <f>IF(I1696="","",I1696+6)</f>
        <v/>
      </c>
      <c r="K1696" s="6">
        <f>IF(OR(A1696="",B1696=""),"",DATE(YEAR(B1696),MONTH(B1696),1))</f>
        <v/>
      </c>
      <c r="L1696" s="7">
        <f>IF(COUNTA(A1696,B1696)=0,"",IF(OR(A1696="",B1696=""),"Preencher CPF e entrada",IF(COUNTIFS($A$12:$A$5011,A1696,$B$12:$B$5011,B1696)&gt;1,"CPF + dia duplicado",IF(OR(AND(E1696&lt;&gt;"",E1696&lt;B1696),AND(F1696&lt;&gt;"",F1696&lt;B1696)),"Evento anterior à entrada",IF(AND(F1696&lt;&gt;"",E1696=""),"Conversa sem agendamento",IF(OR(E1696&gt;TODAY(),F1696&gt;TODAY()),"Verificar evento futuro","OK"))))))</f>
        <v/>
      </c>
    </row>
    <row r="1697" spans="9:12">
      <c r="I1697" s="5">
        <f>IF(OR(A1697="",B1697=""),"",B1697-WEEKDAY(B1697,2)+1)</f>
        <v/>
      </c>
      <c r="J1697" s="5">
        <f>IF(I1697="","",I1697+6)</f>
        <v/>
      </c>
      <c r="K1697" s="6">
        <f>IF(OR(A1697="",B1697=""),"",DATE(YEAR(B1697),MONTH(B1697),1))</f>
        <v/>
      </c>
      <c r="L1697" s="7">
        <f>IF(COUNTA(A1697,B1697)=0,"",IF(OR(A1697="",B1697=""),"Preencher CPF e entrada",IF(COUNTIFS($A$12:$A$5011,A1697,$B$12:$B$5011,B1697)&gt;1,"CPF + dia duplicado",IF(OR(AND(E1697&lt;&gt;"",E1697&lt;B1697),AND(F1697&lt;&gt;"",F1697&lt;B1697)),"Evento anterior à entrada",IF(AND(F1697&lt;&gt;"",E1697=""),"Conversa sem agendamento",IF(OR(E1697&gt;TODAY(),F1697&gt;TODAY()),"Verificar evento futuro","OK"))))))</f>
        <v/>
      </c>
    </row>
    <row r="1698" spans="9:12">
      <c r="I1698" s="5">
        <f>IF(OR(A1698="",B1698=""),"",B1698-WEEKDAY(B1698,2)+1)</f>
        <v/>
      </c>
      <c r="J1698" s="5">
        <f>IF(I1698="","",I1698+6)</f>
        <v/>
      </c>
      <c r="K1698" s="6">
        <f>IF(OR(A1698="",B1698=""),"",DATE(YEAR(B1698),MONTH(B1698),1))</f>
        <v/>
      </c>
      <c r="L1698" s="7">
        <f>IF(COUNTA(A1698,B1698)=0,"",IF(OR(A1698="",B1698=""),"Preencher CPF e entrada",IF(COUNTIFS($A$12:$A$5011,A1698,$B$12:$B$5011,B1698)&gt;1,"CPF + dia duplicado",IF(OR(AND(E1698&lt;&gt;"",E1698&lt;B1698),AND(F1698&lt;&gt;"",F1698&lt;B1698)),"Evento anterior à entrada",IF(AND(F1698&lt;&gt;"",E1698=""),"Conversa sem agendamento",IF(OR(E1698&gt;TODAY(),F1698&gt;TODAY()),"Verificar evento futuro","OK"))))))</f>
        <v/>
      </c>
    </row>
    <row r="1699" spans="9:12">
      <c r="I1699" s="5">
        <f>IF(OR(A1699="",B1699=""),"",B1699-WEEKDAY(B1699,2)+1)</f>
        <v/>
      </c>
      <c r="J1699" s="5">
        <f>IF(I1699="","",I1699+6)</f>
        <v/>
      </c>
      <c r="K1699" s="6">
        <f>IF(OR(A1699="",B1699=""),"",DATE(YEAR(B1699),MONTH(B1699),1))</f>
        <v/>
      </c>
      <c r="L1699" s="7">
        <f>IF(COUNTA(A1699,B1699)=0,"",IF(OR(A1699="",B1699=""),"Preencher CPF e entrada",IF(COUNTIFS($A$12:$A$5011,A1699,$B$12:$B$5011,B1699)&gt;1,"CPF + dia duplicado",IF(OR(AND(E1699&lt;&gt;"",E1699&lt;B1699),AND(F1699&lt;&gt;"",F1699&lt;B1699)),"Evento anterior à entrada",IF(AND(F1699&lt;&gt;"",E1699=""),"Conversa sem agendamento",IF(OR(E1699&gt;TODAY(),F1699&gt;TODAY()),"Verificar evento futuro","OK"))))))</f>
        <v/>
      </c>
    </row>
    <row r="1700" spans="9:12">
      <c r="I1700" s="5">
        <f>IF(OR(A1700="",B1700=""),"",B1700-WEEKDAY(B1700,2)+1)</f>
        <v/>
      </c>
      <c r="J1700" s="5">
        <f>IF(I1700="","",I1700+6)</f>
        <v/>
      </c>
      <c r="K1700" s="6">
        <f>IF(OR(A1700="",B1700=""),"",DATE(YEAR(B1700),MONTH(B1700),1))</f>
        <v/>
      </c>
      <c r="L1700" s="7">
        <f>IF(COUNTA(A1700,B1700)=0,"",IF(OR(A1700="",B1700=""),"Preencher CPF e entrada",IF(COUNTIFS($A$12:$A$5011,A1700,$B$12:$B$5011,B1700)&gt;1,"CPF + dia duplicado",IF(OR(AND(E1700&lt;&gt;"",E1700&lt;B1700),AND(F1700&lt;&gt;"",F1700&lt;B1700)),"Evento anterior à entrada",IF(AND(F1700&lt;&gt;"",E1700=""),"Conversa sem agendamento",IF(OR(E1700&gt;TODAY(),F1700&gt;TODAY()),"Verificar evento futuro","OK"))))))</f>
        <v/>
      </c>
    </row>
    <row r="1701" spans="9:12">
      <c r="I1701" s="5">
        <f>IF(OR(A1701="",B1701=""),"",B1701-WEEKDAY(B1701,2)+1)</f>
        <v/>
      </c>
      <c r="J1701" s="5">
        <f>IF(I1701="","",I1701+6)</f>
        <v/>
      </c>
      <c r="K1701" s="6">
        <f>IF(OR(A1701="",B1701=""),"",DATE(YEAR(B1701),MONTH(B1701),1))</f>
        <v/>
      </c>
      <c r="L1701" s="7">
        <f>IF(COUNTA(A1701,B1701)=0,"",IF(OR(A1701="",B1701=""),"Preencher CPF e entrada",IF(COUNTIFS($A$12:$A$5011,A1701,$B$12:$B$5011,B1701)&gt;1,"CPF + dia duplicado",IF(OR(AND(E1701&lt;&gt;"",E1701&lt;B1701),AND(F1701&lt;&gt;"",F1701&lt;B1701)),"Evento anterior à entrada",IF(AND(F1701&lt;&gt;"",E1701=""),"Conversa sem agendamento",IF(OR(E1701&gt;TODAY(),F1701&gt;TODAY()),"Verificar evento futuro","OK"))))))</f>
        <v/>
      </c>
    </row>
    <row r="1702" spans="9:12">
      <c r="I1702" s="5">
        <f>IF(OR(A1702="",B1702=""),"",B1702-WEEKDAY(B1702,2)+1)</f>
        <v/>
      </c>
      <c r="J1702" s="5">
        <f>IF(I1702="","",I1702+6)</f>
        <v/>
      </c>
      <c r="K1702" s="6">
        <f>IF(OR(A1702="",B1702=""),"",DATE(YEAR(B1702),MONTH(B1702),1))</f>
        <v/>
      </c>
      <c r="L1702" s="7">
        <f>IF(COUNTA(A1702,B1702)=0,"",IF(OR(A1702="",B1702=""),"Preencher CPF e entrada",IF(COUNTIFS($A$12:$A$5011,A1702,$B$12:$B$5011,B1702)&gt;1,"CPF + dia duplicado",IF(OR(AND(E1702&lt;&gt;"",E1702&lt;B1702),AND(F1702&lt;&gt;"",F1702&lt;B1702)),"Evento anterior à entrada",IF(AND(F1702&lt;&gt;"",E1702=""),"Conversa sem agendamento",IF(OR(E1702&gt;TODAY(),F1702&gt;TODAY()),"Verificar evento futuro","OK"))))))</f>
        <v/>
      </c>
    </row>
    <row r="1703" spans="9:12">
      <c r="I1703" s="5">
        <f>IF(OR(A1703="",B1703=""),"",B1703-WEEKDAY(B1703,2)+1)</f>
        <v/>
      </c>
      <c r="J1703" s="5">
        <f>IF(I1703="","",I1703+6)</f>
        <v/>
      </c>
      <c r="K1703" s="6">
        <f>IF(OR(A1703="",B1703=""),"",DATE(YEAR(B1703),MONTH(B1703),1))</f>
        <v/>
      </c>
      <c r="L1703" s="7">
        <f>IF(COUNTA(A1703,B1703)=0,"",IF(OR(A1703="",B1703=""),"Preencher CPF e entrada",IF(COUNTIFS($A$12:$A$5011,A1703,$B$12:$B$5011,B1703)&gt;1,"CPF + dia duplicado",IF(OR(AND(E1703&lt;&gt;"",E1703&lt;B1703),AND(F1703&lt;&gt;"",F1703&lt;B1703)),"Evento anterior à entrada",IF(AND(F1703&lt;&gt;"",E1703=""),"Conversa sem agendamento",IF(OR(E1703&gt;TODAY(),F1703&gt;TODAY()),"Verificar evento futuro","OK"))))))</f>
        <v/>
      </c>
    </row>
    <row r="1704" spans="9:12">
      <c r="I1704" s="5">
        <f>IF(OR(A1704="",B1704=""),"",B1704-WEEKDAY(B1704,2)+1)</f>
        <v/>
      </c>
      <c r="J1704" s="5">
        <f>IF(I1704="","",I1704+6)</f>
        <v/>
      </c>
      <c r="K1704" s="6">
        <f>IF(OR(A1704="",B1704=""),"",DATE(YEAR(B1704),MONTH(B1704),1))</f>
        <v/>
      </c>
      <c r="L1704" s="7">
        <f>IF(COUNTA(A1704,B1704)=0,"",IF(OR(A1704="",B1704=""),"Preencher CPF e entrada",IF(COUNTIFS($A$12:$A$5011,A1704,$B$12:$B$5011,B1704)&gt;1,"CPF + dia duplicado",IF(OR(AND(E1704&lt;&gt;"",E1704&lt;B1704),AND(F1704&lt;&gt;"",F1704&lt;B1704)),"Evento anterior à entrada",IF(AND(F1704&lt;&gt;"",E1704=""),"Conversa sem agendamento",IF(OR(E1704&gt;TODAY(),F1704&gt;TODAY()),"Verificar evento futuro","OK"))))))</f>
        <v/>
      </c>
    </row>
    <row r="1705" spans="9:12">
      <c r="I1705" s="5">
        <f>IF(OR(A1705="",B1705=""),"",B1705-WEEKDAY(B1705,2)+1)</f>
        <v/>
      </c>
      <c r="J1705" s="5">
        <f>IF(I1705="","",I1705+6)</f>
        <v/>
      </c>
      <c r="K1705" s="6">
        <f>IF(OR(A1705="",B1705=""),"",DATE(YEAR(B1705),MONTH(B1705),1))</f>
        <v/>
      </c>
      <c r="L1705" s="7">
        <f>IF(COUNTA(A1705,B1705)=0,"",IF(OR(A1705="",B1705=""),"Preencher CPF e entrada",IF(COUNTIFS($A$12:$A$5011,A1705,$B$12:$B$5011,B1705)&gt;1,"CPF + dia duplicado",IF(OR(AND(E1705&lt;&gt;"",E1705&lt;B1705),AND(F1705&lt;&gt;"",F1705&lt;B1705)),"Evento anterior à entrada",IF(AND(F1705&lt;&gt;"",E1705=""),"Conversa sem agendamento",IF(OR(E1705&gt;TODAY(),F1705&gt;TODAY()),"Verificar evento futuro","OK"))))))</f>
        <v/>
      </c>
    </row>
    <row r="1706" spans="9:12">
      <c r="I1706" s="5">
        <f>IF(OR(A1706="",B1706=""),"",B1706-WEEKDAY(B1706,2)+1)</f>
        <v/>
      </c>
      <c r="J1706" s="5">
        <f>IF(I1706="","",I1706+6)</f>
        <v/>
      </c>
      <c r="K1706" s="6">
        <f>IF(OR(A1706="",B1706=""),"",DATE(YEAR(B1706),MONTH(B1706),1))</f>
        <v/>
      </c>
      <c r="L1706" s="7">
        <f>IF(COUNTA(A1706,B1706)=0,"",IF(OR(A1706="",B1706=""),"Preencher CPF e entrada",IF(COUNTIFS($A$12:$A$5011,A1706,$B$12:$B$5011,B1706)&gt;1,"CPF + dia duplicado",IF(OR(AND(E1706&lt;&gt;"",E1706&lt;B1706),AND(F1706&lt;&gt;"",F1706&lt;B1706)),"Evento anterior à entrada",IF(AND(F1706&lt;&gt;"",E1706=""),"Conversa sem agendamento",IF(OR(E1706&gt;TODAY(),F1706&gt;TODAY()),"Verificar evento futuro","OK"))))))</f>
        <v/>
      </c>
    </row>
    <row r="1707" spans="9:12">
      <c r="I1707" s="5">
        <f>IF(OR(A1707="",B1707=""),"",B1707-WEEKDAY(B1707,2)+1)</f>
        <v/>
      </c>
      <c r="J1707" s="5">
        <f>IF(I1707="","",I1707+6)</f>
        <v/>
      </c>
      <c r="K1707" s="6">
        <f>IF(OR(A1707="",B1707=""),"",DATE(YEAR(B1707),MONTH(B1707),1))</f>
        <v/>
      </c>
      <c r="L1707" s="7">
        <f>IF(COUNTA(A1707,B1707)=0,"",IF(OR(A1707="",B1707=""),"Preencher CPF e entrada",IF(COUNTIFS($A$12:$A$5011,A1707,$B$12:$B$5011,B1707)&gt;1,"CPF + dia duplicado",IF(OR(AND(E1707&lt;&gt;"",E1707&lt;B1707),AND(F1707&lt;&gt;"",F1707&lt;B1707)),"Evento anterior à entrada",IF(AND(F1707&lt;&gt;"",E1707=""),"Conversa sem agendamento",IF(OR(E1707&gt;TODAY(),F1707&gt;TODAY()),"Verificar evento futuro","OK"))))))</f>
        <v/>
      </c>
    </row>
    <row r="1708" spans="9:12">
      <c r="I1708" s="5">
        <f>IF(OR(A1708="",B1708=""),"",B1708-WEEKDAY(B1708,2)+1)</f>
        <v/>
      </c>
      <c r="J1708" s="5">
        <f>IF(I1708="","",I1708+6)</f>
        <v/>
      </c>
      <c r="K1708" s="6">
        <f>IF(OR(A1708="",B1708=""),"",DATE(YEAR(B1708),MONTH(B1708),1))</f>
        <v/>
      </c>
      <c r="L1708" s="7">
        <f>IF(COUNTA(A1708,B1708)=0,"",IF(OR(A1708="",B1708=""),"Preencher CPF e entrada",IF(COUNTIFS($A$12:$A$5011,A1708,$B$12:$B$5011,B1708)&gt;1,"CPF + dia duplicado",IF(OR(AND(E1708&lt;&gt;"",E1708&lt;B1708),AND(F1708&lt;&gt;"",F1708&lt;B1708)),"Evento anterior à entrada",IF(AND(F1708&lt;&gt;"",E1708=""),"Conversa sem agendamento",IF(OR(E1708&gt;TODAY(),F1708&gt;TODAY()),"Verificar evento futuro","OK"))))))</f>
        <v/>
      </c>
    </row>
    <row r="1709" spans="9:12">
      <c r="I1709" s="5">
        <f>IF(OR(A1709="",B1709=""),"",B1709-WEEKDAY(B1709,2)+1)</f>
        <v/>
      </c>
      <c r="J1709" s="5">
        <f>IF(I1709="","",I1709+6)</f>
        <v/>
      </c>
      <c r="K1709" s="6">
        <f>IF(OR(A1709="",B1709=""),"",DATE(YEAR(B1709),MONTH(B1709),1))</f>
        <v/>
      </c>
      <c r="L1709" s="7">
        <f>IF(COUNTA(A1709,B1709)=0,"",IF(OR(A1709="",B1709=""),"Preencher CPF e entrada",IF(COUNTIFS($A$12:$A$5011,A1709,$B$12:$B$5011,B1709)&gt;1,"CPF + dia duplicado",IF(OR(AND(E1709&lt;&gt;"",E1709&lt;B1709),AND(F1709&lt;&gt;"",F1709&lt;B1709)),"Evento anterior à entrada",IF(AND(F1709&lt;&gt;"",E1709=""),"Conversa sem agendamento",IF(OR(E1709&gt;TODAY(),F1709&gt;TODAY()),"Verificar evento futuro","OK"))))))</f>
        <v/>
      </c>
    </row>
    <row r="1710" spans="9:12">
      <c r="I1710" s="5">
        <f>IF(OR(A1710="",B1710=""),"",B1710-WEEKDAY(B1710,2)+1)</f>
        <v/>
      </c>
      <c r="J1710" s="5">
        <f>IF(I1710="","",I1710+6)</f>
        <v/>
      </c>
      <c r="K1710" s="6">
        <f>IF(OR(A1710="",B1710=""),"",DATE(YEAR(B1710),MONTH(B1710),1))</f>
        <v/>
      </c>
      <c r="L1710" s="7">
        <f>IF(COUNTA(A1710,B1710)=0,"",IF(OR(A1710="",B1710=""),"Preencher CPF e entrada",IF(COUNTIFS($A$12:$A$5011,A1710,$B$12:$B$5011,B1710)&gt;1,"CPF + dia duplicado",IF(OR(AND(E1710&lt;&gt;"",E1710&lt;B1710),AND(F1710&lt;&gt;"",F1710&lt;B1710)),"Evento anterior à entrada",IF(AND(F1710&lt;&gt;"",E1710=""),"Conversa sem agendamento",IF(OR(E1710&gt;TODAY(),F1710&gt;TODAY()),"Verificar evento futuro","OK"))))))</f>
        <v/>
      </c>
    </row>
    <row r="1711" spans="9:12">
      <c r="I1711" s="5">
        <f>IF(OR(A1711="",B1711=""),"",B1711-WEEKDAY(B1711,2)+1)</f>
        <v/>
      </c>
      <c r="J1711" s="5">
        <f>IF(I1711="","",I1711+6)</f>
        <v/>
      </c>
      <c r="K1711" s="6">
        <f>IF(OR(A1711="",B1711=""),"",DATE(YEAR(B1711),MONTH(B1711),1))</f>
        <v/>
      </c>
      <c r="L1711" s="7">
        <f>IF(COUNTA(A1711,B1711)=0,"",IF(OR(A1711="",B1711=""),"Preencher CPF e entrada",IF(COUNTIFS($A$12:$A$5011,A1711,$B$12:$B$5011,B1711)&gt;1,"CPF + dia duplicado",IF(OR(AND(E1711&lt;&gt;"",E1711&lt;B1711),AND(F1711&lt;&gt;"",F1711&lt;B1711)),"Evento anterior à entrada",IF(AND(F1711&lt;&gt;"",E1711=""),"Conversa sem agendamento",IF(OR(E1711&gt;TODAY(),F1711&gt;TODAY()),"Verificar evento futuro","OK"))))))</f>
        <v/>
      </c>
    </row>
    <row r="1712" spans="9:12">
      <c r="I1712" s="5">
        <f>IF(OR(A1712="",B1712=""),"",B1712-WEEKDAY(B1712,2)+1)</f>
        <v/>
      </c>
      <c r="J1712" s="5">
        <f>IF(I1712="","",I1712+6)</f>
        <v/>
      </c>
      <c r="K1712" s="6">
        <f>IF(OR(A1712="",B1712=""),"",DATE(YEAR(B1712),MONTH(B1712),1))</f>
        <v/>
      </c>
      <c r="L1712" s="7">
        <f>IF(COUNTA(A1712,B1712)=0,"",IF(OR(A1712="",B1712=""),"Preencher CPF e entrada",IF(COUNTIFS($A$12:$A$5011,A1712,$B$12:$B$5011,B1712)&gt;1,"CPF + dia duplicado",IF(OR(AND(E1712&lt;&gt;"",E1712&lt;B1712),AND(F1712&lt;&gt;"",F1712&lt;B1712)),"Evento anterior à entrada",IF(AND(F1712&lt;&gt;"",E1712=""),"Conversa sem agendamento",IF(OR(E1712&gt;TODAY(),F1712&gt;TODAY()),"Verificar evento futuro","OK"))))))</f>
        <v/>
      </c>
    </row>
    <row r="1713" spans="9:12">
      <c r="I1713" s="5">
        <f>IF(OR(A1713="",B1713=""),"",B1713-WEEKDAY(B1713,2)+1)</f>
        <v/>
      </c>
      <c r="J1713" s="5">
        <f>IF(I1713="","",I1713+6)</f>
        <v/>
      </c>
      <c r="K1713" s="6">
        <f>IF(OR(A1713="",B1713=""),"",DATE(YEAR(B1713),MONTH(B1713),1))</f>
        <v/>
      </c>
      <c r="L1713" s="7">
        <f>IF(COUNTA(A1713,B1713)=0,"",IF(OR(A1713="",B1713=""),"Preencher CPF e entrada",IF(COUNTIFS($A$12:$A$5011,A1713,$B$12:$B$5011,B1713)&gt;1,"CPF + dia duplicado",IF(OR(AND(E1713&lt;&gt;"",E1713&lt;B1713),AND(F1713&lt;&gt;"",F1713&lt;B1713)),"Evento anterior à entrada",IF(AND(F1713&lt;&gt;"",E1713=""),"Conversa sem agendamento",IF(OR(E1713&gt;TODAY(),F1713&gt;TODAY()),"Verificar evento futuro","OK"))))))</f>
        <v/>
      </c>
    </row>
    <row r="1714" spans="9:12">
      <c r="I1714" s="5">
        <f>IF(OR(A1714="",B1714=""),"",B1714-WEEKDAY(B1714,2)+1)</f>
        <v/>
      </c>
      <c r="J1714" s="5">
        <f>IF(I1714="","",I1714+6)</f>
        <v/>
      </c>
      <c r="K1714" s="6">
        <f>IF(OR(A1714="",B1714=""),"",DATE(YEAR(B1714),MONTH(B1714),1))</f>
        <v/>
      </c>
      <c r="L1714" s="7">
        <f>IF(COUNTA(A1714,B1714)=0,"",IF(OR(A1714="",B1714=""),"Preencher CPF e entrada",IF(COUNTIFS($A$12:$A$5011,A1714,$B$12:$B$5011,B1714)&gt;1,"CPF + dia duplicado",IF(OR(AND(E1714&lt;&gt;"",E1714&lt;B1714),AND(F1714&lt;&gt;"",F1714&lt;B1714)),"Evento anterior à entrada",IF(AND(F1714&lt;&gt;"",E1714=""),"Conversa sem agendamento",IF(OR(E1714&gt;TODAY(),F1714&gt;TODAY()),"Verificar evento futuro","OK"))))))</f>
        <v/>
      </c>
    </row>
    <row r="1715" spans="9:12">
      <c r="I1715" s="5">
        <f>IF(OR(A1715="",B1715=""),"",B1715-WEEKDAY(B1715,2)+1)</f>
        <v/>
      </c>
      <c r="J1715" s="5">
        <f>IF(I1715="","",I1715+6)</f>
        <v/>
      </c>
      <c r="K1715" s="6">
        <f>IF(OR(A1715="",B1715=""),"",DATE(YEAR(B1715),MONTH(B1715),1))</f>
        <v/>
      </c>
      <c r="L1715" s="7">
        <f>IF(COUNTA(A1715,B1715)=0,"",IF(OR(A1715="",B1715=""),"Preencher CPF e entrada",IF(COUNTIFS($A$12:$A$5011,A1715,$B$12:$B$5011,B1715)&gt;1,"CPF + dia duplicado",IF(OR(AND(E1715&lt;&gt;"",E1715&lt;B1715),AND(F1715&lt;&gt;"",F1715&lt;B1715)),"Evento anterior à entrada",IF(AND(F1715&lt;&gt;"",E1715=""),"Conversa sem agendamento",IF(OR(E1715&gt;TODAY(),F1715&gt;TODAY()),"Verificar evento futuro","OK"))))))</f>
        <v/>
      </c>
    </row>
    <row r="1716" spans="9:12">
      <c r="I1716" s="5">
        <f>IF(OR(A1716="",B1716=""),"",B1716-WEEKDAY(B1716,2)+1)</f>
        <v/>
      </c>
      <c r="J1716" s="5">
        <f>IF(I1716="","",I1716+6)</f>
        <v/>
      </c>
      <c r="K1716" s="6">
        <f>IF(OR(A1716="",B1716=""),"",DATE(YEAR(B1716),MONTH(B1716),1))</f>
        <v/>
      </c>
      <c r="L1716" s="7">
        <f>IF(COUNTA(A1716,B1716)=0,"",IF(OR(A1716="",B1716=""),"Preencher CPF e entrada",IF(COUNTIFS($A$12:$A$5011,A1716,$B$12:$B$5011,B1716)&gt;1,"CPF + dia duplicado",IF(OR(AND(E1716&lt;&gt;"",E1716&lt;B1716),AND(F1716&lt;&gt;"",F1716&lt;B1716)),"Evento anterior à entrada",IF(AND(F1716&lt;&gt;"",E1716=""),"Conversa sem agendamento",IF(OR(E1716&gt;TODAY(),F1716&gt;TODAY()),"Verificar evento futuro","OK"))))))</f>
        <v/>
      </c>
    </row>
    <row r="1717" spans="9:12">
      <c r="I1717" s="5">
        <f>IF(OR(A1717="",B1717=""),"",B1717-WEEKDAY(B1717,2)+1)</f>
        <v/>
      </c>
      <c r="J1717" s="5">
        <f>IF(I1717="","",I1717+6)</f>
        <v/>
      </c>
      <c r="K1717" s="6">
        <f>IF(OR(A1717="",B1717=""),"",DATE(YEAR(B1717),MONTH(B1717),1))</f>
        <v/>
      </c>
      <c r="L1717" s="7">
        <f>IF(COUNTA(A1717,B1717)=0,"",IF(OR(A1717="",B1717=""),"Preencher CPF e entrada",IF(COUNTIFS($A$12:$A$5011,A1717,$B$12:$B$5011,B1717)&gt;1,"CPF + dia duplicado",IF(OR(AND(E1717&lt;&gt;"",E1717&lt;B1717),AND(F1717&lt;&gt;"",F1717&lt;B1717)),"Evento anterior à entrada",IF(AND(F1717&lt;&gt;"",E1717=""),"Conversa sem agendamento",IF(OR(E1717&gt;TODAY(),F1717&gt;TODAY()),"Verificar evento futuro","OK"))))))</f>
        <v/>
      </c>
    </row>
    <row r="1718" spans="9:12">
      <c r="I1718" s="5">
        <f>IF(OR(A1718="",B1718=""),"",B1718-WEEKDAY(B1718,2)+1)</f>
        <v/>
      </c>
      <c r="J1718" s="5">
        <f>IF(I1718="","",I1718+6)</f>
        <v/>
      </c>
      <c r="K1718" s="6">
        <f>IF(OR(A1718="",B1718=""),"",DATE(YEAR(B1718),MONTH(B1718),1))</f>
        <v/>
      </c>
      <c r="L1718" s="7">
        <f>IF(COUNTA(A1718,B1718)=0,"",IF(OR(A1718="",B1718=""),"Preencher CPF e entrada",IF(COUNTIFS($A$12:$A$5011,A1718,$B$12:$B$5011,B1718)&gt;1,"CPF + dia duplicado",IF(OR(AND(E1718&lt;&gt;"",E1718&lt;B1718),AND(F1718&lt;&gt;"",F1718&lt;B1718)),"Evento anterior à entrada",IF(AND(F1718&lt;&gt;"",E1718=""),"Conversa sem agendamento",IF(OR(E1718&gt;TODAY(),F1718&gt;TODAY()),"Verificar evento futuro","OK"))))))</f>
        <v/>
      </c>
    </row>
    <row r="1719" spans="9:12">
      <c r="I1719" s="5">
        <f>IF(OR(A1719="",B1719=""),"",B1719-WEEKDAY(B1719,2)+1)</f>
        <v/>
      </c>
      <c r="J1719" s="5">
        <f>IF(I1719="","",I1719+6)</f>
        <v/>
      </c>
      <c r="K1719" s="6">
        <f>IF(OR(A1719="",B1719=""),"",DATE(YEAR(B1719),MONTH(B1719),1))</f>
        <v/>
      </c>
      <c r="L1719" s="7">
        <f>IF(COUNTA(A1719,B1719)=0,"",IF(OR(A1719="",B1719=""),"Preencher CPF e entrada",IF(COUNTIFS($A$12:$A$5011,A1719,$B$12:$B$5011,B1719)&gt;1,"CPF + dia duplicado",IF(OR(AND(E1719&lt;&gt;"",E1719&lt;B1719),AND(F1719&lt;&gt;"",F1719&lt;B1719)),"Evento anterior à entrada",IF(AND(F1719&lt;&gt;"",E1719=""),"Conversa sem agendamento",IF(OR(E1719&gt;TODAY(),F1719&gt;TODAY()),"Verificar evento futuro","OK"))))))</f>
        <v/>
      </c>
    </row>
    <row r="1720" spans="9:12">
      <c r="I1720" s="5">
        <f>IF(OR(A1720="",B1720=""),"",B1720-WEEKDAY(B1720,2)+1)</f>
        <v/>
      </c>
      <c r="J1720" s="5">
        <f>IF(I1720="","",I1720+6)</f>
        <v/>
      </c>
      <c r="K1720" s="6">
        <f>IF(OR(A1720="",B1720=""),"",DATE(YEAR(B1720),MONTH(B1720),1))</f>
        <v/>
      </c>
      <c r="L1720" s="7">
        <f>IF(COUNTA(A1720,B1720)=0,"",IF(OR(A1720="",B1720=""),"Preencher CPF e entrada",IF(COUNTIFS($A$12:$A$5011,A1720,$B$12:$B$5011,B1720)&gt;1,"CPF + dia duplicado",IF(OR(AND(E1720&lt;&gt;"",E1720&lt;B1720),AND(F1720&lt;&gt;"",F1720&lt;B1720)),"Evento anterior à entrada",IF(AND(F1720&lt;&gt;"",E1720=""),"Conversa sem agendamento",IF(OR(E1720&gt;TODAY(),F1720&gt;TODAY()),"Verificar evento futuro","OK"))))))</f>
        <v/>
      </c>
    </row>
    <row r="1721" spans="9:12">
      <c r="I1721" s="5">
        <f>IF(OR(A1721="",B1721=""),"",B1721-WEEKDAY(B1721,2)+1)</f>
        <v/>
      </c>
      <c r="J1721" s="5">
        <f>IF(I1721="","",I1721+6)</f>
        <v/>
      </c>
      <c r="K1721" s="6">
        <f>IF(OR(A1721="",B1721=""),"",DATE(YEAR(B1721),MONTH(B1721),1))</f>
        <v/>
      </c>
      <c r="L1721" s="7">
        <f>IF(COUNTA(A1721,B1721)=0,"",IF(OR(A1721="",B1721=""),"Preencher CPF e entrada",IF(COUNTIFS($A$12:$A$5011,A1721,$B$12:$B$5011,B1721)&gt;1,"CPF + dia duplicado",IF(OR(AND(E1721&lt;&gt;"",E1721&lt;B1721),AND(F1721&lt;&gt;"",F1721&lt;B1721)),"Evento anterior à entrada",IF(AND(F1721&lt;&gt;"",E1721=""),"Conversa sem agendamento",IF(OR(E1721&gt;TODAY(),F1721&gt;TODAY()),"Verificar evento futuro","OK"))))))</f>
        <v/>
      </c>
    </row>
    <row r="1722" spans="9:12">
      <c r="I1722" s="5">
        <f>IF(OR(A1722="",B1722=""),"",B1722-WEEKDAY(B1722,2)+1)</f>
        <v/>
      </c>
      <c r="J1722" s="5">
        <f>IF(I1722="","",I1722+6)</f>
        <v/>
      </c>
      <c r="K1722" s="6">
        <f>IF(OR(A1722="",B1722=""),"",DATE(YEAR(B1722),MONTH(B1722),1))</f>
        <v/>
      </c>
      <c r="L1722" s="7">
        <f>IF(COUNTA(A1722,B1722)=0,"",IF(OR(A1722="",B1722=""),"Preencher CPF e entrada",IF(COUNTIFS($A$12:$A$5011,A1722,$B$12:$B$5011,B1722)&gt;1,"CPF + dia duplicado",IF(OR(AND(E1722&lt;&gt;"",E1722&lt;B1722),AND(F1722&lt;&gt;"",F1722&lt;B1722)),"Evento anterior à entrada",IF(AND(F1722&lt;&gt;"",E1722=""),"Conversa sem agendamento",IF(OR(E1722&gt;TODAY(),F1722&gt;TODAY()),"Verificar evento futuro","OK"))))))</f>
        <v/>
      </c>
    </row>
    <row r="1723" spans="9:12">
      <c r="I1723" s="5">
        <f>IF(OR(A1723="",B1723=""),"",B1723-WEEKDAY(B1723,2)+1)</f>
        <v/>
      </c>
      <c r="J1723" s="5">
        <f>IF(I1723="","",I1723+6)</f>
        <v/>
      </c>
      <c r="K1723" s="6">
        <f>IF(OR(A1723="",B1723=""),"",DATE(YEAR(B1723),MONTH(B1723),1))</f>
        <v/>
      </c>
      <c r="L1723" s="7">
        <f>IF(COUNTA(A1723,B1723)=0,"",IF(OR(A1723="",B1723=""),"Preencher CPF e entrada",IF(COUNTIFS($A$12:$A$5011,A1723,$B$12:$B$5011,B1723)&gt;1,"CPF + dia duplicado",IF(OR(AND(E1723&lt;&gt;"",E1723&lt;B1723),AND(F1723&lt;&gt;"",F1723&lt;B1723)),"Evento anterior à entrada",IF(AND(F1723&lt;&gt;"",E1723=""),"Conversa sem agendamento",IF(OR(E1723&gt;TODAY(),F1723&gt;TODAY()),"Verificar evento futuro","OK"))))))</f>
        <v/>
      </c>
    </row>
    <row r="1724" spans="9:12">
      <c r="I1724" s="5">
        <f>IF(OR(A1724="",B1724=""),"",B1724-WEEKDAY(B1724,2)+1)</f>
        <v/>
      </c>
      <c r="J1724" s="5">
        <f>IF(I1724="","",I1724+6)</f>
        <v/>
      </c>
      <c r="K1724" s="6">
        <f>IF(OR(A1724="",B1724=""),"",DATE(YEAR(B1724),MONTH(B1724),1))</f>
        <v/>
      </c>
      <c r="L1724" s="7">
        <f>IF(COUNTA(A1724,B1724)=0,"",IF(OR(A1724="",B1724=""),"Preencher CPF e entrada",IF(COUNTIFS($A$12:$A$5011,A1724,$B$12:$B$5011,B1724)&gt;1,"CPF + dia duplicado",IF(OR(AND(E1724&lt;&gt;"",E1724&lt;B1724),AND(F1724&lt;&gt;"",F1724&lt;B1724)),"Evento anterior à entrada",IF(AND(F1724&lt;&gt;"",E1724=""),"Conversa sem agendamento",IF(OR(E1724&gt;TODAY(),F1724&gt;TODAY()),"Verificar evento futuro","OK"))))))</f>
        <v/>
      </c>
    </row>
    <row r="1725" spans="9:12">
      <c r="I1725" s="5">
        <f>IF(OR(A1725="",B1725=""),"",B1725-WEEKDAY(B1725,2)+1)</f>
        <v/>
      </c>
      <c r="J1725" s="5">
        <f>IF(I1725="","",I1725+6)</f>
        <v/>
      </c>
      <c r="K1725" s="6">
        <f>IF(OR(A1725="",B1725=""),"",DATE(YEAR(B1725),MONTH(B1725),1))</f>
        <v/>
      </c>
      <c r="L1725" s="7">
        <f>IF(COUNTA(A1725,B1725)=0,"",IF(OR(A1725="",B1725=""),"Preencher CPF e entrada",IF(COUNTIFS($A$12:$A$5011,A1725,$B$12:$B$5011,B1725)&gt;1,"CPF + dia duplicado",IF(OR(AND(E1725&lt;&gt;"",E1725&lt;B1725),AND(F1725&lt;&gt;"",F1725&lt;B1725)),"Evento anterior à entrada",IF(AND(F1725&lt;&gt;"",E1725=""),"Conversa sem agendamento",IF(OR(E1725&gt;TODAY(),F1725&gt;TODAY()),"Verificar evento futuro","OK"))))))</f>
        <v/>
      </c>
    </row>
    <row r="1726" spans="9:12">
      <c r="I1726" s="5">
        <f>IF(OR(A1726="",B1726=""),"",B1726-WEEKDAY(B1726,2)+1)</f>
        <v/>
      </c>
      <c r="J1726" s="5">
        <f>IF(I1726="","",I1726+6)</f>
        <v/>
      </c>
      <c r="K1726" s="6">
        <f>IF(OR(A1726="",B1726=""),"",DATE(YEAR(B1726),MONTH(B1726),1))</f>
        <v/>
      </c>
      <c r="L1726" s="7">
        <f>IF(COUNTA(A1726,B1726)=0,"",IF(OR(A1726="",B1726=""),"Preencher CPF e entrada",IF(COUNTIFS($A$12:$A$5011,A1726,$B$12:$B$5011,B1726)&gt;1,"CPF + dia duplicado",IF(OR(AND(E1726&lt;&gt;"",E1726&lt;B1726),AND(F1726&lt;&gt;"",F1726&lt;B1726)),"Evento anterior à entrada",IF(AND(F1726&lt;&gt;"",E1726=""),"Conversa sem agendamento",IF(OR(E1726&gt;TODAY(),F1726&gt;TODAY()),"Verificar evento futuro","OK"))))))</f>
        <v/>
      </c>
    </row>
    <row r="1727" spans="9:12">
      <c r="I1727" s="5">
        <f>IF(OR(A1727="",B1727=""),"",B1727-WEEKDAY(B1727,2)+1)</f>
        <v/>
      </c>
      <c r="J1727" s="5">
        <f>IF(I1727="","",I1727+6)</f>
        <v/>
      </c>
      <c r="K1727" s="6">
        <f>IF(OR(A1727="",B1727=""),"",DATE(YEAR(B1727),MONTH(B1727),1))</f>
        <v/>
      </c>
      <c r="L1727" s="7">
        <f>IF(COUNTA(A1727,B1727)=0,"",IF(OR(A1727="",B1727=""),"Preencher CPF e entrada",IF(COUNTIFS($A$12:$A$5011,A1727,$B$12:$B$5011,B1727)&gt;1,"CPF + dia duplicado",IF(OR(AND(E1727&lt;&gt;"",E1727&lt;B1727),AND(F1727&lt;&gt;"",F1727&lt;B1727)),"Evento anterior à entrada",IF(AND(F1727&lt;&gt;"",E1727=""),"Conversa sem agendamento",IF(OR(E1727&gt;TODAY(),F1727&gt;TODAY()),"Verificar evento futuro","OK"))))))</f>
        <v/>
      </c>
    </row>
    <row r="1728" spans="9:12">
      <c r="I1728" s="5">
        <f>IF(OR(A1728="",B1728=""),"",B1728-WEEKDAY(B1728,2)+1)</f>
        <v/>
      </c>
      <c r="J1728" s="5">
        <f>IF(I1728="","",I1728+6)</f>
        <v/>
      </c>
      <c r="K1728" s="6">
        <f>IF(OR(A1728="",B1728=""),"",DATE(YEAR(B1728),MONTH(B1728),1))</f>
        <v/>
      </c>
      <c r="L1728" s="7">
        <f>IF(COUNTA(A1728,B1728)=0,"",IF(OR(A1728="",B1728=""),"Preencher CPF e entrada",IF(COUNTIFS($A$12:$A$5011,A1728,$B$12:$B$5011,B1728)&gt;1,"CPF + dia duplicado",IF(OR(AND(E1728&lt;&gt;"",E1728&lt;B1728),AND(F1728&lt;&gt;"",F1728&lt;B1728)),"Evento anterior à entrada",IF(AND(F1728&lt;&gt;"",E1728=""),"Conversa sem agendamento",IF(OR(E1728&gt;TODAY(),F1728&gt;TODAY()),"Verificar evento futuro","OK"))))))</f>
        <v/>
      </c>
    </row>
    <row r="1729" spans="9:12">
      <c r="I1729" s="5">
        <f>IF(OR(A1729="",B1729=""),"",B1729-WEEKDAY(B1729,2)+1)</f>
        <v/>
      </c>
      <c r="J1729" s="5">
        <f>IF(I1729="","",I1729+6)</f>
        <v/>
      </c>
      <c r="K1729" s="6">
        <f>IF(OR(A1729="",B1729=""),"",DATE(YEAR(B1729),MONTH(B1729),1))</f>
        <v/>
      </c>
      <c r="L1729" s="7">
        <f>IF(COUNTA(A1729,B1729)=0,"",IF(OR(A1729="",B1729=""),"Preencher CPF e entrada",IF(COUNTIFS($A$12:$A$5011,A1729,$B$12:$B$5011,B1729)&gt;1,"CPF + dia duplicado",IF(OR(AND(E1729&lt;&gt;"",E1729&lt;B1729),AND(F1729&lt;&gt;"",F1729&lt;B1729)),"Evento anterior à entrada",IF(AND(F1729&lt;&gt;"",E1729=""),"Conversa sem agendamento",IF(OR(E1729&gt;TODAY(),F1729&gt;TODAY()),"Verificar evento futuro","OK"))))))</f>
        <v/>
      </c>
    </row>
    <row r="1730" spans="9:12">
      <c r="I1730" s="5">
        <f>IF(OR(A1730="",B1730=""),"",B1730-WEEKDAY(B1730,2)+1)</f>
        <v/>
      </c>
      <c r="J1730" s="5">
        <f>IF(I1730="","",I1730+6)</f>
        <v/>
      </c>
      <c r="K1730" s="6">
        <f>IF(OR(A1730="",B1730=""),"",DATE(YEAR(B1730),MONTH(B1730),1))</f>
        <v/>
      </c>
      <c r="L1730" s="7">
        <f>IF(COUNTA(A1730,B1730)=0,"",IF(OR(A1730="",B1730=""),"Preencher CPF e entrada",IF(COUNTIFS($A$12:$A$5011,A1730,$B$12:$B$5011,B1730)&gt;1,"CPF + dia duplicado",IF(OR(AND(E1730&lt;&gt;"",E1730&lt;B1730),AND(F1730&lt;&gt;"",F1730&lt;B1730)),"Evento anterior à entrada",IF(AND(F1730&lt;&gt;"",E1730=""),"Conversa sem agendamento",IF(OR(E1730&gt;TODAY(),F1730&gt;TODAY()),"Verificar evento futuro","OK"))))))</f>
        <v/>
      </c>
    </row>
    <row r="1731" spans="9:12">
      <c r="I1731" s="5">
        <f>IF(OR(A1731="",B1731=""),"",B1731-WEEKDAY(B1731,2)+1)</f>
        <v/>
      </c>
      <c r="J1731" s="5">
        <f>IF(I1731="","",I1731+6)</f>
        <v/>
      </c>
      <c r="K1731" s="6">
        <f>IF(OR(A1731="",B1731=""),"",DATE(YEAR(B1731),MONTH(B1731),1))</f>
        <v/>
      </c>
      <c r="L1731" s="7">
        <f>IF(COUNTA(A1731,B1731)=0,"",IF(OR(A1731="",B1731=""),"Preencher CPF e entrada",IF(COUNTIFS($A$12:$A$5011,A1731,$B$12:$B$5011,B1731)&gt;1,"CPF + dia duplicado",IF(OR(AND(E1731&lt;&gt;"",E1731&lt;B1731),AND(F1731&lt;&gt;"",F1731&lt;B1731)),"Evento anterior à entrada",IF(AND(F1731&lt;&gt;"",E1731=""),"Conversa sem agendamento",IF(OR(E1731&gt;TODAY(),F1731&gt;TODAY()),"Verificar evento futuro","OK"))))))</f>
        <v/>
      </c>
    </row>
    <row r="1732" spans="9:12">
      <c r="I1732" s="5">
        <f>IF(OR(A1732="",B1732=""),"",B1732-WEEKDAY(B1732,2)+1)</f>
        <v/>
      </c>
      <c r="J1732" s="5">
        <f>IF(I1732="","",I1732+6)</f>
        <v/>
      </c>
      <c r="K1732" s="6">
        <f>IF(OR(A1732="",B1732=""),"",DATE(YEAR(B1732),MONTH(B1732),1))</f>
        <v/>
      </c>
      <c r="L1732" s="7">
        <f>IF(COUNTA(A1732,B1732)=0,"",IF(OR(A1732="",B1732=""),"Preencher CPF e entrada",IF(COUNTIFS($A$12:$A$5011,A1732,$B$12:$B$5011,B1732)&gt;1,"CPF + dia duplicado",IF(OR(AND(E1732&lt;&gt;"",E1732&lt;B1732),AND(F1732&lt;&gt;"",F1732&lt;B1732)),"Evento anterior à entrada",IF(AND(F1732&lt;&gt;"",E1732=""),"Conversa sem agendamento",IF(OR(E1732&gt;TODAY(),F1732&gt;TODAY()),"Verificar evento futuro","OK"))))))</f>
        <v/>
      </c>
    </row>
    <row r="1733" spans="9:12">
      <c r="I1733" s="5">
        <f>IF(OR(A1733="",B1733=""),"",B1733-WEEKDAY(B1733,2)+1)</f>
        <v/>
      </c>
      <c r="J1733" s="5">
        <f>IF(I1733="","",I1733+6)</f>
        <v/>
      </c>
      <c r="K1733" s="6">
        <f>IF(OR(A1733="",B1733=""),"",DATE(YEAR(B1733),MONTH(B1733),1))</f>
        <v/>
      </c>
      <c r="L1733" s="7">
        <f>IF(COUNTA(A1733,B1733)=0,"",IF(OR(A1733="",B1733=""),"Preencher CPF e entrada",IF(COUNTIFS($A$12:$A$5011,A1733,$B$12:$B$5011,B1733)&gt;1,"CPF + dia duplicado",IF(OR(AND(E1733&lt;&gt;"",E1733&lt;B1733),AND(F1733&lt;&gt;"",F1733&lt;B1733)),"Evento anterior à entrada",IF(AND(F1733&lt;&gt;"",E1733=""),"Conversa sem agendamento",IF(OR(E1733&gt;TODAY(),F1733&gt;TODAY()),"Verificar evento futuro","OK"))))))</f>
        <v/>
      </c>
    </row>
    <row r="1734" spans="9:12">
      <c r="I1734" s="5">
        <f>IF(OR(A1734="",B1734=""),"",B1734-WEEKDAY(B1734,2)+1)</f>
        <v/>
      </c>
      <c r="J1734" s="5">
        <f>IF(I1734="","",I1734+6)</f>
        <v/>
      </c>
      <c r="K1734" s="6">
        <f>IF(OR(A1734="",B1734=""),"",DATE(YEAR(B1734),MONTH(B1734),1))</f>
        <v/>
      </c>
      <c r="L1734" s="7">
        <f>IF(COUNTA(A1734,B1734)=0,"",IF(OR(A1734="",B1734=""),"Preencher CPF e entrada",IF(COUNTIFS($A$12:$A$5011,A1734,$B$12:$B$5011,B1734)&gt;1,"CPF + dia duplicado",IF(OR(AND(E1734&lt;&gt;"",E1734&lt;B1734),AND(F1734&lt;&gt;"",F1734&lt;B1734)),"Evento anterior à entrada",IF(AND(F1734&lt;&gt;"",E1734=""),"Conversa sem agendamento",IF(OR(E1734&gt;TODAY(),F1734&gt;TODAY()),"Verificar evento futuro","OK"))))))</f>
        <v/>
      </c>
    </row>
    <row r="1735" spans="9:12">
      <c r="I1735" s="5">
        <f>IF(OR(A1735="",B1735=""),"",B1735-WEEKDAY(B1735,2)+1)</f>
        <v/>
      </c>
      <c r="J1735" s="5">
        <f>IF(I1735="","",I1735+6)</f>
        <v/>
      </c>
      <c r="K1735" s="6">
        <f>IF(OR(A1735="",B1735=""),"",DATE(YEAR(B1735),MONTH(B1735),1))</f>
        <v/>
      </c>
      <c r="L1735" s="7">
        <f>IF(COUNTA(A1735,B1735)=0,"",IF(OR(A1735="",B1735=""),"Preencher CPF e entrada",IF(COUNTIFS($A$12:$A$5011,A1735,$B$12:$B$5011,B1735)&gt;1,"CPF + dia duplicado",IF(OR(AND(E1735&lt;&gt;"",E1735&lt;B1735),AND(F1735&lt;&gt;"",F1735&lt;B1735)),"Evento anterior à entrada",IF(AND(F1735&lt;&gt;"",E1735=""),"Conversa sem agendamento",IF(OR(E1735&gt;TODAY(),F1735&gt;TODAY()),"Verificar evento futuro","OK"))))))</f>
        <v/>
      </c>
    </row>
    <row r="1736" spans="9:12">
      <c r="I1736" s="5">
        <f>IF(OR(A1736="",B1736=""),"",B1736-WEEKDAY(B1736,2)+1)</f>
        <v/>
      </c>
      <c r="J1736" s="5">
        <f>IF(I1736="","",I1736+6)</f>
        <v/>
      </c>
      <c r="K1736" s="6">
        <f>IF(OR(A1736="",B1736=""),"",DATE(YEAR(B1736),MONTH(B1736),1))</f>
        <v/>
      </c>
      <c r="L1736" s="7">
        <f>IF(COUNTA(A1736,B1736)=0,"",IF(OR(A1736="",B1736=""),"Preencher CPF e entrada",IF(COUNTIFS($A$12:$A$5011,A1736,$B$12:$B$5011,B1736)&gt;1,"CPF + dia duplicado",IF(OR(AND(E1736&lt;&gt;"",E1736&lt;B1736),AND(F1736&lt;&gt;"",F1736&lt;B1736)),"Evento anterior à entrada",IF(AND(F1736&lt;&gt;"",E1736=""),"Conversa sem agendamento",IF(OR(E1736&gt;TODAY(),F1736&gt;TODAY()),"Verificar evento futuro","OK"))))))</f>
        <v/>
      </c>
    </row>
    <row r="1737" spans="9:12">
      <c r="I1737" s="5">
        <f>IF(OR(A1737="",B1737=""),"",B1737-WEEKDAY(B1737,2)+1)</f>
        <v/>
      </c>
      <c r="J1737" s="5">
        <f>IF(I1737="","",I1737+6)</f>
        <v/>
      </c>
      <c r="K1737" s="6">
        <f>IF(OR(A1737="",B1737=""),"",DATE(YEAR(B1737),MONTH(B1737),1))</f>
        <v/>
      </c>
      <c r="L1737" s="7">
        <f>IF(COUNTA(A1737,B1737)=0,"",IF(OR(A1737="",B1737=""),"Preencher CPF e entrada",IF(COUNTIFS($A$12:$A$5011,A1737,$B$12:$B$5011,B1737)&gt;1,"CPF + dia duplicado",IF(OR(AND(E1737&lt;&gt;"",E1737&lt;B1737),AND(F1737&lt;&gt;"",F1737&lt;B1737)),"Evento anterior à entrada",IF(AND(F1737&lt;&gt;"",E1737=""),"Conversa sem agendamento",IF(OR(E1737&gt;TODAY(),F1737&gt;TODAY()),"Verificar evento futuro","OK"))))))</f>
        <v/>
      </c>
    </row>
    <row r="1738" spans="9:12">
      <c r="I1738" s="5">
        <f>IF(OR(A1738="",B1738=""),"",B1738-WEEKDAY(B1738,2)+1)</f>
        <v/>
      </c>
      <c r="J1738" s="5">
        <f>IF(I1738="","",I1738+6)</f>
        <v/>
      </c>
      <c r="K1738" s="6">
        <f>IF(OR(A1738="",B1738=""),"",DATE(YEAR(B1738),MONTH(B1738),1))</f>
        <v/>
      </c>
      <c r="L1738" s="7">
        <f>IF(COUNTA(A1738,B1738)=0,"",IF(OR(A1738="",B1738=""),"Preencher CPF e entrada",IF(COUNTIFS($A$12:$A$5011,A1738,$B$12:$B$5011,B1738)&gt;1,"CPF + dia duplicado",IF(OR(AND(E1738&lt;&gt;"",E1738&lt;B1738),AND(F1738&lt;&gt;"",F1738&lt;B1738)),"Evento anterior à entrada",IF(AND(F1738&lt;&gt;"",E1738=""),"Conversa sem agendamento",IF(OR(E1738&gt;TODAY(),F1738&gt;TODAY()),"Verificar evento futuro","OK"))))))</f>
        <v/>
      </c>
    </row>
    <row r="1739" spans="9:12">
      <c r="I1739" s="5">
        <f>IF(OR(A1739="",B1739=""),"",B1739-WEEKDAY(B1739,2)+1)</f>
        <v/>
      </c>
      <c r="J1739" s="5">
        <f>IF(I1739="","",I1739+6)</f>
        <v/>
      </c>
      <c r="K1739" s="6">
        <f>IF(OR(A1739="",B1739=""),"",DATE(YEAR(B1739),MONTH(B1739),1))</f>
        <v/>
      </c>
      <c r="L1739" s="7">
        <f>IF(COUNTA(A1739,B1739)=0,"",IF(OR(A1739="",B1739=""),"Preencher CPF e entrada",IF(COUNTIFS($A$12:$A$5011,A1739,$B$12:$B$5011,B1739)&gt;1,"CPF + dia duplicado",IF(OR(AND(E1739&lt;&gt;"",E1739&lt;B1739),AND(F1739&lt;&gt;"",F1739&lt;B1739)),"Evento anterior à entrada",IF(AND(F1739&lt;&gt;"",E1739=""),"Conversa sem agendamento",IF(OR(E1739&gt;TODAY(),F1739&gt;TODAY()),"Verificar evento futuro","OK"))))))</f>
        <v/>
      </c>
    </row>
    <row r="1740" spans="9:12">
      <c r="I1740" s="5">
        <f>IF(OR(A1740="",B1740=""),"",B1740-WEEKDAY(B1740,2)+1)</f>
        <v/>
      </c>
      <c r="J1740" s="5">
        <f>IF(I1740="","",I1740+6)</f>
        <v/>
      </c>
      <c r="K1740" s="6">
        <f>IF(OR(A1740="",B1740=""),"",DATE(YEAR(B1740),MONTH(B1740),1))</f>
        <v/>
      </c>
      <c r="L1740" s="7">
        <f>IF(COUNTA(A1740,B1740)=0,"",IF(OR(A1740="",B1740=""),"Preencher CPF e entrada",IF(COUNTIFS($A$12:$A$5011,A1740,$B$12:$B$5011,B1740)&gt;1,"CPF + dia duplicado",IF(OR(AND(E1740&lt;&gt;"",E1740&lt;B1740),AND(F1740&lt;&gt;"",F1740&lt;B1740)),"Evento anterior à entrada",IF(AND(F1740&lt;&gt;"",E1740=""),"Conversa sem agendamento",IF(OR(E1740&gt;TODAY(),F1740&gt;TODAY()),"Verificar evento futuro","OK"))))))</f>
        <v/>
      </c>
    </row>
    <row r="1741" spans="9:12">
      <c r="I1741" s="5">
        <f>IF(OR(A1741="",B1741=""),"",B1741-WEEKDAY(B1741,2)+1)</f>
        <v/>
      </c>
      <c r="J1741" s="5">
        <f>IF(I1741="","",I1741+6)</f>
        <v/>
      </c>
      <c r="K1741" s="6">
        <f>IF(OR(A1741="",B1741=""),"",DATE(YEAR(B1741),MONTH(B1741),1))</f>
        <v/>
      </c>
      <c r="L1741" s="7">
        <f>IF(COUNTA(A1741,B1741)=0,"",IF(OR(A1741="",B1741=""),"Preencher CPF e entrada",IF(COUNTIFS($A$12:$A$5011,A1741,$B$12:$B$5011,B1741)&gt;1,"CPF + dia duplicado",IF(OR(AND(E1741&lt;&gt;"",E1741&lt;B1741),AND(F1741&lt;&gt;"",F1741&lt;B1741)),"Evento anterior à entrada",IF(AND(F1741&lt;&gt;"",E1741=""),"Conversa sem agendamento",IF(OR(E1741&gt;TODAY(),F1741&gt;TODAY()),"Verificar evento futuro","OK"))))))</f>
        <v/>
      </c>
    </row>
    <row r="1742" spans="9:12">
      <c r="I1742" s="5">
        <f>IF(OR(A1742="",B1742=""),"",B1742-WEEKDAY(B1742,2)+1)</f>
        <v/>
      </c>
      <c r="J1742" s="5">
        <f>IF(I1742="","",I1742+6)</f>
        <v/>
      </c>
      <c r="K1742" s="6">
        <f>IF(OR(A1742="",B1742=""),"",DATE(YEAR(B1742),MONTH(B1742),1))</f>
        <v/>
      </c>
      <c r="L1742" s="7">
        <f>IF(COUNTA(A1742,B1742)=0,"",IF(OR(A1742="",B1742=""),"Preencher CPF e entrada",IF(COUNTIFS($A$12:$A$5011,A1742,$B$12:$B$5011,B1742)&gt;1,"CPF + dia duplicado",IF(OR(AND(E1742&lt;&gt;"",E1742&lt;B1742),AND(F1742&lt;&gt;"",F1742&lt;B1742)),"Evento anterior à entrada",IF(AND(F1742&lt;&gt;"",E1742=""),"Conversa sem agendamento",IF(OR(E1742&gt;TODAY(),F1742&gt;TODAY()),"Verificar evento futuro","OK"))))))</f>
        <v/>
      </c>
    </row>
    <row r="1743" spans="9:12">
      <c r="I1743" s="5">
        <f>IF(OR(A1743="",B1743=""),"",B1743-WEEKDAY(B1743,2)+1)</f>
        <v/>
      </c>
      <c r="J1743" s="5">
        <f>IF(I1743="","",I1743+6)</f>
        <v/>
      </c>
      <c r="K1743" s="6">
        <f>IF(OR(A1743="",B1743=""),"",DATE(YEAR(B1743),MONTH(B1743),1))</f>
        <v/>
      </c>
      <c r="L1743" s="7">
        <f>IF(COUNTA(A1743,B1743)=0,"",IF(OR(A1743="",B1743=""),"Preencher CPF e entrada",IF(COUNTIFS($A$12:$A$5011,A1743,$B$12:$B$5011,B1743)&gt;1,"CPF + dia duplicado",IF(OR(AND(E1743&lt;&gt;"",E1743&lt;B1743),AND(F1743&lt;&gt;"",F1743&lt;B1743)),"Evento anterior à entrada",IF(AND(F1743&lt;&gt;"",E1743=""),"Conversa sem agendamento",IF(OR(E1743&gt;TODAY(),F1743&gt;TODAY()),"Verificar evento futuro","OK"))))))</f>
        <v/>
      </c>
    </row>
    <row r="1744" spans="9:12">
      <c r="I1744" s="5">
        <f>IF(OR(A1744="",B1744=""),"",B1744-WEEKDAY(B1744,2)+1)</f>
        <v/>
      </c>
      <c r="J1744" s="5">
        <f>IF(I1744="","",I1744+6)</f>
        <v/>
      </c>
      <c r="K1744" s="6">
        <f>IF(OR(A1744="",B1744=""),"",DATE(YEAR(B1744),MONTH(B1744),1))</f>
        <v/>
      </c>
      <c r="L1744" s="7">
        <f>IF(COUNTA(A1744,B1744)=0,"",IF(OR(A1744="",B1744=""),"Preencher CPF e entrada",IF(COUNTIFS($A$12:$A$5011,A1744,$B$12:$B$5011,B1744)&gt;1,"CPF + dia duplicado",IF(OR(AND(E1744&lt;&gt;"",E1744&lt;B1744),AND(F1744&lt;&gt;"",F1744&lt;B1744)),"Evento anterior à entrada",IF(AND(F1744&lt;&gt;"",E1744=""),"Conversa sem agendamento",IF(OR(E1744&gt;TODAY(),F1744&gt;TODAY()),"Verificar evento futuro","OK"))))))</f>
        <v/>
      </c>
    </row>
    <row r="1745" spans="9:12">
      <c r="I1745" s="5">
        <f>IF(OR(A1745="",B1745=""),"",B1745-WEEKDAY(B1745,2)+1)</f>
        <v/>
      </c>
      <c r="J1745" s="5">
        <f>IF(I1745="","",I1745+6)</f>
        <v/>
      </c>
      <c r="K1745" s="6">
        <f>IF(OR(A1745="",B1745=""),"",DATE(YEAR(B1745),MONTH(B1745),1))</f>
        <v/>
      </c>
      <c r="L1745" s="7">
        <f>IF(COUNTA(A1745,B1745)=0,"",IF(OR(A1745="",B1745=""),"Preencher CPF e entrada",IF(COUNTIFS($A$12:$A$5011,A1745,$B$12:$B$5011,B1745)&gt;1,"CPF + dia duplicado",IF(OR(AND(E1745&lt;&gt;"",E1745&lt;B1745),AND(F1745&lt;&gt;"",F1745&lt;B1745)),"Evento anterior à entrada",IF(AND(F1745&lt;&gt;"",E1745=""),"Conversa sem agendamento",IF(OR(E1745&gt;TODAY(),F1745&gt;TODAY()),"Verificar evento futuro","OK"))))))</f>
        <v/>
      </c>
    </row>
    <row r="1746" spans="9:12">
      <c r="I1746" s="5">
        <f>IF(OR(A1746="",B1746=""),"",B1746-WEEKDAY(B1746,2)+1)</f>
        <v/>
      </c>
      <c r="J1746" s="5">
        <f>IF(I1746="","",I1746+6)</f>
        <v/>
      </c>
      <c r="K1746" s="6">
        <f>IF(OR(A1746="",B1746=""),"",DATE(YEAR(B1746),MONTH(B1746),1))</f>
        <v/>
      </c>
      <c r="L1746" s="7">
        <f>IF(COUNTA(A1746,B1746)=0,"",IF(OR(A1746="",B1746=""),"Preencher CPF e entrada",IF(COUNTIFS($A$12:$A$5011,A1746,$B$12:$B$5011,B1746)&gt;1,"CPF + dia duplicado",IF(OR(AND(E1746&lt;&gt;"",E1746&lt;B1746),AND(F1746&lt;&gt;"",F1746&lt;B1746)),"Evento anterior à entrada",IF(AND(F1746&lt;&gt;"",E1746=""),"Conversa sem agendamento",IF(OR(E1746&gt;TODAY(),F1746&gt;TODAY()),"Verificar evento futuro","OK"))))))</f>
        <v/>
      </c>
    </row>
    <row r="1747" spans="9:12">
      <c r="I1747" s="5">
        <f>IF(OR(A1747="",B1747=""),"",B1747-WEEKDAY(B1747,2)+1)</f>
        <v/>
      </c>
      <c r="J1747" s="5">
        <f>IF(I1747="","",I1747+6)</f>
        <v/>
      </c>
      <c r="K1747" s="6">
        <f>IF(OR(A1747="",B1747=""),"",DATE(YEAR(B1747),MONTH(B1747),1))</f>
        <v/>
      </c>
      <c r="L1747" s="7">
        <f>IF(COUNTA(A1747,B1747)=0,"",IF(OR(A1747="",B1747=""),"Preencher CPF e entrada",IF(COUNTIFS($A$12:$A$5011,A1747,$B$12:$B$5011,B1747)&gt;1,"CPF + dia duplicado",IF(OR(AND(E1747&lt;&gt;"",E1747&lt;B1747),AND(F1747&lt;&gt;"",F1747&lt;B1747)),"Evento anterior à entrada",IF(AND(F1747&lt;&gt;"",E1747=""),"Conversa sem agendamento",IF(OR(E1747&gt;TODAY(),F1747&gt;TODAY()),"Verificar evento futuro","OK"))))))</f>
        <v/>
      </c>
    </row>
    <row r="1748" spans="9:12">
      <c r="I1748" s="5">
        <f>IF(OR(A1748="",B1748=""),"",B1748-WEEKDAY(B1748,2)+1)</f>
        <v/>
      </c>
      <c r="J1748" s="5">
        <f>IF(I1748="","",I1748+6)</f>
        <v/>
      </c>
      <c r="K1748" s="6">
        <f>IF(OR(A1748="",B1748=""),"",DATE(YEAR(B1748),MONTH(B1748),1))</f>
        <v/>
      </c>
      <c r="L1748" s="7">
        <f>IF(COUNTA(A1748,B1748)=0,"",IF(OR(A1748="",B1748=""),"Preencher CPF e entrada",IF(COUNTIFS($A$12:$A$5011,A1748,$B$12:$B$5011,B1748)&gt;1,"CPF + dia duplicado",IF(OR(AND(E1748&lt;&gt;"",E1748&lt;B1748),AND(F1748&lt;&gt;"",F1748&lt;B1748)),"Evento anterior à entrada",IF(AND(F1748&lt;&gt;"",E1748=""),"Conversa sem agendamento",IF(OR(E1748&gt;TODAY(),F1748&gt;TODAY()),"Verificar evento futuro","OK"))))))</f>
        <v/>
      </c>
    </row>
    <row r="1749" spans="9:12">
      <c r="I1749" s="5">
        <f>IF(OR(A1749="",B1749=""),"",B1749-WEEKDAY(B1749,2)+1)</f>
        <v/>
      </c>
      <c r="J1749" s="5">
        <f>IF(I1749="","",I1749+6)</f>
        <v/>
      </c>
      <c r="K1749" s="6">
        <f>IF(OR(A1749="",B1749=""),"",DATE(YEAR(B1749),MONTH(B1749),1))</f>
        <v/>
      </c>
      <c r="L1749" s="7">
        <f>IF(COUNTA(A1749,B1749)=0,"",IF(OR(A1749="",B1749=""),"Preencher CPF e entrada",IF(COUNTIFS($A$12:$A$5011,A1749,$B$12:$B$5011,B1749)&gt;1,"CPF + dia duplicado",IF(OR(AND(E1749&lt;&gt;"",E1749&lt;B1749),AND(F1749&lt;&gt;"",F1749&lt;B1749)),"Evento anterior à entrada",IF(AND(F1749&lt;&gt;"",E1749=""),"Conversa sem agendamento",IF(OR(E1749&gt;TODAY(),F1749&gt;TODAY()),"Verificar evento futuro","OK"))))))</f>
        <v/>
      </c>
    </row>
    <row r="1750" spans="9:12">
      <c r="I1750" s="5">
        <f>IF(OR(A1750="",B1750=""),"",B1750-WEEKDAY(B1750,2)+1)</f>
        <v/>
      </c>
      <c r="J1750" s="5">
        <f>IF(I1750="","",I1750+6)</f>
        <v/>
      </c>
      <c r="K1750" s="6">
        <f>IF(OR(A1750="",B1750=""),"",DATE(YEAR(B1750),MONTH(B1750),1))</f>
        <v/>
      </c>
      <c r="L1750" s="7">
        <f>IF(COUNTA(A1750,B1750)=0,"",IF(OR(A1750="",B1750=""),"Preencher CPF e entrada",IF(COUNTIFS($A$12:$A$5011,A1750,$B$12:$B$5011,B1750)&gt;1,"CPF + dia duplicado",IF(OR(AND(E1750&lt;&gt;"",E1750&lt;B1750),AND(F1750&lt;&gt;"",F1750&lt;B1750)),"Evento anterior à entrada",IF(AND(F1750&lt;&gt;"",E1750=""),"Conversa sem agendamento",IF(OR(E1750&gt;TODAY(),F1750&gt;TODAY()),"Verificar evento futuro","OK"))))))</f>
        <v/>
      </c>
    </row>
    <row r="1751" spans="9:12">
      <c r="I1751" s="5">
        <f>IF(OR(A1751="",B1751=""),"",B1751-WEEKDAY(B1751,2)+1)</f>
        <v/>
      </c>
      <c r="J1751" s="5">
        <f>IF(I1751="","",I1751+6)</f>
        <v/>
      </c>
      <c r="K1751" s="6">
        <f>IF(OR(A1751="",B1751=""),"",DATE(YEAR(B1751),MONTH(B1751),1))</f>
        <v/>
      </c>
      <c r="L1751" s="7">
        <f>IF(COUNTA(A1751,B1751)=0,"",IF(OR(A1751="",B1751=""),"Preencher CPF e entrada",IF(COUNTIFS($A$12:$A$5011,A1751,$B$12:$B$5011,B1751)&gt;1,"CPF + dia duplicado",IF(OR(AND(E1751&lt;&gt;"",E1751&lt;B1751),AND(F1751&lt;&gt;"",F1751&lt;B1751)),"Evento anterior à entrada",IF(AND(F1751&lt;&gt;"",E1751=""),"Conversa sem agendamento",IF(OR(E1751&gt;TODAY(),F1751&gt;TODAY()),"Verificar evento futuro","OK"))))))</f>
        <v/>
      </c>
    </row>
    <row r="1752" spans="9:12">
      <c r="I1752" s="5">
        <f>IF(OR(A1752="",B1752=""),"",B1752-WEEKDAY(B1752,2)+1)</f>
        <v/>
      </c>
      <c r="J1752" s="5">
        <f>IF(I1752="","",I1752+6)</f>
        <v/>
      </c>
      <c r="K1752" s="6">
        <f>IF(OR(A1752="",B1752=""),"",DATE(YEAR(B1752),MONTH(B1752),1))</f>
        <v/>
      </c>
      <c r="L1752" s="7">
        <f>IF(COUNTA(A1752,B1752)=0,"",IF(OR(A1752="",B1752=""),"Preencher CPF e entrada",IF(COUNTIFS($A$12:$A$5011,A1752,$B$12:$B$5011,B1752)&gt;1,"CPF + dia duplicado",IF(OR(AND(E1752&lt;&gt;"",E1752&lt;B1752),AND(F1752&lt;&gt;"",F1752&lt;B1752)),"Evento anterior à entrada",IF(AND(F1752&lt;&gt;"",E1752=""),"Conversa sem agendamento",IF(OR(E1752&gt;TODAY(),F1752&gt;TODAY()),"Verificar evento futuro","OK"))))))</f>
        <v/>
      </c>
    </row>
    <row r="1753" spans="9:12">
      <c r="I1753" s="5">
        <f>IF(OR(A1753="",B1753=""),"",B1753-WEEKDAY(B1753,2)+1)</f>
        <v/>
      </c>
      <c r="J1753" s="5">
        <f>IF(I1753="","",I1753+6)</f>
        <v/>
      </c>
      <c r="K1753" s="6">
        <f>IF(OR(A1753="",B1753=""),"",DATE(YEAR(B1753),MONTH(B1753),1))</f>
        <v/>
      </c>
      <c r="L1753" s="7">
        <f>IF(COUNTA(A1753,B1753)=0,"",IF(OR(A1753="",B1753=""),"Preencher CPF e entrada",IF(COUNTIFS($A$12:$A$5011,A1753,$B$12:$B$5011,B1753)&gt;1,"CPF + dia duplicado",IF(OR(AND(E1753&lt;&gt;"",E1753&lt;B1753),AND(F1753&lt;&gt;"",F1753&lt;B1753)),"Evento anterior à entrada",IF(AND(F1753&lt;&gt;"",E1753=""),"Conversa sem agendamento",IF(OR(E1753&gt;TODAY(),F1753&gt;TODAY()),"Verificar evento futuro","OK"))))))</f>
        <v/>
      </c>
    </row>
    <row r="1754" spans="9:12">
      <c r="I1754" s="5">
        <f>IF(OR(A1754="",B1754=""),"",B1754-WEEKDAY(B1754,2)+1)</f>
        <v/>
      </c>
      <c r="J1754" s="5">
        <f>IF(I1754="","",I1754+6)</f>
        <v/>
      </c>
      <c r="K1754" s="6">
        <f>IF(OR(A1754="",B1754=""),"",DATE(YEAR(B1754),MONTH(B1754),1))</f>
        <v/>
      </c>
      <c r="L1754" s="7">
        <f>IF(COUNTA(A1754,B1754)=0,"",IF(OR(A1754="",B1754=""),"Preencher CPF e entrada",IF(COUNTIFS($A$12:$A$5011,A1754,$B$12:$B$5011,B1754)&gt;1,"CPF + dia duplicado",IF(OR(AND(E1754&lt;&gt;"",E1754&lt;B1754),AND(F1754&lt;&gt;"",F1754&lt;B1754)),"Evento anterior à entrada",IF(AND(F1754&lt;&gt;"",E1754=""),"Conversa sem agendamento",IF(OR(E1754&gt;TODAY(),F1754&gt;TODAY()),"Verificar evento futuro","OK"))))))</f>
        <v/>
      </c>
    </row>
    <row r="1755" spans="9:12">
      <c r="I1755" s="5">
        <f>IF(OR(A1755="",B1755=""),"",B1755-WEEKDAY(B1755,2)+1)</f>
        <v/>
      </c>
      <c r="J1755" s="5">
        <f>IF(I1755="","",I1755+6)</f>
        <v/>
      </c>
      <c r="K1755" s="6">
        <f>IF(OR(A1755="",B1755=""),"",DATE(YEAR(B1755),MONTH(B1755),1))</f>
        <v/>
      </c>
      <c r="L1755" s="7">
        <f>IF(COUNTA(A1755,B1755)=0,"",IF(OR(A1755="",B1755=""),"Preencher CPF e entrada",IF(COUNTIFS($A$12:$A$5011,A1755,$B$12:$B$5011,B1755)&gt;1,"CPF + dia duplicado",IF(OR(AND(E1755&lt;&gt;"",E1755&lt;B1755),AND(F1755&lt;&gt;"",F1755&lt;B1755)),"Evento anterior à entrada",IF(AND(F1755&lt;&gt;"",E1755=""),"Conversa sem agendamento",IF(OR(E1755&gt;TODAY(),F1755&gt;TODAY()),"Verificar evento futuro","OK"))))))</f>
        <v/>
      </c>
    </row>
    <row r="1756" spans="9:12">
      <c r="I1756" s="5">
        <f>IF(OR(A1756="",B1756=""),"",B1756-WEEKDAY(B1756,2)+1)</f>
        <v/>
      </c>
      <c r="J1756" s="5">
        <f>IF(I1756="","",I1756+6)</f>
        <v/>
      </c>
      <c r="K1756" s="6">
        <f>IF(OR(A1756="",B1756=""),"",DATE(YEAR(B1756),MONTH(B1756),1))</f>
        <v/>
      </c>
      <c r="L1756" s="7">
        <f>IF(COUNTA(A1756,B1756)=0,"",IF(OR(A1756="",B1756=""),"Preencher CPF e entrada",IF(COUNTIFS($A$12:$A$5011,A1756,$B$12:$B$5011,B1756)&gt;1,"CPF + dia duplicado",IF(OR(AND(E1756&lt;&gt;"",E1756&lt;B1756),AND(F1756&lt;&gt;"",F1756&lt;B1756)),"Evento anterior à entrada",IF(AND(F1756&lt;&gt;"",E1756=""),"Conversa sem agendamento",IF(OR(E1756&gt;TODAY(),F1756&gt;TODAY()),"Verificar evento futuro","OK"))))))</f>
        <v/>
      </c>
    </row>
    <row r="1757" spans="9:12">
      <c r="I1757" s="5">
        <f>IF(OR(A1757="",B1757=""),"",B1757-WEEKDAY(B1757,2)+1)</f>
        <v/>
      </c>
      <c r="J1757" s="5">
        <f>IF(I1757="","",I1757+6)</f>
        <v/>
      </c>
      <c r="K1757" s="6">
        <f>IF(OR(A1757="",B1757=""),"",DATE(YEAR(B1757),MONTH(B1757),1))</f>
        <v/>
      </c>
      <c r="L1757" s="7">
        <f>IF(COUNTA(A1757,B1757)=0,"",IF(OR(A1757="",B1757=""),"Preencher CPF e entrada",IF(COUNTIFS($A$12:$A$5011,A1757,$B$12:$B$5011,B1757)&gt;1,"CPF + dia duplicado",IF(OR(AND(E1757&lt;&gt;"",E1757&lt;B1757),AND(F1757&lt;&gt;"",F1757&lt;B1757)),"Evento anterior à entrada",IF(AND(F1757&lt;&gt;"",E1757=""),"Conversa sem agendamento",IF(OR(E1757&gt;TODAY(),F1757&gt;TODAY()),"Verificar evento futuro","OK"))))))</f>
        <v/>
      </c>
    </row>
    <row r="1758" spans="9:12">
      <c r="I1758" s="5">
        <f>IF(OR(A1758="",B1758=""),"",B1758-WEEKDAY(B1758,2)+1)</f>
        <v/>
      </c>
      <c r="J1758" s="5">
        <f>IF(I1758="","",I1758+6)</f>
        <v/>
      </c>
      <c r="K1758" s="6">
        <f>IF(OR(A1758="",B1758=""),"",DATE(YEAR(B1758),MONTH(B1758),1))</f>
        <v/>
      </c>
      <c r="L1758" s="7">
        <f>IF(COUNTA(A1758,B1758)=0,"",IF(OR(A1758="",B1758=""),"Preencher CPF e entrada",IF(COUNTIFS($A$12:$A$5011,A1758,$B$12:$B$5011,B1758)&gt;1,"CPF + dia duplicado",IF(OR(AND(E1758&lt;&gt;"",E1758&lt;B1758),AND(F1758&lt;&gt;"",F1758&lt;B1758)),"Evento anterior à entrada",IF(AND(F1758&lt;&gt;"",E1758=""),"Conversa sem agendamento",IF(OR(E1758&gt;TODAY(),F1758&gt;TODAY()),"Verificar evento futuro","OK"))))))</f>
        <v/>
      </c>
    </row>
    <row r="1759" spans="9:12">
      <c r="I1759" s="5">
        <f>IF(OR(A1759="",B1759=""),"",B1759-WEEKDAY(B1759,2)+1)</f>
        <v/>
      </c>
      <c r="J1759" s="5">
        <f>IF(I1759="","",I1759+6)</f>
        <v/>
      </c>
      <c r="K1759" s="6">
        <f>IF(OR(A1759="",B1759=""),"",DATE(YEAR(B1759),MONTH(B1759),1))</f>
        <v/>
      </c>
      <c r="L1759" s="7">
        <f>IF(COUNTA(A1759,B1759)=0,"",IF(OR(A1759="",B1759=""),"Preencher CPF e entrada",IF(COUNTIFS($A$12:$A$5011,A1759,$B$12:$B$5011,B1759)&gt;1,"CPF + dia duplicado",IF(OR(AND(E1759&lt;&gt;"",E1759&lt;B1759),AND(F1759&lt;&gt;"",F1759&lt;B1759)),"Evento anterior à entrada",IF(AND(F1759&lt;&gt;"",E1759=""),"Conversa sem agendamento",IF(OR(E1759&gt;TODAY(),F1759&gt;TODAY()),"Verificar evento futuro","OK"))))))</f>
        <v/>
      </c>
    </row>
    <row r="1760" spans="9:12">
      <c r="I1760" s="5">
        <f>IF(OR(A1760="",B1760=""),"",B1760-WEEKDAY(B1760,2)+1)</f>
        <v/>
      </c>
      <c r="J1760" s="5">
        <f>IF(I1760="","",I1760+6)</f>
        <v/>
      </c>
      <c r="K1760" s="6">
        <f>IF(OR(A1760="",B1760=""),"",DATE(YEAR(B1760),MONTH(B1760),1))</f>
        <v/>
      </c>
      <c r="L1760" s="7">
        <f>IF(COUNTA(A1760,B1760)=0,"",IF(OR(A1760="",B1760=""),"Preencher CPF e entrada",IF(COUNTIFS($A$12:$A$5011,A1760,$B$12:$B$5011,B1760)&gt;1,"CPF + dia duplicado",IF(OR(AND(E1760&lt;&gt;"",E1760&lt;B1760),AND(F1760&lt;&gt;"",F1760&lt;B1760)),"Evento anterior à entrada",IF(AND(F1760&lt;&gt;"",E1760=""),"Conversa sem agendamento",IF(OR(E1760&gt;TODAY(),F1760&gt;TODAY()),"Verificar evento futuro","OK"))))))</f>
        <v/>
      </c>
    </row>
    <row r="1761" spans="9:12">
      <c r="I1761" s="5">
        <f>IF(OR(A1761="",B1761=""),"",B1761-WEEKDAY(B1761,2)+1)</f>
        <v/>
      </c>
      <c r="J1761" s="5">
        <f>IF(I1761="","",I1761+6)</f>
        <v/>
      </c>
      <c r="K1761" s="6">
        <f>IF(OR(A1761="",B1761=""),"",DATE(YEAR(B1761),MONTH(B1761),1))</f>
        <v/>
      </c>
      <c r="L1761" s="7">
        <f>IF(COUNTA(A1761,B1761)=0,"",IF(OR(A1761="",B1761=""),"Preencher CPF e entrada",IF(COUNTIFS($A$12:$A$5011,A1761,$B$12:$B$5011,B1761)&gt;1,"CPF + dia duplicado",IF(OR(AND(E1761&lt;&gt;"",E1761&lt;B1761),AND(F1761&lt;&gt;"",F1761&lt;B1761)),"Evento anterior à entrada",IF(AND(F1761&lt;&gt;"",E1761=""),"Conversa sem agendamento",IF(OR(E1761&gt;TODAY(),F1761&gt;TODAY()),"Verificar evento futuro","OK"))))))</f>
        <v/>
      </c>
    </row>
    <row r="1762" spans="9:12">
      <c r="I1762" s="5">
        <f>IF(OR(A1762="",B1762=""),"",B1762-WEEKDAY(B1762,2)+1)</f>
        <v/>
      </c>
      <c r="J1762" s="5">
        <f>IF(I1762="","",I1762+6)</f>
        <v/>
      </c>
      <c r="K1762" s="6">
        <f>IF(OR(A1762="",B1762=""),"",DATE(YEAR(B1762),MONTH(B1762),1))</f>
        <v/>
      </c>
      <c r="L1762" s="7">
        <f>IF(COUNTA(A1762,B1762)=0,"",IF(OR(A1762="",B1762=""),"Preencher CPF e entrada",IF(COUNTIFS($A$12:$A$5011,A1762,$B$12:$B$5011,B1762)&gt;1,"CPF + dia duplicado",IF(OR(AND(E1762&lt;&gt;"",E1762&lt;B1762),AND(F1762&lt;&gt;"",F1762&lt;B1762)),"Evento anterior à entrada",IF(AND(F1762&lt;&gt;"",E1762=""),"Conversa sem agendamento",IF(OR(E1762&gt;TODAY(),F1762&gt;TODAY()),"Verificar evento futuro","OK"))))))</f>
        <v/>
      </c>
    </row>
    <row r="1763" spans="9:12">
      <c r="I1763" s="5">
        <f>IF(OR(A1763="",B1763=""),"",B1763-WEEKDAY(B1763,2)+1)</f>
        <v/>
      </c>
      <c r="J1763" s="5">
        <f>IF(I1763="","",I1763+6)</f>
        <v/>
      </c>
      <c r="K1763" s="6">
        <f>IF(OR(A1763="",B1763=""),"",DATE(YEAR(B1763),MONTH(B1763),1))</f>
        <v/>
      </c>
      <c r="L1763" s="7">
        <f>IF(COUNTA(A1763,B1763)=0,"",IF(OR(A1763="",B1763=""),"Preencher CPF e entrada",IF(COUNTIFS($A$12:$A$5011,A1763,$B$12:$B$5011,B1763)&gt;1,"CPF + dia duplicado",IF(OR(AND(E1763&lt;&gt;"",E1763&lt;B1763),AND(F1763&lt;&gt;"",F1763&lt;B1763)),"Evento anterior à entrada",IF(AND(F1763&lt;&gt;"",E1763=""),"Conversa sem agendamento",IF(OR(E1763&gt;TODAY(),F1763&gt;TODAY()),"Verificar evento futuro","OK"))))))</f>
        <v/>
      </c>
    </row>
    <row r="1764" spans="9:12">
      <c r="I1764" s="5">
        <f>IF(OR(A1764="",B1764=""),"",B1764-WEEKDAY(B1764,2)+1)</f>
        <v/>
      </c>
      <c r="J1764" s="5">
        <f>IF(I1764="","",I1764+6)</f>
        <v/>
      </c>
      <c r="K1764" s="6">
        <f>IF(OR(A1764="",B1764=""),"",DATE(YEAR(B1764),MONTH(B1764),1))</f>
        <v/>
      </c>
      <c r="L1764" s="7">
        <f>IF(COUNTA(A1764,B1764)=0,"",IF(OR(A1764="",B1764=""),"Preencher CPF e entrada",IF(COUNTIFS($A$12:$A$5011,A1764,$B$12:$B$5011,B1764)&gt;1,"CPF + dia duplicado",IF(OR(AND(E1764&lt;&gt;"",E1764&lt;B1764),AND(F1764&lt;&gt;"",F1764&lt;B1764)),"Evento anterior à entrada",IF(AND(F1764&lt;&gt;"",E1764=""),"Conversa sem agendamento",IF(OR(E1764&gt;TODAY(),F1764&gt;TODAY()),"Verificar evento futuro","OK"))))))</f>
        <v/>
      </c>
    </row>
    <row r="1765" spans="9:12">
      <c r="I1765" s="5">
        <f>IF(OR(A1765="",B1765=""),"",B1765-WEEKDAY(B1765,2)+1)</f>
        <v/>
      </c>
      <c r="J1765" s="5">
        <f>IF(I1765="","",I1765+6)</f>
        <v/>
      </c>
      <c r="K1765" s="6">
        <f>IF(OR(A1765="",B1765=""),"",DATE(YEAR(B1765),MONTH(B1765),1))</f>
        <v/>
      </c>
      <c r="L1765" s="7">
        <f>IF(COUNTA(A1765,B1765)=0,"",IF(OR(A1765="",B1765=""),"Preencher CPF e entrada",IF(COUNTIFS($A$12:$A$5011,A1765,$B$12:$B$5011,B1765)&gt;1,"CPF + dia duplicado",IF(OR(AND(E1765&lt;&gt;"",E1765&lt;B1765),AND(F1765&lt;&gt;"",F1765&lt;B1765)),"Evento anterior à entrada",IF(AND(F1765&lt;&gt;"",E1765=""),"Conversa sem agendamento",IF(OR(E1765&gt;TODAY(),F1765&gt;TODAY()),"Verificar evento futuro","OK"))))))</f>
        <v/>
      </c>
    </row>
    <row r="1766" spans="9:12">
      <c r="I1766" s="5">
        <f>IF(OR(A1766="",B1766=""),"",B1766-WEEKDAY(B1766,2)+1)</f>
        <v/>
      </c>
      <c r="J1766" s="5">
        <f>IF(I1766="","",I1766+6)</f>
        <v/>
      </c>
      <c r="K1766" s="6">
        <f>IF(OR(A1766="",B1766=""),"",DATE(YEAR(B1766),MONTH(B1766),1))</f>
        <v/>
      </c>
      <c r="L1766" s="7">
        <f>IF(COUNTA(A1766,B1766)=0,"",IF(OR(A1766="",B1766=""),"Preencher CPF e entrada",IF(COUNTIFS($A$12:$A$5011,A1766,$B$12:$B$5011,B1766)&gt;1,"CPF + dia duplicado",IF(OR(AND(E1766&lt;&gt;"",E1766&lt;B1766),AND(F1766&lt;&gt;"",F1766&lt;B1766)),"Evento anterior à entrada",IF(AND(F1766&lt;&gt;"",E1766=""),"Conversa sem agendamento",IF(OR(E1766&gt;TODAY(),F1766&gt;TODAY()),"Verificar evento futuro","OK"))))))</f>
        <v/>
      </c>
    </row>
    <row r="1767" spans="9:12">
      <c r="I1767" s="5">
        <f>IF(OR(A1767="",B1767=""),"",B1767-WEEKDAY(B1767,2)+1)</f>
        <v/>
      </c>
      <c r="J1767" s="5">
        <f>IF(I1767="","",I1767+6)</f>
        <v/>
      </c>
      <c r="K1767" s="6">
        <f>IF(OR(A1767="",B1767=""),"",DATE(YEAR(B1767),MONTH(B1767),1))</f>
        <v/>
      </c>
      <c r="L1767" s="7">
        <f>IF(COUNTA(A1767,B1767)=0,"",IF(OR(A1767="",B1767=""),"Preencher CPF e entrada",IF(COUNTIFS($A$12:$A$5011,A1767,$B$12:$B$5011,B1767)&gt;1,"CPF + dia duplicado",IF(OR(AND(E1767&lt;&gt;"",E1767&lt;B1767),AND(F1767&lt;&gt;"",F1767&lt;B1767)),"Evento anterior à entrada",IF(AND(F1767&lt;&gt;"",E1767=""),"Conversa sem agendamento",IF(OR(E1767&gt;TODAY(),F1767&gt;TODAY()),"Verificar evento futuro","OK"))))))</f>
        <v/>
      </c>
    </row>
    <row r="1768" spans="9:12">
      <c r="I1768" s="5">
        <f>IF(OR(A1768="",B1768=""),"",B1768-WEEKDAY(B1768,2)+1)</f>
        <v/>
      </c>
      <c r="J1768" s="5">
        <f>IF(I1768="","",I1768+6)</f>
        <v/>
      </c>
      <c r="K1768" s="6">
        <f>IF(OR(A1768="",B1768=""),"",DATE(YEAR(B1768),MONTH(B1768),1))</f>
        <v/>
      </c>
      <c r="L1768" s="7">
        <f>IF(COUNTA(A1768,B1768)=0,"",IF(OR(A1768="",B1768=""),"Preencher CPF e entrada",IF(COUNTIFS($A$12:$A$5011,A1768,$B$12:$B$5011,B1768)&gt;1,"CPF + dia duplicado",IF(OR(AND(E1768&lt;&gt;"",E1768&lt;B1768),AND(F1768&lt;&gt;"",F1768&lt;B1768)),"Evento anterior à entrada",IF(AND(F1768&lt;&gt;"",E1768=""),"Conversa sem agendamento",IF(OR(E1768&gt;TODAY(),F1768&gt;TODAY()),"Verificar evento futuro","OK"))))))</f>
        <v/>
      </c>
    </row>
    <row r="1769" spans="9:12">
      <c r="I1769" s="5">
        <f>IF(OR(A1769="",B1769=""),"",B1769-WEEKDAY(B1769,2)+1)</f>
        <v/>
      </c>
      <c r="J1769" s="5">
        <f>IF(I1769="","",I1769+6)</f>
        <v/>
      </c>
      <c r="K1769" s="6">
        <f>IF(OR(A1769="",B1769=""),"",DATE(YEAR(B1769),MONTH(B1769),1))</f>
        <v/>
      </c>
      <c r="L1769" s="7">
        <f>IF(COUNTA(A1769,B1769)=0,"",IF(OR(A1769="",B1769=""),"Preencher CPF e entrada",IF(COUNTIFS($A$12:$A$5011,A1769,$B$12:$B$5011,B1769)&gt;1,"CPF + dia duplicado",IF(OR(AND(E1769&lt;&gt;"",E1769&lt;B1769),AND(F1769&lt;&gt;"",F1769&lt;B1769)),"Evento anterior à entrada",IF(AND(F1769&lt;&gt;"",E1769=""),"Conversa sem agendamento",IF(OR(E1769&gt;TODAY(),F1769&gt;TODAY()),"Verificar evento futuro","OK"))))))</f>
        <v/>
      </c>
    </row>
    <row r="1770" spans="9:12">
      <c r="I1770" s="5">
        <f>IF(OR(A1770="",B1770=""),"",B1770-WEEKDAY(B1770,2)+1)</f>
        <v/>
      </c>
      <c r="J1770" s="5">
        <f>IF(I1770="","",I1770+6)</f>
        <v/>
      </c>
      <c r="K1770" s="6">
        <f>IF(OR(A1770="",B1770=""),"",DATE(YEAR(B1770),MONTH(B1770),1))</f>
        <v/>
      </c>
      <c r="L1770" s="7">
        <f>IF(COUNTA(A1770,B1770)=0,"",IF(OR(A1770="",B1770=""),"Preencher CPF e entrada",IF(COUNTIFS($A$12:$A$5011,A1770,$B$12:$B$5011,B1770)&gt;1,"CPF + dia duplicado",IF(OR(AND(E1770&lt;&gt;"",E1770&lt;B1770),AND(F1770&lt;&gt;"",F1770&lt;B1770)),"Evento anterior à entrada",IF(AND(F1770&lt;&gt;"",E1770=""),"Conversa sem agendamento",IF(OR(E1770&gt;TODAY(),F1770&gt;TODAY()),"Verificar evento futuro","OK"))))))</f>
        <v/>
      </c>
    </row>
    <row r="1771" spans="9:12">
      <c r="I1771" s="5">
        <f>IF(OR(A1771="",B1771=""),"",B1771-WEEKDAY(B1771,2)+1)</f>
        <v/>
      </c>
      <c r="J1771" s="5">
        <f>IF(I1771="","",I1771+6)</f>
        <v/>
      </c>
      <c r="K1771" s="6">
        <f>IF(OR(A1771="",B1771=""),"",DATE(YEAR(B1771),MONTH(B1771),1))</f>
        <v/>
      </c>
      <c r="L1771" s="7">
        <f>IF(COUNTA(A1771,B1771)=0,"",IF(OR(A1771="",B1771=""),"Preencher CPF e entrada",IF(COUNTIFS($A$12:$A$5011,A1771,$B$12:$B$5011,B1771)&gt;1,"CPF + dia duplicado",IF(OR(AND(E1771&lt;&gt;"",E1771&lt;B1771),AND(F1771&lt;&gt;"",F1771&lt;B1771)),"Evento anterior à entrada",IF(AND(F1771&lt;&gt;"",E1771=""),"Conversa sem agendamento",IF(OR(E1771&gt;TODAY(),F1771&gt;TODAY()),"Verificar evento futuro","OK"))))))</f>
        <v/>
      </c>
    </row>
    <row r="1772" spans="9:12">
      <c r="I1772" s="5">
        <f>IF(OR(A1772="",B1772=""),"",B1772-WEEKDAY(B1772,2)+1)</f>
        <v/>
      </c>
      <c r="J1772" s="5">
        <f>IF(I1772="","",I1772+6)</f>
        <v/>
      </c>
      <c r="K1772" s="6">
        <f>IF(OR(A1772="",B1772=""),"",DATE(YEAR(B1772),MONTH(B1772),1))</f>
        <v/>
      </c>
      <c r="L1772" s="7">
        <f>IF(COUNTA(A1772,B1772)=0,"",IF(OR(A1772="",B1772=""),"Preencher CPF e entrada",IF(COUNTIFS($A$12:$A$5011,A1772,$B$12:$B$5011,B1772)&gt;1,"CPF + dia duplicado",IF(OR(AND(E1772&lt;&gt;"",E1772&lt;B1772),AND(F1772&lt;&gt;"",F1772&lt;B1772)),"Evento anterior à entrada",IF(AND(F1772&lt;&gt;"",E1772=""),"Conversa sem agendamento",IF(OR(E1772&gt;TODAY(),F1772&gt;TODAY()),"Verificar evento futuro","OK"))))))</f>
        <v/>
      </c>
    </row>
    <row r="1773" spans="9:12">
      <c r="I1773" s="5">
        <f>IF(OR(A1773="",B1773=""),"",B1773-WEEKDAY(B1773,2)+1)</f>
        <v/>
      </c>
      <c r="J1773" s="5">
        <f>IF(I1773="","",I1773+6)</f>
        <v/>
      </c>
      <c r="K1773" s="6">
        <f>IF(OR(A1773="",B1773=""),"",DATE(YEAR(B1773),MONTH(B1773),1))</f>
        <v/>
      </c>
      <c r="L1773" s="7">
        <f>IF(COUNTA(A1773,B1773)=0,"",IF(OR(A1773="",B1773=""),"Preencher CPF e entrada",IF(COUNTIFS($A$12:$A$5011,A1773,$B$12:$B$5011,B1773)&gt;1,"CPF + dia duplicado",IF(OR(AND(E1773&lt;&gt;"",E1773&lt;B1773),AND(F1773&lt;&gt;"",F1773&lt;B1773)),"Evento anterior à entrada",IF(AND(F1773&lt;&gt;"",E1773=""),"Conversa sem agendamento",IF(OR(E1773&gt;TODAY(),F1773&gt;TODAY()),"Verificar evento futuro","OK"))))))</f>
        <v/>
      </c>
    </row>
    <row r="1774" spans="9:12">
      <c r="I1774" s="5">
        <f>IF(OR(A1774="",B1774=""),"",B1774-WEEKDAY(B1774,2)+1)</f>
        <v/>
      </c>
      <c r="J1774" s="5">
        <f>IF(I1774="","",I1774+6)</f>
        <v/>
      </c>
      <c r="K1774" s="6">
        <f>IF(OR(A1774="",B1774=""),"",DATE(YEAR(B1774),MONTH(B1774),1))</f>
        <v/>
      </c>
      <c r="L1774" s="7">
        <f>IF(COUNTA(A1774,B1774)=0,"",IF(OR(A1774="",B1774=""),"Preencher CPF e entrada",IF(COUNTIFS($A$12:$A$5011,A1774,$B$12:$B$5011,B1774)&gt;1,"CPF + dia duplicado",IF(OR(AND(E1774&lt;&gt;"",E1774&lt;B1774),AND(F1774&lt;&gt;"",F1774&lt;B1774)),"Evento anterior à entrada",IF(AND(F1774&lt;&gt;"",E1774=""),"Conversa sem agendamento",IF(OR(E1774&gt;TODAY(),F1774&gt;TODAY()),"Verificar evento futuro","OK"))))))</f>
        <v/>
      </c>
    </row>
    <row r="1775" spans="9:12">
      <c r="I1775" s="5">
        <f>IF(OR(A1775="",B1775=""),"",B1775-WEEKDAY(B1775,2)+1)</f>
        <v/>
      </c>
      <c r="J1775" s="5">
        <f>IF(I1775="","",I1775+6)</f>
        <v/>
      </c>
      <c r="K1775" s="6">
        <f>IF(OR(A1775="",B1775=""),"",DATE(YEAR(B1775),MONTH(B1775),1))</f>
        <v/>
      </c>
      <c r="L1775" s="7">
        <f>IF(COUNTA(A1775,B1775)=0,"",IF(OR(A1775="",B1775=""),"Preencher CPF e entrada",IF(COUNTIFS($A$12:$A$5011,A1775,$B$12:$B$5011,B1775)&gt;1,"CPF + dia duplicado",IF(OR(AND(E1775&lt;&gt;"",E1775&lt;B1775),AND(F1775&lt;&gt;"",F1775&lt;B1775)),"Evento anterior à entrada",IF(AND(F1775&lt;&gt;"",E1775=""),"Conversa sem agendamento",IF(OR(E1775&gt;TODAY(),F1775&gt;TODAY()),"Verificar evento futuro","OK"))))))</f>
        <v/>
      </c>
    </row>
    <row r="1776" spans="9:12">
      <c r="I1776" s="5">
        <f>IF(OR(A1776="",B1776=""),"",B1776-WEEKDAY(B1776,2)+1)</f>
        <v/>
      </c>
      <c r="J1776" s="5">
        <f>IF(I1776="","",I1776+6)</f>
        <v/>
      </c>
      <c r="K1776" s="6">
        <f>IF(OR(A1776="",B1776=""),"",DATE(YEAR(B1776),MONTH(B1776),1))</f>
        <v/>
      </c>
      <c r="L1776" s="7">
        <f>IF(COUNTA(A1776,B1776)=0,"",IF(OR(A1776="",B1776=""),"Preencher CPF e entrada",IF(COUNTIFS($A$12:$A$5011,A1776,$B$12:$B$5011,B1776)&gt;1,"CPF + dia duplicado",IF(OR(AND(E1776&lt;&gt;"",E1776&lt;B1776),AND(F1776&lt;&gt;"",F1776&lt;B1776)),"Evento anterior à entrada",IF(AND(F1776&lt;&gt;"",E1776=""),"Conversa sem agendamento",IF(OR(E1776&gt;TODAY(),F1776&gt;TODAY()),"Verificar evento futuro","OK"))))))</f>
        <v/>
      </c>
    </row>
    <row r="1777" spans="9:12">
      <c r="I1777" s="5">
        <f>IF(OR(A1777="",B1777=""),"",B1777-WEEKDAY(B1777,2)+1)</f>
        <v/>
      </c>
      <c r="J1777" s="5">
        <f>IF(I1777="","",I1777+6)</f>
        <v/>
      </c>
      <c r="K1777" s="6">
        <f>IF(OR(A1777="",B1777=""),"",DATE(YEAR(B1777),MONTH(B1777),1))</f>
        <v/>
      </c>
      <c r="L1777" s="7">
        <f>IF(COUNTA(A1777,B1777)=0,"",IF(OR(A1777="",B1777=""),"Preencher CPF e entrada",IF(COUNTIFS($A$12:$A$5011,A1777,$B$12:$B$5011,B1777)&gt;1,"CPF + dia duplicado",IF(OR(AND(E1777&lt;&gt;"",E1777&lt;B1777),AND(F1777&lt;&gt;"",F1777&lt;B1777)),"Evento anterior à entrada",IF(AND(F1777&lt;&gt;"",E1777=""),"Conversa sem agendamento",IF(OR(E1777&gt;TODAY(),F1777&gt;TODAY()),"Verificar evento futuro","OK"))))))</f>
        <v/>
      </c>
    </row>
    <row r="1778" spans="9:12">
      <c r="I1778" s="5">
        <f>IF(OR(A1778="",B1778=""),"",B1778-WEEKDAY(B1778,2)+1)</f>
        <v/>
      </c>
      <c r="J1778" s="5">
        <f>IF(I1778="","",I1778+6)</f>
        <v/>
      </c>
      <c r="K1778" s="6">
        <f>IF(OR(A1778="",B1778=""),"",DATE(YEAR(B1778),MONTH(B1778),1))</f>
        <v/>
      </c>
      <c r="L1778" s="7">
        <f>IF(COUNTA(A1778,B1778)=0,"",IF(OR(A1778="",B1778=""),"Preencher CPF e entrada",IF(COUNTIFS($A$12:$A$5011,A1778,$B$12:$B$5011,B1778)&gt;1,"CPF + dia duplicado",IF(OR(AND(E1778&lt;&gt;"",E1778&lt;B1778),AND(F1778&lt;&gt;"",F1778&lt;B1778)),"Evento anterior à entrada",IF(AND(F1778&lt;&gt;"",E1778=""),"Conversa sem agendamento",IF(OR(E1778&gt;TODAY(),F1778&gt;TODAY()),"Verificar evento futuro","OK"))))))</f>
        <v/>
      </c>
    </row>
    <row r="1779" spans="9:12">
      <c r="I1779" s="5">
        <f>IF(OR(A1779="",B1779=""),"",B1779-WEEKDAY(B1779,2)+1)</f>
        <v/>
      </c>
      <c r="J1779" s="5">
        <f>IF(I1779="","",I1779+6)</f>
        <v/>
      </c>
      <c r="K1779" s="6">
        <f>IF(OR(A1779="",B1779=""),"",DATE(YEAR(B1779),MONTH(B1779),1))</f>
        <v/>
      </c>
      <c r="L1779" s="7">
        <f>IF(COUNTA(A1779,B1779)=0,"",IF(OR(A1779="",B1779=""),"Preencher CPF e entrada",IF(COUNTIFS($A$12:$A$5011,A1779,$B$12:$B$5011,B1779)&gt;1,"CPF + dia duplicado",IF(OR(AND(E1779&lt;&gt;"",E1779&lt;B1779),AND(F1779&lt;&gt;"",F1779&lt;B1779)),"Evento anterior à entrada",IF(AND(F1779&lt;&gt;"",E1779=""),"Conversa sem agendamento",IF(OR(E1779&gt;TODAY(),F1779&gt;TODAY()),"Verificar evento futuro","OK"))))))</f>
        <v/>
      </c>
    </row>
    <row r="1780" spans="9:12">
      <c r="I1780" s="5">
        <f>IF(OR(A1780="",B1780=""),"",B1780-WEEKDAY(B1780,2)+1)</f>
        <v/>
      </c>
      <c r="J1780" s="5">
        <f>IF(I1780="","",I1780+6)</f>
        <v/>
      </c>
      <c r="K1780" s="6">
        <f>IF(OR(A1780="",B1780=""),"",DATE(YEAR(B1780),MONTH(B1780),1))</f>
        <v/>
      </c>
      <c r="L1780" s="7">
        <f>IF(COUNTA(A1780,B1780)=0,"",IF(OR(A1780="",B1780=""),"Preencher CPF e entrada",IF(COUNTIFS($A$12:$A$5011,A1780,$B$12:$B$5011,B1780)&gt;1,"CPF + dia duplicado",IF(OR(AND(E1780&lt;&gt;"",E1780&lt;B1780),AND(F1780&lt;&gt;"",F1780&lt;B1780)),"Evento anterior à entrada",IF(AND(F1780&lt;&gt;"",E1780=""),"Conversa sem agendamento",IF(OR(E1780&gt;TODAY(),F1780&gt;TODAY()),"Verificar evento futuro","OK"))))))</f>
        <v/>
      </c>
    </row>
    <row r="1781" spans="9:12">
      <c r="I1781" s="5">
        <f>IF(OR(A1781="",B1781=""),"",B1781-WEEKDAY(B1781,2)+1)</f>
        <v/>
      </c>
      <c r="J1781" s="5">
        <f>IF(I1781="","",I1781+6)</f>
        <v/>
      </c>
      <c r="K1781" s="6">
        <f>IF(OR(A1781="",B1781=""),"",DATE(YEAR(B1781),MONTH(B1781),1))</f>
        <v/>
      </c>
      <c r="L1781" s="7">
        <f>IF(COUNTA(A1781,B1781)=0,"",IF(OR(A1781="",B1781=""),"Preencher CPF e entrada",IF(COUNTIFS($A$12:$A$5011,A1781,$B$12:$B$5011,B1781)&gt;1,"CPF + dia duplicado",IF(OR(AND(E1781&lt;&gt;"",E1781&lt;B1781),AND(F1781&lt;&gt;"",F1781&lt;B1781)),"Evento anterior à entrada",IF(AND(F1781&lt;&gt;"",E1781=""),"Conversa sem agendamento",IF(OR(E1781&gt;TODAY(),F1781&gt;TODAY()),"Verificar evento futuro","OK"))))))</f>
        <v/>
      </c>
    </row>
    <row r="1782" spans="9:12">
      <c r="I1782" s="5">
        <f>IF(OR(A1782="",B1782=""),"",B1782-WEEKDAY(B1782,2)+1)</f>
        <v/>
      </c>
      <c r="J1782" s="5">
        <f>IF(I1782="","",I1782+6)</f>
        <v/>
      </c>
      <c r="K1782" s="6">
        <f>IF(OR(A1782="",B1782=""),"",DATE(YEAR(B1782),MONTH(B1782),1))</f>
        <v/>
      </c>
      <c r="L1782" s="7">
        <f>IF(COUNTA(A1782,B1782)=0,"",IF(OR(A1782="",B1782=""),"Preencher CPF e entrada",IF(COUNTIFS($A$12:$A$5011,A1782,$B$12:$B$5011,B1782)&gt;1,"CPF + dia duplicado",IF(OR(AND(E1782&lt;&gt;"",E1782&lt;B1782),AND(F1782&lt;&gt;"",F1782&lt;B1782)),"Evento anterior à entrada",IF(AND(F1782&lt;&gt;"",E1782=""),"Conversa sem agendamento",IF(OR(E1782&gt;TODAY(),F1782&gt;TODAY()),"Verificar evento futuro","OK"))))))</f>
        <v/>
      </c>
    </row>
    <row r="1783" spans="9:12">
      <c r="I1783" s="5">
        <f>IF(OR(A1783="",B1783=""),"",B1783-WEEKDAY(B1783,2)+1)</f>
        <v/>
      </c>
      <c r="J1783" s="5">
        <f>IF(I1783="","",I1783+6)</f>
        <v/>
      </c>
      <c r="K1783" s="6">
        <f>IF(OR(A1783="",B1783=""),"",DATE(YEAR(B1783),MONTH(B1783),1))</f>
        <v/>
      </c>
      <c r="L1783" s="7">
        <f>IF(COUNTA(A1783,B1783)=0,"",IF(OR(A1783="",B1783=""),"Preencher CPF e entrada",IF(COUNTIFS($A$12:$A$5011,A1783,$B$12:$B$5011,B1783)&gt;1,"CPF + dia duplicado",IF(OR(AND(E1783&lt;&gt;"",E1783&lt;B1783),AND(F1783&lt;&gt;"",F1783&lt;B1783)),"Evento anterior à entrada",IF(AND(F1783&lt;&gt;"",E1783=""),"Conversa sem agendamento",IF(OR(E1783&gt;TODAY(),F1783&gt;TODAY()),"Verificar evento futuro","OK"))))))</f>
        <v/>
      </c>
    </row>
    <row r="1784" spans="9:12">
      <c r="I1784" s="5">
        <f>IF(OR(A1784="",B1784=""),"",B1784-WEEKDAY(B1784,2)+1)</f>
        <v/>
      </c>
      <c r="J1784" s="5">
        <f>IF(I1784="","",I1784+6)</f>
        <v/>
      </c>
      <c r="K1784" s="6">
        <f>IF(OR(A1784="",B1784=""),"",DATE(YEAR(B1784),MONTH(B1784),1))</f>
        <v/>
      </c>
      <c r="L1784" s="7">
        <f>IF(COUNTA(A1784,B1784)=0,"",IF(OR(A1784="",B1784=""),"Preencher CPF e entrada",IF(COUNTIFS($A$12:$A$5011,A1784,$B$12:$B$5011,B1784)&gt;1,"CPF + dia duplicado",IF(OR(AND(E1784&lt;&gt;"",E1784&lt;B1784),AND(F1784&lt;&gt;"",F1784&lt;B1784)),"Evento anterior à entrada",IF(AND(F1784&lt;&gt;"",E1784=""),"Conversa sem agendamento",IF(OR(E1784&gt;TODAY(),F1784&gt;TODAY()),"Verificar evento futuro","OK"))))))</f>
        <v/>
      </c>
    </row>
    <row r="1785" spans="9:12">
      <c r="I1785" s="5">
        <f>IF(OR(A1785="",B1785=""),"",B1785-WEEKDAY(B1785,2)+1)</f>
        <v/>
      </c>
      <c r="J1785" s="5">
        <f>IF(I1785="","",I1785+6)</f>
        <v/>
      </c>
      <c r="K1785" s="6">
        <f>IF(OR(A1785="",B1785=""),"",DATE(YEAR(B1785),MONTH(B1785),1))</f>
        <v/>
      </c>
      <c r="L1785" s="7">
        <f>IF(COUNTA(A1785,B1785)=0,"",IF(OR(A1785="",B1785=""),"Preencher CPF e entrada",IF(COUNTIFS($A$12:$A$5011,A1785,$B$12:$B$5011,B1785)&gt;1,"CPF + dia duplicado",IF(OR(AND(E1785&lt;&gt;"",E1785&lt;B1785),AND(F1785&lt;&gt;"",F1785&lt;B1785)),"Evento anterior à entrada",IF(AND(F1785&lt;&gt;"",E1785=""),"Conversa sem agendamento",IF(OR(E1785&gt;TODAY(),F1785&gt;TODAY()),"Verificar evento futuro","OK"))))))</f>
        <v/>
      </c>
    </row>
    <row r="1786" spans="9:12">
      <c r="I1786" s="5">
        <f>IF(OR(A1786="",B1786=""),"",B1786-WEEKDAY(B1786,2)+1)</f>
        <v/>
      </c>
      <c r="J1786" s="5">
        <f>IF(I1786="","",I1786+6)</f>
        <v/>
      </c>
      <c r="K1786" s="6">
        <f>IF(OR(A1786="",B1786=""),"",DATE(YEAR(B1786),MONTH(B1786),1))</f>
        <v/>
      </c>
      <c r="L1786" s="7">
        <f>IF(COUNTA(A1786,B1786)=0,"",IF(OR(A1786="",B1786=""),"Preencher CPF e entrada",IF(COUNTIFS($A$12:$A$5011,A1786,$B$12:$B$5011,B1786)&gt;1,"CPF + dia duplicado",IF(OR(AND(E1786&lt;&gt;"",E1786&lt;B1786),AND(F1786&lt;&gt;"",F1786&lt;B1786)),"Evento anterior à entrada",IF(AND(F1786&lt;&gt;"",E1786=""),"Conversa sem agendamento",IF(OR(E1786&gt;TODAY(),F1786&gt;TODAY()),"Verificar evento futuro","OK"))))))</f>
        <v/>
      </c>
    </row>
    <row r="1787" spans="9:12">
      <c r="I1787" s="5">
        <f>IF(OR(A1787="",B1787=""),"",B1787-WEEKDAY(B1787,2)+1)</f>
        <v/>
      </c>
      <c r="J1787" s="5">
        <f>IF(I1787="","",I1787+6)</f>
        <v/>
      </c>
      <c r="K1787" s="6">
        <f>IF(OR(A1787="",B1787=""),"",DATE(YEAR(B1787),MONTH(B1787),1))</f>
        <v/>
      </c>
      <c r="L1787" s="7">
        <f>IF(COUNTA(A1787,B1787)=0,"",IF(OR(A1787="",B1787=""),"Preencher CPF e entrada",IF(COUNTIFS($A$12:$A$5011,A1787,$B$12:$B$5011,B1787)&gt;1,"CPF + dia duplicado",IF(OR(AND(E1787&lt;&gt;"",E1787&lt;B1787),AND(F1787&lt;&gt;"",F1787&lt;B1787)),"Evento anterior à entrada",IF(AND(F1787&lt;&gt;"",E1787=""),"Conversa sem agendamento",IF(OR(E1787&gt;TODAY(),F1787&gt;TODAY()),"Verificar evento futuro","OK"))))))</f>
        <v/>
      </c>
    </row>
    <row r="1788" spans="9:12">
      <c r="I1788" s="5">
        <f>IF(OR(A1788="",B1788=""),"",B1788-WEEKDAY(B1788,2)+1)</f>
        <v/>
      </c>
      <c r="J1788" s="5">
        <f>IF(I1788="","",I1788+6)</f>
        <v/>
      </c>
      <c r="K1788" s="6">
        <f>IF(OR(A1788="",B1788=""),"",DATE(YEAR(B1788),MONTH(B1788),1))</f>
        <v/>
      </c>
      <c r="L1788" s="7">
        <f>IF(COUNTA(A1788,B1788)=0,"",IF(OR(A1788="",B1788=""),"Preencher CPF e entrada",IF(COUNTIFS($A$12:$A$5011,A1788,$B$12:$B$5011,B1788)&gt;1,"CPF + dia duplicado",IF(OR(AND(E1788&lt;&gt;"",E1788&lt;B1788),AND(F1788&lt;&gt;"",F1788&lt;B1788)),"Evento anterior à entrada",IF(AND(F1788&lt;&gt;"",E1788=""),"Conversa sem agendamento",IF(OR(E1788&gt;TODAY(),F1788&gt;TODAY()),"Verificar evento futuro","OK"))))))</f>
        <v/>
      </c>
    </row>
    <row r="1789" spans="9:12">
      <c r="I1789" s="5">
        <f>IF(OR(A1789="",B1789=""),"",B1789-WEEKDAY(B1789,2)+1)</f>
        <v/>
      </c>
      <c r="J1789" s="5">
        <f>IF(I1789="","",I1789+6)</f>
        <v/>
      </c>
      <c r="K1789" s="6">
        <f>IF(OR(A1789="",B1789=""),"",DATE(YEAR(B1789),MONTH(B1789),1))</f>
        <v/>
      </c>
      <c r="L1789" s="7">
        <f>IF(COUNTA(A1789,B1789)=0,"",IF(OR(A1789="",B1789=""),"Preencher CPF e entrada",IF(COUNTIFS($A$12:$A$5011,A1789,$B$12:$B$5011,B1789)&gt;1,"CPF + dia duplicado",IF(OR(AND(E1789&lt;&gt;"",E1789&lt;B1789),AND(F1789&lt;&gt;"",F1789&lt;B1789)),"Evento anterior à entrada",IF(AND(F1789&lt;&gt;"",E1789=""),"Conversa sem agendamento",IF(OR(E1789&gt;TODAY(),F1789&gt;TODAY()),"Verificar evento futuro","OK"))))))</f>
        <v/>
      </c>
    </row>
    <row r="1790" spans="9:12">
      <c r="I1790" s="5">
        <f>IF(OR(A1790="",B1790=""),"",B1790-WEEKDAY(B1790,2)+1)</f>
        <v/>
      </c>
      <c r="J1790" s="5">
        <f>IF(I1790="","",I1790+6)</f>
        <v/>
      </c>
      <c r="K1790" s="6">
        <f>IF(OR(A1790="",B1790=""),"",DATE(YEAR(B1790),MONTH(B1790),1))</f>
        <v/>
      </c>
      <c r="L1790" s="7">
        <f>IF(COUNTA(A1790,B1790)=0,"",IF(OR(A1790="",B1790=""),"Preencher CPF e entrada",IF(COUNTIFS($A$12:$A$5011,A1790,$B$12:$B$5011,B1790)&gt;1,"CPF + dia duplicado",IF(OR(AND(E1790&lt;&gt;"",E1790&lt;B1790),AND(F1790&lt;&gt;"",F1790&lt;B1790)),"Evento anterior à entrada",IF(AND(F1790&lt;&gt;"",E1790=""),"Conversa sem agendamento",IF(OR(E1790&gt;TODAY(),F1790&gt;TODAY()),"Verificar evento futuro","OK"))))))</f>
        <v/>
      </c>
    </row>
    <row r="1791" spans="9:12">
      <c r="I1791" s="5">
        <f>IF(OR(A1791="",B1791=""),"",B1791-WEEKDAY(B1791,2)+1)</f>
        <v/>
      </c>
      <c r="J1791" s="5">
        <f>IF(I1791="","",I1791+6)</f>
        <v/>
      </c>
      <c r="K1791" s="6">
        <f>IF(OR(A1791="",B1791=""),"",DATE(YEAR(B1791),MONTH(B1791),1))</f>
        <v/>
      </c>
      <c r="L1791" s="7">
        <f>IF(COUNTA(A1791,B1791)=0,"",IF(OR(A1791="",B1791=""),"Preencher CPF e entrada",IF(COUNTIFS($A$12:$A$5011,A1791,$B$12:$B$5011,B1791)&gt;1,"CPF + dia duplicado",IF(OR(AND(E1791&lt;&gt;"",E1791&lt;B1791),AND(F1791&lt;&gt;"",F1791&lt;B1791)),"Evento anterior à entrada",IF(AND(F1791&lt;&gt;"",E1791=""),"Conversa sem agendamento",IF(OR(E1791&gt;TODAY(),F1791&gt;TODAY()),"Verificar evento futuro","OK"))))))</f>
        <v/>
      </c>
    </row>
    <row r="1792" spans="9:12">
      <c r="I1792" s="5">
        <f>IF(OR(A1792="",B1792=""),"",B1792-WEEKDAY(B1792,2)+1)</f>
        <v/>
      </c>
      <c r="J1792" s="5">
        <f>IF(I1792="","",I1792+6)</f>
        <v/>
      </c>
      <c r="K1792" s="6">
        <f>IF(OR(A1792="",B1792=""),"",DATE(YEAR(B1792),MONTH(B1792),1))</f>
        <v/>
      </c>
      <c r="L1792" s="7">
        <f>IF(COUNTA(A1792,B1792)=0,"",IF(OR(A1792="",B1792=""),"Preencher CPF e entrada",IF(COUNTIFS($A$12:$A$5011,A1792,$B$12:$B$5011,B1792)&gt;1,"CPF + dia duplicado",IF(OR(AND(E1792&lt;&gt;"",E1792&lt;B1792),AND(F1792&lt;&gt;"",F1792&lt;B1792)),"Evento anterior à entrada",IF(AND(F1792&lt;&gt;"",E1792=""),"Conversa sem agendamento",IF(OR(E1792&gt;TODAY(),F1792&gt;TODAY()),"Verificar evento futuro","OK"))))))</f>
        <v/>
      </c>
    </row>
    <row r="1793" spans="9:12">
      <c r="I1793" s="5">
        <f>IF(OR(A1793="",B1793=""),"",B1793-WEEKDAY(B1793,2)+1)</f>
        <v/>
      </c>
      <c r="J1793" s="5">
        <f>IF(I1793="","",I1793+6)</f>
        <v/>
      </c>
      <c r="K1793" s="6">
        <f>IF(OR(A1793="",B1793=""),"",DATE(YEAR(B1793),MONTH(B1793),1))</f>
        <v/>
      </c>
      <c r="L1793" s="7">
        <f>IF(COUNTA(A1793,B1793)=0,"",IF(OR(A1793="",B1793=""),"Preencher CPF e entrada",IF(COUNTIFS($A$12:$A$5011,A1793,$B$12:$B$5011,B1793)&gt;1,"CPF + dia duplicado",IF(OR(AND(E1793&lt;&gt;"",E1793&lt;B1793),AND(F1793&lt;&gt;"",F1793&lt;B1793)),"Evento anterior à entrada",IF(AND(F1793&lt;&gt;"",E1793=""),"Conversa sem agendamento",IF(OR(E1793&gt;TODAY(),F1793&gt;TODAY()),"Verificar evento futuro","OK"))))))</f>
        <v/>
      </c>
    </row>
    <row r="1794" spans="9:12">
      <c r="I1794" s="5">
        <f>IF(OR(A1794="",B1794=""),"",B1794-WEEKDAY(B1794,2)+1)</f>
        <v/>
      </c>
      <c r="J1794" s="5">
        <f>IF(I1794="","",I1794+6)</f>
        <v/>
      </c>
      <c r="K1794" s="6">
        <f>IF(OR(A1794="",B1794=""),"",DATE(YEAR(B1794),MONTH(B1794),1))</f>
        <v/>
      </c>
      <c r="L1794" s="7">
        <f>IF(COUNTA(A1794,B1794)=0,"",IF(OR(A1794="",B1794=""),"Preencher CPF e entrada",IF(COUNTIFS($A$12:$A$5011,A1794,$B$12:$B$5011,B1794)&gt;1,"CPF + dia duplicado",IF(OR(AND(E1794&lt;&gt;"",E1794&lt;B1794),AND(F1794&lt;&gt;"",F1794&lt;B1794)),"Evento anterior à entrada",IF(AND(F1794&lt;&gt;"",E1794=""),"Conversa sem agendamento",IF(OR(E1794&gt;TODAY(),F1794&gt;TODAY()),"Verificar evento futuro","OK"))))))</f>
        <v/>
      </c>
    </row>
    <row r="1795" spans="9:12">
      <c r="I1795" s="5">
        <f>IF(OR(A1795="",B1795=""),"",B1795-WEEKDAY(B1795,2)+1)</f>
        <v/>
      </c>
      <c r="J1795" s="5">
        <f>IF(I1795="","",I1795+6)</f>
        <v/>
      </c>
      <c r="K1795" s="6">
        <f>IF(OR(A1795="",B1795=""),"",DATE(YEAR(B1795),MONTH(B1795),1))</f>
        <v/>
      </c>
      <c r="L1795" s="7">
        <f>IF(COUNTA(A1795,B1795)=0,"",IF(OR(A1795="",B1795=""),"Preencher CPF e entrada",IF(COUNTIFS($A$12:$A$5011,A1795,$B$12:$B$5011,B1795)&gt;1,"CPF + dia duplicado",IF(OR(AND(E1795&lt;&gt;"",E1795&lt;B1795),AND(F1795&lt;&gt;"",F1795&lt;B1795)),"Evento anterior à entrada",IF(AND(F1795&lt;&gt;"",E1795=""),"Conversa sem agendamento",IF(OR(E1795&gt;TODAY(),F1795&gt;TODAY()),"Verificar evento futuro","OK"))))))</f>
        <v/>
      </c>
    </row>
    <row r="1796" spans="9:12">
      <c r="I1796" s="5">
        <f>IF(OR(A1796="",B1796=""),"",B1796-WEEKDAY(B1796,2)+1)</f>
        <v/>
      </c>
      <c r="J1796" s="5">
        <f>IF(I1796="","",I1796+6)</f>
        <v/>
      </c>
      <c r="K1796" s="6">
        <f>IF(OR(A1796="",B1796=""),"",DATE(YEAR(B1796),MONTH(B1796),1))</f>
        <v/>
      </c>
      <c r="L1796" s="7">
        <f>IF(COUNTA(A1796,B1796)=0,"",IF(OR(A1796="",B1796=""),"Preencher CPF e entrada",IF(COUNTIFS($A$12:$A$5011,A1796,$B$12:$B$5011,B1796)&gt;1,"CPF + dia duplicado",IF(OR(AND(E1796&lt;&gt;"",E1796&lt;B1796),AND(F1796&lt;&gt;"",F1796&lt;B1796)),"Evento anterior à entrada",IF(AND(F1796&lt;&gt;"",E1796=""),"Conversa sem agendamento",IF(OR(E1796&gt;TODAY(),F1796&gt;TODAY()),"Verificar evento futuro","OK"))))))</f>
        <v/>
      </c>
    </row>
    <row r="1797" spans="9:12">
      <c r="I1797" s="5">
        <f>IF(OR(A1797="",B1797=""),"",B1797-WEEKDAY(B1797,2)+1)</f>
        <v/>
      </c>
      <c r="J1797" s="5">
        <f>IF(I1797="","",I1797+6)</f>
        <v/>
      </c>
      <c r="K1797" s="6">
        <f>IF(OR(A1797="",B1797=""),"",DATE(YEAR(B1797),MONTH(B1797),1))</f>
        <v/>
      </c>
      <c r="L1797" s="7">
        <f>IF(COUNTA(A1797,B1797)=0,"",IF(OR(A1797="",B1797=""),"Preencher CPF e entrada",IF(COUNTIFS($A$12:$A$5011,A1797,$B$12:$B$5011,B1797)&gt;1,"CPF + dia duplicado",IF(OR(AND(E1797&lt;&gt;"",E1797&lt;B1797),AND(F1797&lt;&gt;"",F1797&lt;B1797)),"Evento anterior à entrada",IF(AND(F1797&lt;&gt;"",E1797=""),"Conversa sem agendamento",IF(OR(E1797&gt;TODAY(),F1797&gt;TODAY()),"Verificar evento futuro","OK"))))))</f>
        <v/>
      </c>
    </row>
    <row r="1798" spans="9:12">
      <c r="I1798" s="5">
        <f>IF(OR(A1798="",B1798=""),"",B1798-WEEKDAY(B1798,2)+1)</f>
        <v/>
      </c>
      <c r="J1798" s="5">
        <f>IF(I1798="","",I1798+6)</f>
        <v/>
      </c>
      <c r="K1798" s="6">
        <f>IF(OR(A1798="",B1798=""),"",DATE(YEAR(B1798),MONTH(B1798),1))</f>
        <v/>
      </c>
      <c r="L1798" s="7">
        <f>IF(COUNTA(A1798,B1798)=0,"",IF(OR(A1798="",B1798=""),"Preencher CPF e entrada",IF(COUNTIFS($A$12:$A$5011,A1798,$B$12:$B$5011,B1798)&gt;1,"CPF + dia duplicado",IF(OR(AND(E1798&lt;&gt;"",E1798&lt;B1798),AND(F1798&lt;&gt;"",F1798&lt;B1798)),"Evento anterior à entrada",IF(AND(F1798&lt;&gt;"",E1798=""),"Conversa sem agendamento",IF(OR(E1798&gt;TODAY(),F1798&gt;TODAY()),"Verificar evento futuro","OK"))))))</f>
        <v/>
      </c>
    </row>
    <row r="1799" spans="9:12">
      <c r="I1799" s="5">
        <f>IF(OR(A1799="",B1799=""),"",B1799-WEEKDAY(B1799,2)+1)</f>
        <v/>
      </c>
      <c r="J1799" s="5">
        <f>IF(I1799="","",I1799+6)</f>
        <v/>
      </c>
      <c r="K1799" s="6">
        <f>IF(OR(A1799="",B1799=""),"",DATE(YEAR(B1799),MONTH(B1799),1))</f>
        <v/>
      </c>
      <c r="L1799" s="7">
        <f>IF(COUNTA(A1799,B1799)=0,"",IF(OR(A1799="",B1799=""),"Preencher CPF e entrada",IF(COUNTIFS($A$12:$A$5011,A1799,$B$12:$B$5011,B1799)&gt;1,"CPF + dia duplicado",IF(OR(AND(E1799&lt;&gt;"",E1799&lt;B1799),AND(F1799&lt;&gt;"",F1799&lt;B1799)),"Evento anterior à entrada",IF(AND(F1799&lt;&gt;"",E1799=""),"Conversa sem agendamento",IF(OR(E1799&gt;TODAY(),F1799&gt;TODAY()),"Verificar evento futuro","OK"))))))</f>
        <v/>
      </c>
    </row>
    <row r="1800" spans="9:12">
      <c r="I1800" s="5">
        <f>IF(OR(A1800="",B1800=""),"",B1800-WEEKDAY(B1800,2)+1)</f>
        <v/>
      </c>
      <c r="J1800" s="5">
        <f>IF(I1800="","",I1800+6)</f>
        <v/>
      </c>
      <c r="K1800" s="6">
        <f>IF(OR(A1800="",B1800=""),"",DATE(YEAR(B1800),MONTH(B1800),1))</f>
        <v/>
      </c>
      <c r="L1800" s="7">
        <f>IF(COUNTA(A1800,B1800)=0,"",IF(OR(A1800="",B1800=""),"Preencher CPF e entrada",IF(COUNTIFS($A$12:$A$5011,A1800,$B$12:$B$5011,B1800)&gt;1,"CPF + dia duplicado",IF(OR(AND(E1800&lt;&gt;"",E1800&lt;B1800),AND(F1800&lt;&gt;"",F1800&lt;B1800)),"Evento anterior à entrada",IF(AND(F1800&lt;&gt;"",E1800=""),"Conversa sem agendamento",IF(OR(E1800&gt;TODAY(),F1800&gt;TODAY()),"Verificar evento futuro","OK"))))))</f>
        <v/>
      </c>
    </row>
    <row r="1801" spans="9:12">
      <c r="I1801" s="5">
        <f>IF(OR(A1801="",B1801=""),"",B1801-WEEKDAY(B1801,2)+1)</f>
        <v/>
      </c>
      <c r="J1801" s="5">
        <f>IF(I1801="","",I1801+6)</f>
        <v/>
      </c>
      <c r="K1801" s="6">
        <f>IF(OR(A1801="",B1801=""),"",DATE(YEAR(B1801),MONTH(B1801),1))</f>
        <v/>
      </c>
      <c r="L1801" s="7">
        <f>IF(COUNTA(A1801,B1801)=0,"",IF(OR(A1801="",B1801=""),"Preencher CPF e entrada",IF(COUNTIFS($A$12:$A$5011,A1801,$B$12:$B$5011,B1801)&gt;1,"CPF + dia duplicado",IF(OR(AND(E1801&lt;&gt;"",E1801&lt;B1801),AND(F1801&lt;&gt;"",F1801&lt;B1801)),"Evento anterior à entrada",IF(AND(F1801&lt;&gt;"",E1801=""),"Conversa sem agendamento",IF(OR(E1801&gt;TODAY(),F1801&gt;TODAY()),"Verificar evento futuro","OK"))))))</f>
        <v/>
      </c>
    </row>
    <row r="1802" spans="9:12">
      <c r="I1802" s="5">
        <f>IF(OR(A1802="",B1802=""),"",B1802-WEEKDAY(B1802,2)+1)</f>
        <v/>
      </c>
      <c r="J1802" s="5">
        <f>IF(I1802="","",I1802+6)</f>
        <v/>
      </c>
      <c r="K1802" s="6">
        <f>IF(OR(A1802="",B1802=""),"",DATE(YEAR(B1802),MONTH(B1802),1))</f>
        <v/>
      </c>
      <c r="L1802" s="7">
        <f>IF(COUNTA(A1802,B1802)=0,"",IF(OR(A1802="",B1802=""),"Preencher CPF e entrada",IF(COUNTIFS($A$12:$A$5011,A1802,$B$12:$B$5011,B1802)&gt;1,"CPF + dia duplicado",IF(OR(AND(E1802&lt;&gt;"",E1802&lt;B1802),AND(F1802&lt;&gt;"",F1802&lt;B1802)),"Evento anterior à entrada",IF(AND(F1802&lt;&gt;"",E1802=""),"Conversa sem agendamento",IF(OR(E1802&gt;TODAY(),F1802&gt;TODAY()),"Verificar evento futuro","OK"))))))</f>
        <v/>
      </c>
    </row>
    <row r="1803" spans="9:12">
      <c r="I1803" s="5">
        <f>IF(OR(A1803="",B1803=""),"",B1803-WEEKDAY(B1803,2)+1)</f>
        <v/>
      </c>
      <c r="J1803" s="5">
        <f>IF(I1803="","",I1803+6)</f>
        <v/>
      </c>
      <c r="K1803" s="6">
        <f>IF(OR(A1803="",B1803=""),"",DATE(YEAR(B1803),MONTH(B1803),1))</f>
        <v/>
      </c>
      <c r="L1803" s="7">
        <f>IF(COUNTA(A1803,B1803)=0,"",IF(OR(A1803="",B1803=""),"Preencher CPF e entrada",IF(COUNTIFS($A$12:$A$5011,A1803,$B$12:$B$5011,B1803)&gt;1,"CPF + dia duplicado",IF(OR(AND(E1803&lt;&gt;"",E1803&lt;B1803),AND(F1803&lt;&gt;"",F1803&lt;B1803)),"Evento anterior à entrada",IF(AND(F1803&lt;&gt;"",E1803=""),"Conversa sem agendamento",IF(OR(E1803&gt;TODAY(),F1803&gt;TODAY()),"Verificar evento futuro","OK"))))))</f>
        <v/>
      </c>
    </row>
    <row r="1804" spans="9:12">
      <c r="I1804" s="5">
        <f>IF(OR(A1804="",B1804=""),"",B1804-WEEKDAY(B1804,2)+1)</f>
        <v/>
      </c>
      <c r="J1804" s="5">
        <f>IF(I1804="","",I1804+6)</f>
        <v/>
      </c>
      <c r="K1804" s="6">
        <f>IF(OR(A1804="",B1804=""),"",DATE(YEAR(B1804),MONTH(B1804),1))</f>
        <v/>
      </c>
      <c r="L1804" s="7">
        <f>IF(COUNTA(A1804,B1804)=0,"",IF(OR(A1804="",B1804=""),"Preencher CPF e entrada",IF(COUNTIFS($A$12:$A$5011,A1804,$B$12:$B$5011,B1804)&gt;1,"CPF + dia duplicado",IF(OR(AND(E1804&lt;&gt;"",E1804&lt;B1804),AND(F1804&lt;&gt;"",F1804&lt;B1804)),"Evento anterior à entrada",IF(AND(F1804&lt;&gt;"",E1804=""),"Conversa sem agendamento",IF(OR(E1804&gt;TODAY(),F1804&gt;TODAY()),"Verificar evento futuro","OK"))))))</f>
        <v/>
      </c>
    </row>
    <row r="1805" spans="9:12">
      <c r="I1805" s="5">
        <f>IF(OR(A1805="",B1805=""),"",B1805-WEEKDAY(B1805,2)+1)</f>
        <v/>
      </c>
      <c r="J1805" s="5">
        <f>IF(I1805="","",I1805+6)</f>
        <v/>
      </c>
      <c r="K1805" s="6">
        <f>IF(OR(A1805="",B1805=""),"",DATE(YEAR(B1805),MONTH(B1805),1))</f>
        <v/>
      </c>
      <c r="L1805" s="7">
        <f>IF(COUNTA(A1805,B1805)=0,"",IF(OR(A1805="",B1805=""),"Preencher CPF e entrada",IF(COUNTIFS($A$12:$A$5011,A1805,$B$12:$B$5011,B1805)&gt;1,"CPF + dia duplicado",IF(OR(AND(E1805&lt;&gt;"",E1805&lt;B1805),AND(F1805&lt;&gt;"",F1805&lt;B1805)),"Evento anterior à entrada",IF(AND(F1805&lt;&gt;"",E1805=""),"Conversa sem agendamento",IF(OR(E1805&gt;TODAY(),F1805&gt;TODAY()),"Verificar evento futuro","OK"))))))</f>
        <v/>
      </c>
    </row>
    <row r="1806" spans="9:12">
      <c r="I1806" s="5">
        <f>IF(OR(A1806="",B1806=""),"",B1806-WEEKDAY(B1806,2)+1)</f>
        <v/>
      </c>
      <c r="J1806" s="5">
        <f>IF(I1806="","",I1806+6)</f>
        <v/>
      </c>
      <c r="K1806" s="6">
        <f>IF(OR(A1806="",B1806=""),"",DATE(YEAR(B1806),MONTH(B1806),1))</f>
        <v/>
      </c>
      <c r="L1806" s="7">
        <f>IF(COUNTA(A1806,B1806)=0,"",IF(OR(A1806="",B1806=""),"Preencher CPF e entrada",IF(COUNTIFS($A$12:$A$5011,A1806,$B$12:$B$5011,B1806)&gt;1,"CPF + dia duplicado",IF(OR(AND(E1806&lt;&gt;"",E1806&lt;B1806),AND(F1806&lt;&gt;"",F1806&lt;B1806)),"Evento anterior à entrada",IF(AND(F1806&lt;&gt;"",E1806=""),"Conversa sem agendamento",IF(OR(E1806&gt;TODAY(),F1806&gt;TODAY()),"Verificar evento futuro","OK"))))))</f>
        <v/>
      </c>
    </row>
    <row r="1807" spans="9:12">
      <c r="I1807" s="5">
        <f>IF(OR(A1807="",B1807=""),"",B1807-WEEKDAY(B1807,2)+1)</f>
        <v/>
      </c>
      <c r="J1807" s="5">
        <f>IF(I1807="","",I1807+6)</f>
        <v/>
      </c>
      <c r="K1807" s="6">
        <f>IF(OR(A1807="",B1807=""),"",DATE(YEAR(B1807),MONTH(B1807),1))</f>
        <v/>
      </c>
      <c r="L1807" s="7">
        <f>IF(COUNTA(A1807,B1807)=0,"",IF(OR(A1807="",B1807=""),"Preencher CPF e entrada",IF(COUNTIFS($A$12:$A$5011,A1807,$B$12:$B$5011,B1807)&gt;1,"CPF + dia duplicado",IF(OR(AND(E1807&lt;&gt;"",E1807&lt;B1807),AND(F1807&lt;&gt;"",F1807&lt;B1807)),"Evento anterior à entrada",IF(AND(F1807&lt;&gt;"",E1807=""),"Conversa sem agendamento",IF(OR(E1807&gt;TODAY(),F1807&gt;TODAY()),"Verificar evento futuro","OK"))))))</f>
        <v/>
      </c>
    </row>
    <row r="1808" spans="9:12">
      <c r="I1808" s="5">
        <f>IF(OR(A1808="",B1808=""),"",B1808-WEEKDAY(B1808,2)+1)</f>
        <v/>
      </c>
      <c r="J1808" s="5">
        <f>IF(I1808="","",I1808+6)</f>
        <v/>
      </c>
      <c r="K1808" s="6">
        <f>IF(OR(A1808="",B1808=""),"",DATE(YEAR(B1808),MONTH(B1808),1))</f>
        <v/>
      </c>
      <c r="L1808" s="7">
        <f>IF(COUNTA(A1808,B1808)=0,"",IF(OR(A1808="",B1808=""),"Preencher CPF e entrada",IF(COUNTIFS($A$12:$A$5011,A1808,$B$12:$B$5011,B1808)&gt;1,"CPF + dia duplicado",IF(OR(AND(E1808&lt;&gt;"",E1808&lt;B1808),AND(F1808&lt;&gt;"",F1808&lt;B1808)),"Evento anterior à entrada",IF(AND(F1808&lt;&gt;"",E1808=""),"Conversa sem agendamento",IF(OR(E1808&gt;TODAY(),F1808&gt;TODAY()),"Verificar evento futuro","OK"))))))</f>
        <v/>
      </c>
    </row>
    <row r="1809" spans="9:12">
      <c r="I1809" s="5">
        <f>IF(OR(A1809="",B1809=""),"",B1809-WEEKDAY(B1809,2)+1)</f>
        <v/>
      </c>
      <c r="J1809" s="5">
        <f>IF(I1809="","",I1809+6)</f>
        <v/>
      </c>
      <c r="K1809" s="6">
        <f>IF(OR(A1809="",B1809=""),"",DATE(YEAR(B1809),MONTH(B1809),1))</f>
        <v/>
      </c>
      <c r="L1809" s="7">
        <f>IF(COUNTA(A1809,B1809)=0,"",IF(OR(A1809="",B1809=""),"Preencher CPF e entrada",IF(COUNTIFS($A$12:$A$5011,A1809,$B$12:$B$5011,B1809)&gt;1,"CPF + dia duplicado",IF(OR(AND(E1809&lt;&gt;"",E1809&lt;B1809),AND(F1809&lt;&gt;"",F1809&lt;B1809)),"Evento anterior à entrada",IF(AND(F1809&lt;&gt;"",E1809=""),"Conversa sem agendamento",IF(OR(E1809&gt;TODAY(),F1809&gt;TODAY()),"Verificar evento futuro","OK"))))))</f>
        <v/>
      </c>
    </row>
    <row r="1810" spans="9:12">
      <c r="I1810" s="5">
        <f>IF(OR(A1810="",B1810=""),"",B1810-WEEKDAY(B1810,2)+1)</f>
        <v/>
      </c>
      <c r="J1810" s="5">
        <f>IF(I1810="","",I1810+6)</f>
        <v/>
      </c>
      <c r="K1810" s="6">
        <f>IF(OR(A1810="",B1810=""),"",DATE(YEAR(B1810),MONTH(B1810),1))</f>
        <v/>
      </c>
      <c r="L1810" s="7">
        <f>IF(COUNTA(A1810,B1810)=0,"",IF(OR(A1810="",B1810=""),"Preencher CPF e entrada",IF(COUNTIFS($A$12:$A$5011,A1810,$B$12:$B$5011,B1810)&gt;1,"CPF + dia duplicado",IF(OR(AND(E1810&lt;&gt;"",E1810&lt;B1810),AND(F1810&lt;&gt;"",F1810&lt;B1810)),"Evento anterior à entrada",IF(AND(F1810&lt;&gt;"",E1810=""),"Conversa sem agendamento",IF(OR(E1810&gt;TODAY(),F1810&gt;TODAY()),"Verificar evento futuro","OK"))))))</f>
        <v/>
      </c>
    </row>
    <row r="1811" spans="9:12">
      <c r="I1811" s="5">
        <f>IF(OR(A1811="",B1811=""),"",B1811-WEEKDAY(B1811,2)+1)</f>
        <v/>
      </c>
      <c r="J1811" s="5">
        <f>IF(I1811="","",I1811+6)</f>
        <v/>
      </c>
      <c r="K1811" s="6">
        <f>IF(OR(A1811="",B1811=""),"",DATE(YEAR(B1811),MONTH(B1811),1))</f>
        <v/>
      </c>
      <c r="L1811" s="7">
        <f>IF(COUNTA(A1811,B1811)=0,"",IF(OR(A1811="",B1811=""),"Preencher CPF e entrada",IF(COUNTIFS($A$12:$A$5011,A1811,$B$12:$B$5011,B1811)&gt;1,"CPF + dia duplicado",IF(OR(AND(E1811&lt;&gt;"",E1811&lt;B1811),AND(F1811&lt;&gt;"",F1811&lt;B1811)),"Evento anterior à entrada",IF(AND(F1811&lt;&gt;"",E1811=""),"Conversa sem agendamento",IF(OR(E1811&gt;TODAY(),F1811&gt;TODAY()),"Verificar evento futuro","OK"))))))</f>
        <v/>
      </c>
    </row>
    <row r="1812" spans="9:12">
      <c r="I1812" s="5">
        <f>IF(OR(A1812="",B1812=""),"",B1812-WEEKDAY(B1812,2)+1)</f>
        <v/>
      </c>
      <c r="J1812" s="5">
        <f>IF(I1812="","",I1812+6)</f>
        <v/>
      </c>
      <c r="K1812" s="6">
        <f>IF(OR(A1812="",B1812=""),"",DATE(YEAR(B1812),MONTH(B1812),1))</f>
        <v/>
      </c>
      <c r="L1812" s="7">
        <f>IF(COUNTA(A1812,B1812)=0,"",IF(OR(A1812="",B1812=""),"Preencher CPF e entrada",IF(COUNTIFS($A$12:$A$5011,A1812,$B$12:$B$5011,B1812)&gt;1,"CPF + dia duplicado",IF(OR(AND(E1812&lt;&gt;"",E1812&lt;B1812),AND(F1812&lt;&gt;"",F1812&lt;B1812)),"Evento anterior à entrada",IF(AND(F1812&lt;&gt;"",E1812=""),"Conversa sem agendamento",IF(OR(E1812&gt;TODAY(),F1812&gt;TODAY()),"Verificar evento futuro","OK"))))))</f>
        <v/>
      </c>
    </row>
    <row r="1813" spans="9:12">
      <c r="I1813" s="5">
        <f>IF(OR(A1813="",B1813=""),"",B1813-WEEKDAY(B1813,2)+1)</f>
        <v/>
      </c>
      <c r="J1813" s="5">
        <f>IF(I1813="","",I1813+6)</f>
        <v/>
      </c>
      <c r="K1813" s="6">
        <f>IF(OR(A1813="",B1813=""),"",DATE(YEAR(B1813),MONTH(B1813),1))</f>
        <v/>
      </c>
      <c r="L1813" s="7">
        <f>IF(COUNTA(A1813,B1813)=0,"",IF(OR(A1813="",B1813=""),"Preencher CPF e entrada",IF(COUNTIFS($A$12:$A$5011,A1813,$B$12:$B$5011,B1813)&gt;1,"CPF + dia duplicado",IF(OR(AND(E1813&lt;&gt;"",E1813&lt;B1813),AND(F1813&lt;&gt;"",F1813&lt;B1813)),"Evento anterior à entrada",IF(AND(F1813&lt;&gt;"",E1813=""),"Conversa sem agendamento",IF(OR(E1813&gt;TODAY(),F1813&gt;TODAY()),"Verificar evento futuro","OK"))))))</f>
        <v/>
      </c>
    </row>
    <row r="1814" spans="9:12">
      <c r="I1814" s="5">
        <f>IF(OR(A1814="",B1814=""),"",B1814-WEEKDAY(B1814,2)+1)</f>
        <v/>
      </c>
      <c r="J1814" s="5">
        <f>IF(I1814="","",I1814+6)</f>
        <v/>
      </c>
      <c r="K1814" s="6">
        <f>IF(OR(A1814="",B1814=""),"",DATE(YEAR(B1814),MONTH(B1814),1))</f>
        <v/>
      </c>
      <c r="L1814" s="7">
        <f>IF(COUNTA(A1814,B1814)=0,"",IF(OR(A1814="",B1814=""),"Preencher CPF e entrada",IF(COUNTIFS($A$12:$A$5011,A1814,$B$12:$B$5011,B1814)&gt;1,"CPF + dia duplicado",IF(OR(AND(E1814&lt;&gt;"",E1814&lt;B1814),AND(F1814&lt;&gt;"",F1814&lt;B1814)),"Evento anterior à entrada",IF(AND(F1814&lt;&gt;"",E1814=""),"Conversa sem agendamento",IF(OR(E1814&gt;TODAY(),F1814&gt;TODAY()),"Verificar evento futuro","OK"))))))</f>
        <v/>
      </c>
    </row>
    <row r="1815" spans="9:12">
      <c r="I1815" s="5">
        <f>IF(OR(A1815="",B1815=""),"",B1815-WEEKDAY(B1815,2)+1)</f>
        <v/>
      </c>
      <c r="J1815" s="5">
        <f>IF(I1815="","",I1815+6)</f>
        <v/>
      </c>
      <c r="K1815" s="6">
        <f>IF(OR(A1815="",B1815=""),"",DATE(YEAR(B1815),MONTH(B1815),1))</f>
        <v/>
      </c>
      <c r="L1815" s="7">
        <f>IF(COUNTA(A1815,B1815)=0,"",IF(OR(A1815="",B1815=""),"Preencher CPF e entrada",IF(COUNTIFS($A$12:$A$5011,A1815,$B$12:$B$5011,B1815)&gt;1,"CPF + dia duplicado",IF(OR(AND(E1815&lt;&gt;"",E1815&lt;B1815),AND(F1815&lt;&gt;"",F1815&lt;B1815)),"Evento anterior à entrada",IF(AND(F1815&lt;&gt;"",E1815=""),"Conversa sem agendamento",IF(OR(E1815&gt;TODAY(),F1815&gt;TODAY()),"Verificar evento futuro","OK"))))))</f>
        <v/>
      </c>
    </row>
    <row r="1816" spans="9:12">
      <c r="I1816" s="5">
        <f>IF(OR(A1816="",B1816=""),"",B1816-WEEKDAY(B1816,2)+1)</f>
        <v/>
      </c>
      <c r="J1816" s="5">
        <f>IF(I1816="","",I1816+6)</f>
        <v/>
      </c>
      <c r="K1816" s="6">
        <f>IF(OR(A1816="",B1816=""),"",DATE(YEAR(B1816),MONTH(B1816),1))</f>
        <v/>
      </c>
      <c r="L1816" s="7">
        <f>IF(COUNTA(A1816,B1816)=0,"",IF(OR(A1816="",B1816=""),"Preencher CPF e entrada",IF(COUNTIFS($A$12:$A$5011,A1816,$B$12:$B$5011,B1816)&gt;1,"CPF + dia duplicado",IF(OR(AND(E1816&lt;&gt;"",E1816&lt;B1816),AND(F1816&lt;&gt;"",F1816&lt;B1816)),"Evento anterior à entrada",IF(AND(F1816&lt;&gt;"",E1816=""),"Conversa sem agendamento",IF(OR(E1816&gt;TODAY(),F1816&gt;TODAY()),"Verificar evento futuro","OK"))))))</f>
        <v/>
      </c>
    </row>
    <row r="1817" spans="9:12">
      <c r="I1817" s="5">
        <f>IF(OR(A1817="",B1817=""),"",B1817-WEEKDAY(B1817,2)+1)</f>
        <v/>
      </c>
      <c r="J1817" s="5">
        <f>IF(I1817="","",I1817+6)</f>
        <v/>
      </c>
      <c r="K1817" s="6">
        <f>IF(OR(A1817="",B1817=""),"",DATE(YEAR(B1817),MONTH(B1817),1))</f>
        <v/>
      </c>
      <c r="L1817" s="7">
        <f>IF(COUNTA(A1817,B1817)=0,"",IF(OR(A1817="",B1817=""),"Preencher CPF e entrada",IF(COUNTIFS($A$12:$A$5011,A1817,$B$12:$B$5011,B1817)&gt;1,"CPF + dia duplicado",IF(OR(AND(E1817&lt;&gt;"",E1817&lt;B1817),AND(F1817&lt;&gt;"",F1817&lt;B1817)),"Evento anterior à entrada",IF(AND(F1817&lt;&gt;"",E1817=""),"Conversa sem agendamento",IF(OR(E1817&gt;TODAY(),F1817&gt;TODAY()),"Verificar evento futuro","OK"))))))</f>
        <v/>
      </c>
    </row>
    <row r="1818" spans="9:12">
      <c r="I1818" s="5">
        <f>IF(OR(A1818="",B1818=""),"",B1818-WEEKDAY(B1818,2)+1)</f>
        <v/>
      </c>
      <c r="J1818" s="5">
        <f>IF(I1818="","",I1818+6)</f>
        <v/>
      </c>
      <c r="K1818" s="6">
        <f>IF(OR(A1818="",B1818=""),"",DATE(YEAR(B1818),MONTH(B1818),1))</f>
        <v/>
      </c>
      <c r="L1818" s="7">
        <f>IF(COUNTA(A1818,B1818)=0,"",IF(OR(A1818="",B1818=""),"Preencher CPF e entrada",IF(COUNTIFS($A$12:$A$5011,A1818,$B$12:$B$5011,B1818)&gt;1,"CPF + dia duplicado",IF(OR(AND(E1818&lt;&gt;"",E1818&lt;B1818),AND(F1818&lt;&gt;"",F1818&lt;B1818)),"Evento anterior à entrada",IF(AND(F1818&lt;&gt;"",E1818=""),"Conversa sem agendamento",IF(OR(E1818&gt;TODAY(),F1818&gt;TODAY()),"Verificar evento futuro","OK"))))))</f>
        <v/>
      </c>
    </row>
    <row r="1819" spans="9:12">
      <c r="I1819" s="5">
        <f>IF(OR(A1819="",B1819=""),"",B1819-WEEKDAY(B1819,2)+1)</f>
        <v/>
      </c>
      <c r="J1819" s="5">
        <f>IF(I1819="","",I1819+6)</f>
        <v/>
      </c>
      <c r="K1819" s="6">
        <f>IF(OR(A1819="",B1819=""),"",DATE(YEAR(B1819),MONTH(B1819),1))</f>
        <v/>
      </c>
      <c r="L1819" s="7">
        <f>IF(COUNTA(A1819,B1819)=0,"",IF(OR(A1819="",B1819=""),"Preencher CPF e entrada",IF(COUNTIFS($A$12:$A$5011,A1819,$B$12:$B$5011,B1819)&gt;1,"CPF + dia duplicado",IF(OR(AND(E1819&lt;&gt;"",E1819&lt;B1819),AND(F1819&lt;&gt;"",F1819&lt;B1819)),"Evento anterior à entrada",IF(AND(F1819&lt;&gt;"",E1819=""),"Conversa sem agendamento",IF(OR(E1819&gt;TODAY(),F1819&gt;TODAY()),"Verificar evento futuro","OK"))))))</f>
        <v/>
      </c>
    </row>
    <row r="1820" spans="9:12">
      <c r="I1820" s="5">
        <f>IF(OR(A1820="",B1820=""),"",B1820-WEEKDAY(B1820,2)+1)</f>
        <v/>
      </c>
      <c r="J1820" s="5">
        <f>IF(I1820="","",I1820+6)</f>
        <v/>
      </c>
      <c r="K1820" s="6">
        <f>IF(OR(A1820="",B1820=""),"",DATE(YEAR(B1820),MONTH(B1820),1))</f>
        <v/>
      </c>
      <c r="L1820" s="7">
        <f>IF(COUNTA(A1820,B1820)=0,"",IF(OR(A1820="",B1820=""),"Preencher CPF e entrada",IF(COUNTIFS($A$12:$A$5011,A1820,$B$12:$B$5011,B1820)&gt;1,"CPF + dia duplicado",IF(OR(AND(E1820&lt;&gt;"",E1820&lt;B1820),AND(F1820&lt;&gt;"",F1820&lt;B1820)),"Evento anterior à entrada",IF(AND(F1820&lt;&gt;"",E1820=""),"Conversa sem agendamento",IF(OR(E1820&gt;TODAY(),F1820&gt;TODAY()),"Verificar evento futuro","OK"))))))</f>
        <v/>
      </c>
    </row>
    <row r="1821" spans="9:12">
      <c r="I1821" s="5">
        <f>IF(OR(A1821="",B1821=""),"",B1821-WEEKDAY(B1821,2)+1)</f>
        <v/>
      </c>
      <c r="J1821" s="5">
        <f>IF(I1821="","",I1821+6)</f>
        <v/>
      </c>
      <c r="K1821" s="6">
        <f>IF(OR(A1821="",B1821=""),"",DATE(YEAR(B1821),MONTH(B1821),1))</f>
        <v/>
      </c>
      <c r="L1821" s="7">
        <f>IF(COUNTA(A1821,B1821)=0,"",IF(OR(A1821="",B1821=""),"Preencher CPF e entrada",IF(COUNTIFS($A$12:$A$5011,A1821,$B$12:$B$5011,B1821)&gt;1,"CPF + dia duplicado",IF(OR(AND(E1821&lt;&gt;"",E1821&lt;B1821),AND(F1821&lt;&gt;"",F1821&lt;B1821)),"Evento anterior à entrada",IF(AND(F1821&lt;&gt;"",E1821=""),"Conversa sem agendamento",IF(OR(E1821&gt;TODAY(),F1821&gt;TODAY()),"Verificar evento futuro","OK"))))))</f>
        <v/>
      </c>
    </row>
    <row r="1822" spans="9:12">
      <c r="I1822" s="5">
        <f>IF(OR(A1822="",B1822=""),"",B1822-WEEKDAY(B1822,2)+1)</f>
        <v/>
      </c>
      <c r="J1822" s="5">
        <f>IF(I1822="","",I1822+6)</f>
        <v/>
      </c>
      <c r="K1822" s="6">
        <f>IF(OR(A1822="",B1822=""),"",DATE(YEAR(B1822),MONTH(B1822),1))</f>
        <v/>
      </c>
      <c r="L1822" s="7">
        <f>IF(COUNTA(A1822,B1822)=0,"",IF(OR(A1822="",B1822=""),"Preencher CPF e entrada",IF(COUNTIFS($A$12:$A$5011,A1822,$B$12:$B$5011,B1822)&gt;1,"CPF + dia duplicado",IF(OR(AND(E1822&lt;&gt;"",E1822&lt;B1822),AND(F1822&lt;&gt;"",F1822&lt;B1822)),"Evento anterior à entrada",IF(AND(F1822&lt;&gt;"",E1822=""),"Conversa sem agendamento",IF(OR(E1822&gt;TODAY(),F1822&gt;TODAY()),"Verificar evento futuro","OK"))))))</f>
        <v/>
      </c>
    </row>
    <row r="1823" spans="9:12">
      <c r="I1823" s="5">
        <f>IF(OR(A1823="",B1823=""),"",B1823-WEEKDAY(B1823,2)+1)</f>
        <v/>
      </c>
      <c r="J1823" s="5">
        <f>IF(I1823="","",I1823+6)</f>
        <v/>
      </c>
      <c r="K1823" s="6">
        <f>IF(OR(A1823="",B1823=""),"",DATE(YEAR(B1823),MONTH(B1823),1))</f>
        <v/>
      </c>
      <c r="L1823" s="7">
        <f>IF(COUNTA(A1823,B1823)=0,"",IF(OR(A1823="",B1823=""),"Preencher CPF e entrada",IF(COUNTIFS($A$12:$A$5011,A1823,$B$12:$B$5011,B1823)&gt;1,"CPF + dia duplicado",IF(OR(AND(E1823&lt;&gt;"",E1823&lt;B1823),AND(F1823&lt;&gt;"",F1823&lt;B1823)),"Evento anterior à entrada",IF(AND(F1823&lt;&gt;"",E1823=""),"Conversa sem agendamento",IF(OR(E1823&gt;TODAY(),F1823&gt;TODAY()),"Verificar evento futuro","OK"))))))</f>
        <v/>
      </c>
    </row>
    <row r="1824" spans="9:12">
      <c r="I1824" s="5">
        <f>IF(OR(A1824="",B1824=""),"",B1824-WEEKDAY(B1824,2)+1)</f>
        <v/>
      </c>
      <c r="J1824" s="5">
        <f>IF(I1824="","",I1824+6)</f>
        <v/>
      </c>
      <c r="K1824" s="6">
        <f>IF(OR(A1824="",B1824=""),"",DATE(YEAR(B1824),MONTH(B1824),1))</f>
        <v/>
      </c>
      <c r="L1824" s="7">
        <f>IF(COUNTA(A1824,B1824)=0,"",IF(OR(A1824="",B1824=""),"Preencher CPF e entrada",IF(COUNTIFS($A$12:$A$5011,A1824,$B$12:$B$5011,B1824)&gt;1,"CPF + dia duplicado",IF(OR(AND(E1824&lt;&gt;"",E1824&lt;B1824),AND(F1824&lt;&gt;"",F1824&lt;B1824)),"Evento anterior à entrada",IF(AND(F1824&lt;&gt;"",E1824=""),"Conversa sem agendamento",IF(OR(E1824&gt;TODAY(),F1824&gt;TODAY()),"Verificar evento futuro","OK"))))))</f>
        <v/>
      </c>
    </row>
    <row r="1825" spans="9:12">
      <c r="I1825" s="5">
        <f>IF(OR(A1825="",B1825=""),"",B1825-WEEKDAY(B1825,2)+1)</f>
        <v/>
      </c>
      <c r="J1825" s="5">
        <f>IF(I1825="","",I1825+6)</f>
        <v/>
      </c>
      <c r="K1825" s="6">
        <f>IF(OR(A1825="",B1825=""),"",DATE(YEAR(B1825),MONTH(B1825),1))</f>
        <v/>
      </c>
      <c r="L1825" s="7">
        <f>IF(COUNTA(A1825,B1825)=0,"",IF(OR(A1825="",B1825=""),"Preencher CPF e entrada",IF(COUNTIFS($A$12:$A$5011,A1825,$B$12:$B$5011,B1825)&gt;1,"CPF + dia duplicado",IF(OR(AND(E1825&lt;&gt;"",E1825&lt;B1825),AND(F1825&lt;&gt;"",F1825&lt;B1825)),"Evento anterior à entrada",IF(AND(F1825&lt;&gt;"",E1825=""),"Conversa sem agendamento",IF(OR(E1825&gt;TODAY(),F1825&gt;TODAY()),"Verificar evento futuro","OK"))))))</f>
        <v/>
      </c>
    </row>
    <row r="1826" spans="9:12">
      <c r="I1826" s="5">
        <f>IF(OR(A1826="",B1826=""),"",B1826-WEEKDAY(B1826,2)+1)</f>
        <v/>
      </c>
      <c r="J1826" s="5">
        <f>IF(I1826="","",I1826+6)</f>
        <v/>
      </c>
      <c r="K1826" s="6">
        <f>IF(OR(A1826="",B1826=""),"",DATE(YEAR(B1826),MONTH(B1826),1))</f>
        <v/>
      </c>
      <c r="L1826" s="7">
        <f>IF(COUNTA(A1826,B1826)=0,"",IF(OR(A1826="",B1826=""),"Preencher CPF e entrada",IF(COUNTIFS($A$12:$A$5011,A1826,$B$12:$B$5011,B1826)&gt;1,"CPF + dia duplicado",IF(OR(AND(E1826&lt;&gt;"",E1826&lt;B1826),AND(F1826&lt;&gt;"",F1826&lt;B1826)),"Evento anterior à entrada",IF(AND(F1826&lt;&gt;"",E1826=""),"Conversa sem agendamento",IF(OR(E1826&gt;TODAY(),F1826&gt;TODAY()),"Verificar evento futuro","OK"))))))</f>
        <v/>
      </c>
    </row>
    <row r="1827" spans="9:12">
      <c r="I1827" s="5">
        <f>IF(OR(A1827="",B1827=""),"",B1827-WEEKDAY(B1827,2)+1)</f>
        <v/>
      </c>
      <c r="J1827" s="5">
        <f>IF(I1827="","",I1827+6)</f>
        <v/>
      </c>
      <c r="K1827" s="6">
        <f>IF(OR(A1827="",B1827=""),"",DATE(YEAR(B1827),MONTH(B1827),1))</f>
        <v/>
      </c>
      <c r="L1827" s="7">
        <f>IF(COUNTA(A1827,B1827)=0,"",IF(OR(A1827="",B1827=""),"Preencher CPF e entrada",IF(COUNTIFS($A$12:$A$5011,A1827,$B$12:$B$5011,B1827)&gt;1,"CPF + dia duplicado",IF(OR(AND(E1827&lt;&gt;"",E1827&lt;B1827),AND(F1827&lt;&gt;"",F1827&lt;B1827)),"Evento anterior à entrada",IF(AND(F1827&lt;&gt;"",E1827=""),"Conversa sem agendamento",IF(OR(E1827&gt;TODAY(),F1827&gt;TODAY()),"Verificar evento futuro","OK"))))))</f>
        <v/>
      </c>
    </row>
    <row r="1828" spans="9:12">
      <c r="I1828" s="5">
        <f>IF(OR(A1828="",B1828=""),"",B1828-WEEKDAY(B1828,2)+1)</f>
        <v/>
      </c>
      <c r="J1828" s="5">
        <f>IF(I1828="","",I1828+6)</f>
        <v/>
      </c>
      <c r="K1828" s="6">
        <f>IF(OR(A1828="",B1828=""),"",DATE(YEAR(B1828),MONTH(B1828),1))</f>
        <v/>
      </c>
      <c r="L1828" s="7">
        <f>IF(COUNTA(A1828,B1828)=0,"",IF(OR(A1828="",B1828=""),"Preencher CPF e entrada",IF(COUNTIFS($A$12:$A$5011,A1828,$B$12:$B$5011,B1828)&gt;1,"CPF + dia duplicado",IF(OR(AND(E1828&lt;&gt;"",E1828&lt;B1828),AND(F1828&lt;&gt;"",F1828&lt;B1828)),"Evento anterior à entrada",IF(AND(F1828&lt;&gt;"",E1828=""),"Conversa sem agendamento",IF(OR(E1828&gt;TODAY(),F1828&gt;TODAY()),"Verificar evento futuro","OK"))))))</f>
        <v/>
      </c>
    </row>
    <row r="1829" spans="9:12">
      <c r="I1829" s="5">
        <f>IF(OR(A1829="",B1829=""),"",B1829-WEEKDAY(B1829,2)+1)</f>
        <v/>
      </c>
      <c r="J1829" s="5">
        <f>IF(I1829="","",I1829+6)</f>
        <v/>
      </c>
      <c r="K1829" s="6">
        <f>IF(OR(A1829="",B1829=""),"",DATE(YEAR(B1829),MONTH(B1829),1))</f>
        <v/>
      </c>
      <c r="L1829" s="7">
        <f>IF(COUNTA(A1829,B1829)=0,"",IF(OR(A1829="",B1829=""),"Preencher CPF e entrada",IF(COUNTIFS($A$12:$A$5011,A1829,$B$12:$B$5011,B1829)&gt;1,"CPF + dia duplicado",IF(OR(AND(E1829&lt;&gt;"",E1829&lt;B1829),AND(F1829&lt;&gt;"",F1829&lt;B1829)),"Evento anterior à entrada",IF(AND(F1829&lt;&gt;"",E1829=""),"Conversa sem agendamento",IF(OR(E1829&gt;TODAY(),F1829&gt;TODAY()),"Verificar evento futuro","OK"))))))</f>
        <v/>
      </c>
    </row>
    <row r="1830" spans="9:12">
      <c r="I1830" s="5">
        <f>IF(OR(A1830="",B1830=""),"",B1830-WEEKDAY(B1830,2)+1)</f>
        <v/>
      </c>
      <c r="J1830" s="5">
        <f>IF(I1830="","",I1830+6)</f>
        <v/>
      </c>
      <c r="K1830" s="6">
        <f>IF(OR(A1830="",B1830=""),"",DATE(YEAR(B1830),MONTH(B1830),1))</f>
        <v/>
      </c>
      <c r="L1830" s="7">
        <f>IF(COUNTA(A1830,B1830)=0,"",IF(OR(A1830="",B1830=""),"Preencher CPF e entrada",IF(COUNTIFS($A$12:$A$5011,A1830,$B$12:$B$5011,B1830)&gt;1,"CPF + dia duplicado",IF(OR(AND(E1830&lt;&gt;"",E1830&lt;B1830),AND(F1830&lt;&gt;"",F1830&lt;B1830)),"Evento anterior à entrada",IF(AND(F1830&lt;&gt;"",E1830=""),"Conversa sem agendamento",IF(OR(E1830&gt;TODAY(),F1830&gt;TODAY()),"Verificar evento futuro","OK"))))))</f>
        <v/>
      </c>
    </row>
    <row r="1831" spans="9:12">
      <c r="I1831" s="5">
        <f>IF(OR(A1831="",B1831=""),"",B1831-WEEKDAY(B1831,2)+1)</f>
        <v/>
      </c>
      <c r="J1831" s="5">
        <f>IF(I1831="","",I1831+6)</f>
        <v/>
      </c>
      <c r="K1831" s="6">
        <f>IF(OR(A1831="",B1831=""),"",DATE(YEAR(B1831),MONTH(B1831),1))</f>
        <v/>
      </c>
      <c r="L1831" s="7">
        <f>IF(COUNTA(A1831,B1831)=0,"",IF(OR(A1831="",B1831=""),"Preencher CPF e entrada",IF(COUNTIFS($A$12:$A$5011,A1831,$B$12:$B$5011,B1831)&gt;1,"CPF + dia duplicado",IF(OR(AND(E1831&lt;&gt;"",E1831&lt;B1831),AND(F1831&lt;&gt;"",F1831&lt;B1831)),"Evento anterior à entrada",IF(AND(F1831&lt;&gt;"",E1831=""),"Conversa sem agendamento",IF(OR(E1831&gt;TODAY(),F1831&gt;TODAY()),"Verificar evento futuro","OK"))))))</f>
        <v/>
      </c>
    </row>
    <row r="1832" spans="9:12">
      <c r="I1832" s="5">
        <f>IF(OR(A1832="",B1832=""),"",B1832-WEEKDAY(B1832,2)+1)</f>
        <v/>
      </c>
      <c r="J1832" s="5">
        <f>IF(I1832="","",I1832+6)</f>
        <v/>
      </c>
      <c r="K1832" s="6">
        <f>IF(OR(A1832="",B1832=""),"",DATE(YEAR(B1832),MONTH(B1832),1))</f>
        <v/>
      </c>
      <c r="L1832" s="7">
        <f>IF(COUNTA(A1832,B1832)=0,"",IF(OR(A1832="",B1832=""),"Preencher CPF e entrada",IF(COUNTIFS($A$12:$A$5011,A1832,$B$12:$B$5011,B1832)&gt;1,"CPF + dia duplicado",IF(OR(AND(E1832&lt;&gt;"",E1832&lt;B1832),AND(F1832&lt;&gt;"",F1832&lt;B1832)),"Evento anterior à entrada",IF(AND(F1832&lt;&gt;"",E1832=""),"Conversa sem agendamento",IF(OR(E1832&gt;TODAY(),F1832&gt;TODAY()),"Verificar evento futuro","OK"))))))</f>
        <v/>
      </c>
    </row>
    <row r="1833" spans="9:12">
      <c r="I1833" s="5">
        <f>IF(OR(A1833="",B1833=""),"",B1833-WEEKDAY(B1833,2)+1)</f>
        <v/>
      </c>
      <c r="J1833" s="5">
        <f>IF(I1833="","",I1833+6)</f>
        <v/>
      </c>
      <c r="K1833" s="6">
        <f>IF(OR(A1833="",B1833=""),"",DATE(YEAR(B1833),MONTH(B1833),1))</f>
        <v/>
      </c>
      <c r="L1833" s="7">
        <f>IF(COUNTA(A1833,B1833)=0,"",IF(OR(A1833="",B1833=""),"Preencher CPF e entrada",IF(COUNTIFS($A$12:$A$5011,A1833,$B$12:$B$5011,B1833)&gt;1,"CPF + dia duplicado",IF(OR(AND(E1833&lt;&gt;"",E1833&lt;B1833),AND(F1833&lt;&gt;"",F1833&lt;B1833)),"Evento anterior à entrada",IF(AND(F1833&lt;&gt;"",E1833=""),"Conversa sem agendamento",IF(OR(E1833&gt;TODAY(),F1833&gt;TODAY()),"Verificar evento futuro","OK"))))))</f>
        <v/>
      </c>
    </row>
    <row r="1834" spans="9:12">
      <c r="I1834" s="5">
        <f>IF(OR(A1834="",B1834=""),"",B1834-WEEKDAY(B1834,2)+1)</f>
        <v/>
      </c>
      <c r="J1834" s="5">
        <f>IF(I1834="","",I1834+6)</f>
        <v/>
      </c>
      <c r="K1834" s="6">
        <f>IF(OR(A1834="",B1834=""),"",DATE(YEAR(B1834),MONTH(B1834),1))</f>
        <v/>
      </c>
      <c r="L1834" s="7">
        <f>IF(COUNTA(A1834,B1834)=0,"",IF(OR(A1834="",B1834=""),"Preencher CPF e entrada",IF(COUNTIFS($A$12:$A$5011,A1834,$B$12:$B$5011,B1834)&gt;1,"CPF + dia duplicado",IF(OR(AND(E1834&lt;&gt;"",E1834&lt;B1834),AND(F1834&lt;&gt;"",F1834&lt;B1834)),"Evento anterior à entrada",IF(AND(F1834&lt;&gt;"",E1834=""),"Conversa sem agendamento",IF(OR(E1834&gt;TODAY(),F1834&gt;TODAY()),"Verificar evento futuro","OK"))))))</f>
        <v/>
      </c>
    </row>
    <row r="1835" spans="9:12">
      <c r="I1835" s="5">
        <f>IF(OR(A1835="",B1835=""),"",B1835-WEEKDAY(B1835,2)+1)</f>
        <v/>
      </c>
      <c r="J1835" s="5">
        <f>IF(I1835="","",I1835+6)</f>
        <v/>
      </c>
      <c r="K1835" s="6">
        <f>IF(OR(A1835="",B1835=""),"",DATE(YEAR(B1835),MONTH(B1835),1))</f>
        <v/>
      </c>
      <c r="L1835" s="7">
        <f>IF(COUNTA(A1835,B1835)=0,"",IF(OR(A1835="",B1835=""),"Preencher CPF e entrada",IF(COUNTIFS($A$12:$A$5011,A1835,$B$12:$B$5011,B1835)&gt;1,"CPF + dia duplicado",IF(OR(AND(E1835&lt;&gt;"",E1835&lt;B1835),AND(F1835&lt;&gt;"",F1835&lt;B1835)),"Evento anterior à entrada",IF(AND(F1835&lt;&gt;"",E1835=""),"Conversa sem agendamento",IF(OR(E1835&gt;TODAY(),F1835&gt;TODAY()),"Verificar evento futuro","OK"))))))</f>
        <v/>
      </c>
    </row>
    <row r="1836" spans="9:12">
      <c r="I1836" s="5">
        <f>IF(OR(A1836="",B1836=""),"",B1836-WEEKDAY(B1836,2)+1)</f>
        <v/>
      </c>
      <c r="J1836" s="5">
        <f>IF(I1836="","",I1836+6)</f>
        <v/>
      </c>
      <c r="K1836" s="6">
        <f>IF(OR(A1836="",B1836=""),"",DATE(YEAR(B1836),MONTH(B1836),1))</f>
        <v/>
      </c>
      <c r="L1836" s="7">
        <f>IF(COUNTA(A1836,B1836)=0,"",IF(OR(A1836="",B1836=""),"Preencher CPF e entrada",IF(COUNTIFS($A$12:$A$5011,A1836,$B$12:$B$5011,B1836)&gt;1,"CPF + dia duplicado",IF(OR(AND(E1836&lt;&gt;"",E1836&lt;B1836),AND(F1836&lt;&gt;"",F1836&lt;B1836)),"Evento anterior à entrada",IF(AND(F1836&lt;&gt;"",E1836=""),"Conversa sem agendamento",IF(OR(E1836&gt;TODAY(),F1836&gt;TODAY()),"Verificar evento futuro","OK"))))))</f>
        <v/>
      </c>
    </row>
    <row r="1837" spans="9:12">
      <c r="I1837" s="5">
        <f>IF(OR(A1837="",B1837=""),"",B1837-WEEKDAY(B1837,2)+1)</f>
        <v/>
      </c>
      <c r="J1837" s="5">
        <f>IF(I1837="","",I1837+6)</f>
        <v/>
      </c>
      <c r="K1837" s="6">
        <f>IF(OR(A1837="",B1837=""),"",DATE(YEAR(B1837),MONTH(B1837),1))</f>
        <v/>
      </c>
      <c r="L1837" s="7">
        <f>IF(COUNTA(A1837,B1837)=0,"",IF(OR(A1837="",B1837=""),"Preencher CPF e entrada",IF(COUNTIFS($A$12:$A$5011,A1837,$B$12:$B$5011,B1837)&gt;1,"CPF + dia duplicado",IF(OR(AND(E1837&lt;&gt;"",E1837&lt;B1837),AND(F1837&lt;&gt;"",F1837&lt;B1837)),"Evento anterior à entrada",IF(AND(F1837&lt;&gt;"",E1837=""),"Conversa sem agendamento",IF(OR(E1837&gt;TODAY(),F1837&gt;TODAY()),"Verificar evento futuro","OK"))))))</f>
        <v/>
      </c>
    </row>
    <row r="1838" spans="9:12">
      <c r="I1838" s="5">
        <f>IF(OR(A1838="",B1838=""),"",B1838-WEEKDAY(B1838,2)+1)</f>
        <v/>
      </c>
      <c r="J1838" s="5">
        <f>IF(I1838="","",I1838+6)</f>
        <v/>
      </c>
      <c r="K1838" s="6">
        <f>IF(OR(A1838="",B1838=""),"",DATE(YEAR(B1838),MONTH(B1838),1))</f>
        <v/>
      </c>
      <c r="L1838" s="7">
        <f>IF(COUNTA(A1838,B1838)=0,"",IF(OR(A1838="",B1838=""),"Preencher CPF e entrada",IF(COUNTIFS($A$12:$A$5011,A1838,$B$12:$B$5011,B1838)&gt;1,"CPF + dia duplicado",IF(OR(AND(E1838&lt;&gt;"",E1838&lt;B1838),AND(F1838&lt;&gt;"",F1838&lt;B1838)),"Evento anterior à entrada",IF(AND(F1838&lt;&gt;"",E1838=""),"Conversa sem agendamento",IF(OR(E1838&gt;TODAY(),F1838&gt;TODAY()),"Verificar evento futuro","OK"))))))</f>
        <v/>
      </c>
    </row>
    <row r="1839" spans="9:12">
      <c r="I1839" s="5">
        <f>IF(OR(A1839="",B1839=""),"",B1839-WEEKDAY(B1839,2)+1)</f>
        <v/>
      </c>
      <c r="J1839" s="5">
        <f>IF(I1839="","",I1839+6)</f>
        <v/>
      </c>
      <c r="K1839" s="6">
        <f>IF(OR(A1839="",B1839=""),"",DATE(YEAR(B1839),MONTH(B1839),1))</f>
        <v/>
      </c>
      <c r="L1839" s="7">
        <f>IF(COUNTA(A1839,B1839)=0,"",IF(OR(A1839="",B1839=""),"Preencher CPF e entrada",IF(COUNTIFS($A$12:$A$5011,A1839,$B$12:$B$5011,B1839)&gt;1,"CPF + dia duplicado",IF(OR(AND(E1839&lt;&gt;"",E1839&lt;B1839),AND(F1839&lt;&gt;"",F1839&lt;B1839)),"Evento anterior à entrada",IF(AND(F1839&lt;&gt;"",E1839=""),"Conversa sem agendamento",IF(OR(E1839&gt;TODAY(),F1839&gt;TODAY()),"Verificar evento futuro","OK"))))))</f>
        <v/>
      </c>
    </row>
    <row r="1840" spans="9:12">
      <c r="I1840" s="5">
        <f>IF(OR(A1840="",B1840=""),"",B1840-WEEKDAY(B1840,2)+1)</f>
        <v/>
      </c>
      <c r="J1840" s="5">
        <f>IF(I1840="","",I1840+6)</f>
        <v/>
      </c>
      <c r="K1840" s="6">
        <f>IF(OR(A1840="",B1840=""),"",DATE(YEAR(B1840),MONTH(B1840),1))</f>
        <v/>
      </c>
      <c r="L1840" s="7">
        <f>IF(COUNTA(A1840,B1840)=0,"",IF(OR(A1840="",B1840=""),"Preencher CPF e entrada",IF(COUNTIFS($A$12:$A$5011,A1840,$B$12:$B$5011,B1840)&gt;1,"CPF + dia duplicado",IF(OR(AND(E1840&lt;&gt;"",E1840&lt;B1840),AND(F1840&lt;&gt;"",F1840&lt;B1840)),"Evento anterior à entrada",IF(AND(F1840&lt;&gt;"",E1840=""),"Conversa sem agendamento",IF(OR(E1840&gt;TODAY(),F1840&gt;TODAY()),"Verificar evento futuro","OK"))))))</f>
        <v/>
      </c>
    </row>
    <row r="1841" spans="9:12">
      <c r="I1841" s="5">
        <f>IF(OR(A1841="",B1841=""),"",B1841-WEEKDAY(B1841,2)+1)</f>
        <v/>
      </c>
      <c r="J1841" s="5">
        <f>IF(I1841="","",I1841+6)</f>
        <v/>
      </c>
      <c r="K1841" s="6">
        <f>IF(OR(A1841="",B1841=""),"",DATE(YEAR(B1841),MONTH(B1841),1))</f>
        <v/>
      </c>
      <c r="L1841" s="7">
        <f>IF(COUNTA(A1841,B1841)=0,"",IF(OR(A1841="",B1841=""),"Preencher CPF e entrada",IF(COUNTIFS($A$12:$A$5011,A1841,$B$12:$B$5011,B1841)&gt;1,"CPF + dia duplicado",IF(OR(AND(E1841&lt;&gt;"",E1841&lt;B1841),AND(F1841&lt;&gt;"",F1841&lt;B1841)),"Evento anterior à entrada",IF(AND(F1841&lt;&gt;"",E1841=""),"Conversa sem agendamento",IF(OR(E1841&gt;TODAY(),F1841&gt;TODAY()),"Verificar evento futuro","OK"))))))</f>
        <v/>
      </c>
    </row>
    <row r="1842" spans="9:12">
      <c r="I1842" s="5">
        <f>IF(OR(A1842="",B1842=""),"",B1842-WEEKDAY(B1842,2)+1)</f>
        <v/>
      </c>
      <c r="J1842" s="5">
        <f>IF(I1842="","",I1842+6)</f>
        <v/>
      </c>
      <c r="K1842" s="6">
        <f>IF(OR(A1842="",B1842=""),"",DATE(YEAR(B1842),MONTH(B1842),1))</f>
        <v/>
      </c>
      <c r="L1842" s="7">
        <f>IF(COUNTA(A1842,B1842)=0,"",IF(OR(A1842="",B1842=""),"Preencher CPF e entrada",IF(COUNTIFS($A$12:$A$5011,A1842,$B$12:$B$5011,B1842)&gt;1,"CPF + dia duplicado",IF(OR(AND(E1842&lt;&gt;"",E1842&lt;B1842),AND(F1842&lt;&gt;"",F1842&lt;B1842)),"Evento anterior à entrada",IF(AND(F1842&lt;&gt;"",E1842=""),"Conversa sem agendamento",IF(OR(E1842&gt;TODAY(),F1842&gt;TODAY()),"Verificar evento futuro","OK"))))))</f>
        <v/>
      </c>
    </row>
    <row r="1843" spans="9:12">
      <c r="I1843" s="5">
        <f>IF(OR(A1843="",B1843=""),"",B1843-WEEKDAY(B1843,2)+1)</f>
        <v/>
      </c>
      <c r="J1843" s="5">
        <f>IF(I1843="","",I1843+6)</f>
        <v/>
      </c>
      <c r="K1843" s="6">
        <f>IF(OR(A1843="",B1843=""),"",DATE(YEAR(B1843),MONTH(B1843),1))</f>
        <v/>
      </c>
      <c r="L1843" s="7">
        <f>IF(COUNTA(A1843,B1843)=0,"",IF(OR(A1843="",B1843=""),"Preencher CPF e entrada",IF(COUNTIFS($A$12:$A$5011,A1843,$B$12:$B$5011,B1843)&gt;1,"CPF + dia duplicado",IF(OR(AND(E1843&lt;&gt;"",E1843&lt;B1843),AND(F1843&lt;&gt;"",F1843&lt;B1843)),"Evento anterior à entrada",IF(AND(F1843&lt;&gt;"",E1843=""),"Conversa sem agendamento",IF(OR(E1843&gt;TODAY(),F1843&gt;TODAY()),"Verificar evento futuro","OK"))))))</f>
        <v/>
      </c>
    </row>
    <row r="1844" spans="9:12">
      <c r="I1844" s="5">
        <f>IF(OR(A1844="",B1844=""),"",B1844-WEEKDAY(B1844,2)+1)</f>
        <v/>
      </c>
      <c r="J1844" s="5">
        <f>IF(I1844="","",I1844+6)</f>
        <v/>
      </c>
      <c r="K1844" s="6">
        <f>IF(OR(A1844="",B1844=""),"",DATE(YEAR(B1844),MONTH(B1844),1))</f>
        <v/>
      </c>
      <c r="L1844" s="7">
        <f>IF(COUNTA(A1844,B1844)=0,"",IF(OR(A1844="",B1844=""),"Preencher CPF e entrada",IF(COUNTIFS($A$12:$A$5011,A1844,$B$12:$B$5011,B1844)&gt;1,"CPF + dia duplicado",IF(OR(AND(E1844&lt;&gt;"",E1844&lt;B1844),AND(F1844&lt;&gt;"",F1844&lt;B1844)),"Evento anterior à entrada",IF(AND(F1844&lt;&gt;"",E1844=""),"Conversa sem agendamento",IF(OR(E1844&gt;TODAY(),F1844&gt;TODAY()),"Verificar evento futuro","OK"))))))</f>
        <v/>
      </c>
    </row>
    <row r="1845" spans="9:12">
      <c r="I1845" s="5">
        <f>IF(OR(A1845="",B1845=""),"",B1845-WEEKDAY(B1845,2)+1)</f>
        <v/>
      </c>
      <c r="J1845" s="5">
        <f>IF(I1845="","",I1845+6)</f>
        <v/>
      </c>
      <c r="K1845" s="6">
        <f>IF(OR(A1845="",B1845=""),"",DATE(YEAR(B1845),MONTH(B1845),1))</f>
        <v/>
      </c>
      <c r="L1845" s="7">
        <f>IF(COUNTA(A1845,B1845)=0,"",IF(OR(A1845="",B1845=""),"Preencher CPF e entrada",IF(COUNTIFS($A$12:$A$5011,A1845,$B$12:$B$5011,B1845)&gt;1,"CPF + dia duplicado",IF(OR(AND(E1845&lt;&gt;"",E1845&lt;B1845),AND(F1845&lt;&gt;"",F1845&lt;B1845)),"Evento anterior à entrada",IF(AND(F1845&lt;&gt;"",E1845=""),"Conversa sem agendamento",IF(OR(E1845&gt;TODAY(),F1845&gt;TODAY()),"Verificar evento futuro","OK"))))))</f>
        <v/>
      </c>
    </row>
    <row r="1846" spans="9:12">
      <c r="I1846" s="5">
        <f>IF(OR(A1846="",B1846=""),"",B1846-WEEKDAY(B1846,2)+1)</f>
        <v/>
      </c>
      <c r="J1846" s="5">
        <f>IF(I1846="","",I1846+6)</f>
        <v/>
      </c>
      <c r="K1846" s="6">
        <f>IF(OR(A1846="",B1846=""),"",DATE(YEAR(B1846),MONTH(B1846),1))</f>
        <v/>
      </c>
      <c r="L1846" s="7">
        <f>IF(COUNTA(A1846,B1846)=0,"",IF(OR(A1846="",B1846=""),"Preencher CPF e entrada",IF(COUNTIFS($A$12:$A$5011,A1846,$B$12:$B$5011,B1846)&gt;1,"CPF + dia duplicado",IF(OR(AND(E1846&lt;&gt;"",E1846&lt;B1846),AND(F1846&lt;&gt;"",F1846&lt;B1846)),"Evento anterior à entrada",IF(AND(F1846&lt;&gt;"",E1846=""),"Conversa sem agendamento",IF(OR(E1846&gt;TODAY(),F1846&gt;TODAY()),"Verificar evento futuro","OK"))))))</f>
        <v/>
      </c>
    </row>
    <row r="1847" spans="9:12">
      <c r="I1847" s="5">
        <f>IF(OR(A1847="",B1847=""),"",B1847-WEEKDAY(B1847,2)+1)</f>
        <v/>
      </c>
      <c r="J1847" s="5">
        <f>IF(I1847="","",I1847+6)</f>
        <v/>
      </c>
      <c r="K1847" s="6">
        <f>IF(OR(A1847="",B1847=""),"",DATE(YEAR(B1847),MONTH(B1847),1))</f>
        <v/>
      </c>
      <c r="L1847" s="7">
        <f>IF(COUNTA(A1847,B1847)=0,"",IF(OR(A1847="",B1847=""),"Preencher CPF e entrada",IF(COUNTIFS($A$12:$A$5011,A1847,$B$12:$B$5011,B1847)&gt;1,"CPF + dia duplicado",IF(OR(AND(E1847&lt;&gt;"",E1847&lt;B1847),AND(F1847&lt;&gt;"",F1847&lt;B1847)),"Evento anterior à entrada",IF(AND(F1847&lt;&gt;"",E1847=""),"Conversa sem agendamento",IF(OR(E1847&gt;TODAY(),F1847&gt;TODAY()),"Verificar evento futuro","OK"))))))</f>
        <v/>
      </c>
    </row>
    <row r="1848" spans="9:12">
      <c r="I1848" s="5">
        <f>IF(OR(A1848="",B1848=""),"",B1848-WEEKDAY(B1848,2)+1)</f>
        <v/>
      </c>
      <c r="J1848" s="5">
        <f>IF(I1848="","",I1848+6)</f>
        <v/>
      </c>
      <c r="K1848" s="6">
        <f>IF(OR(A1848="",B1848=""),"",DATE(YEAR(B1848),MONTH(B1848),1))</f>
        <v/>
      </c>
      <c r="L1848" s="7">
        <f>IF(COUNTA(A1848,B1848)=0,"",IF(OR(A1848="",B1848=""),"Preencher CPF e entrada",IF(COUNTIFS($A$12:$A$5011,A1848,$B$12:$B$5011,B1848)&gt;1,"CPF + dia duplicado",IF(OR(AND(E1848&lt;&gt;"",E1848&lt;B1848),AND(F1848&lt;&gt;"",F1848&lt;B1848)),"Evento anterior à entrada",IF(AND(F1848&lt;&gt;"",E1848=""),"Conversa sem agendamento",IF(OR(E1848&gt;TODAY(),F1848&gt;TODAY()),"Verificar evento futuro","OK"))))))</f>
        <v/>
      </c>
    </row>
    <row r="1849" spans="9:12">
      <c r="I1849" s="5">
        <f>IF(OR(A1849="",B1849=""),"",B1849-WEEKDAY(B1849,2)+1)</f>
        <v/>
      </c>
      <c r="J1849" s="5">
        <f>IF(I1849="","",I1849+6)</f>
        <v/>
      </c>
      <c r="K1849" s="6">
        <f>IF(OR(A1849="",B1849=""),"",DATE(YEAR(B1849),MONTH(B1849),1))</f>
        <v/>
      </c>
      <c r="L1849" s="7">
        <f>IF(COUNTA(A1849,B1849)=0,"",IF(OR(A1849="",B1849=""),"Preencher CPF e entrada",IF(COUNTIFS($A$12:$A$5011,A1849,$B$12:$B$5011,B1849)&gt;1,"CPF + dia duplicado",IF(OR(AND(E1849&lt;&gt;"",E1849&lt;B1849),AND(F1849&lt;&gt;"",F1849&lt;B1849)),"Evento anterior à entrada",IF(AND(F1849&lt;&gt;"",E1849=""),"Conversa sem agendamento",IF(OR(E1849&gt;TODAY(),F1849&gt;TODAY()),"Verificar evento futuro","OK"))))))</f>
        <v/>
      </c>
    </row>
    <row r="1850" spans="9:12">
      <c r="I1850" s="5">
        <f>IF(OR(A1850="",B1850=""),"",B1850-WEEKDAY(B1850,2)+1)</f>
        <v/>
      </c>
      <c r="J1850" s="5">
        <f>IF(I1850="","",I1850+6)</f>
        <v/>
      </c>
      <c r="K1850" s="6">
        <f>IF(OR(A1850="",B1850=""),"",DATE(YEAR(B1850),MONTH(B1850),1))</f>
        <v/>
      </c>
      <c r="L1850" s="7">
        <f>IF(COUNTA(A1850,B1850)=0,"",IF(OR(A1850="",B1850=""),"Preencher CPF e entrada",IF(COUNTIFS($A$12:$A$5011,A1850,$B$12:$B$5011,B1850)&gt;1,"CPF + dia duplicado",IF(OR(AND(E1850&lt;&gt;"",E1850&lt;B1850),AND(F1850&lt;&gt;"",F1850&lt;B1850)),"Evento anterior à entrada",IF(AND(F1850&lt;&gt;"",E1850=""),"Conversa sem agendamento",IF(OR(E1850&gt;TODAY(),F1850&gt;TODAY()),"Verificar evento futuro","OK"))))))</f>
        <v/>
      </c>
    </row>
    <row r="1851" spans="9:12">
      <c r="I1851" s="5">
        <f>IF(OR(A1851="",B1851=""),"",B1851-WEEKDAY(B1851,2)+1)</f>
        <v/>
      </c>
      <c r="J1851" s="5">
        <f>IF(I1851="","",I1851+6)</f>
        <v/>
      </c>
      <c r="K1851" s="6">
        <f>IF(OR(A1851="",B1851=""),"",DATE(YEAR(B1851),MONTH(B1851),1))</f>
        <v/>
      </c>
      <c r="L1851" s="7">
        <f>IF(COUNTA(A1851,B1851)=0,"",IF(OR(A1851="",B1851=""),"Preencher CPF e entrada",IF(COUNTIFS($A$12:$A$5011,A1851,$B$12:$B$5011,B1851)&gt;1,"CPF + dia duplicado",IF(OR(AND(E1851&lt;&gt;"",E1851&lt;B1851),AND(F1851&lt;&gt;"",F1851&lt;B1851)),"Evento anterior à entrada",IF(AND(F1851&lt;&gt;"",E1851=""),"Conversa sem agendamento",IF(OR(E1851&gt;TODAY(),F1851&gt;TODAY()),"Verificar evento futuro","OK"))))))</f>
        <v/>
      </c>
    </row>
    <row r="1852" spans="9:12">
      <c r="I1852" s="5">
        <f>IF(OR(A1852="",B1852=""),"",B1852-WEEKDAY(B1852,2)+1)</f>
        <v/>
      </c>
      <c r="J1852" s="5">
        <f>IF(I1852="","",I1852+6)</f>
        <v/>
      </c>
      <c r="K1852" s="6">
        <f>IF(OR(A1852="",B1852=""),"",DATE(YEAR(B1852),MONTH(B1852),1))</f>
        <v/>
      </c>
      <c r="L1852" s="7">
        <f>IF(COUNTA(A1852,B1852)=0,"",IF(OR(A1852="",B1852=""),"Preencher CPF e entrada",IF(COUNTIFS($A$12:$A$5011,A1852,$B$12:$B$5011,B1852)&gt;1,"CPF + dia duplicado",IF(OR(AND(E1852&lt;&gt;"",E1852&lt;B1852),AND(F1852&lt;&gt;"",F1852&lt;B1852)),"Evento anterior à entrada",IF(AND(F1852&lt;&gt;"",E1852=""),"Conversa sem agendamento",IF(OR(E1852&gt;TODAY(),F1852&gt;TODAY()),"Verificar evento futuro","OK"))))))</f>
        <v/>
      </c>
    </row>
    <row r="1853" spans="9:12">
      <c r="I1853" s="5">
        <f>IF(OR(A1853="",B1853=""),"",B1853-WEEKDAY(B1853,2)+1)</f>
        <v/>
      </c>
      <c r="J1853" s="5">
        <f>IF(I1853="","",I1853+6)</f>
        <v/>
      </c>
      <c r="K1853" s="6">
        <f>IF(OR(A1853="",B1853=""),"",DATE(YEAR(B1853),MONTH(B1853),1))</f>
        <v/>
      </c>
      <c r="L1853" s="7">
        <f>IF(COUNTA(A1853,B1853)=0,"",IF(OR(A1853="",B1853=""),"Preencher CPF e entrada",IF(COUNTIFS($A$12:$A$5011,A1853,$B$12:$B$5011,B1853)&gt;1,"CPF + dia duplicado",IF(OR(AND(E1853&lt;&gt;"",E1853&lt;B1853),AND(F1853&lt;&gt;"",F1853&lt;B1853)),"Evento anterior à entrada",IF(AND(F1853&lt;&gt;"",E1853=""),"Conversa sem agendamento",IF(OR(E1853&gt;TODAY(),F1853&gt;TODAY()),"Verificar evento futuro","OK"))))))</f>
        <v/>
      </c>
    </row>
    <row r="1854" spans="9:12">
      <c r="I1854" s="5">
        <f>IF(OR(A1854="",B1854=""),"",B1854-WEEKDAY(B1854,2)+1)</f>
        <v/>
      </c>
      <c r="J1854" s="5">
        <f>IF(I1854="","",I1854+6)</f>
        <v/>
      </c>
      <c r="K1854" s="6">
        <f>IF(OR(A1854="",B1854=""),"",DATE(YEAR(B1854),MONTH(B1854),1))</f>
        <v/>
      </c>
      <c r="L1854" s="7">
        <f>IF(COUNTA(A1854,B1854)=0,"",IF(OR(A1854="",B1854=""),"Preencher CPF e entrada",IF(COUNTIFS($A$12:$A$5011,A1854,$B$12:$B$5011,B1854)&gt;1,"CPF + dia duplicado",IF(OR(AND(E1854&lt;&gt;"",E1854&lt;B1854),AND(F1854&lt;&gt;"",F1854&lt;B1854)),"Evento anterior à entrada",IF(AND(F1854&lt;&gt;"",E1854=""),"Conversa sem agendamento",IF(OR(E1854&gt;TODAY(),F1854&gt;TODAY()),"Verificar evento futuro","OK"))))))</f>
        <v/>
      </c>
    </row>
    <row r="1855" spans="9:12">
      <c r="I1855" s="5">
        <f>IF(OR(A1855="",B1855=""),"",B1855-WEEKDAY(B1855,2)+1)</f>
        <v/>
      </c>
      <c r="J1855" s="5">
        <f>IF(I1855="","",I1855+6)</f>
        <v/>
      </c>
      <c r="K1855" s="6">
        <f>IF(OR(A1855="",B1855=""),"",DATE(YEAR(B1855),MONTH(B1855),1))</f>
        <v/>
      </c>
      <c r="L1855" s="7">
        <f>IF(COUNTA(A1855,B1855)=0,"",IF(OR(A1855="",B1855=""),"Preencher CPF e entrada",IF(COUNTIFS($A$12:$A$5011,A1855,$B$12:$B$5011,B1855)&gt;1,"CPF + dia duplicado",IF(OR(AND(E1855&lt;&gt;"",E1855&lt;B1855),AND(F1855&lt;&gt;"",F1855&lt;B1855)),"Evento anterior à entrada",IF(AND(F1855&lt;&gt;"",E1855=""),"Conversa sem agendamento",IF(OR(E1855&gt;TODAY(),F1855&gt;TODAY()),"Verificar evento futuro","OK"))))))</f>
        <v/>
      </c>
    </row>
    <row r="1856" spans="9:12">
      <c r="I1856" s="5">
        <f>IF(OR(A1856="",B1856=""),"",B1856-WEEKDAY(B1856,2)+1)</f>
        <v/>
      </c>
      <c r="J1856" s="5">
        <f>IF(I1856="","",I1856+6)</f>
        <v/>
      </c>
      <c r="K1856" s="6">
        <f>IF(OR(A1856="",B1856=""),"",DATE(YEAR(B1856),MONTH(B1856),1))</f>
        <v/>
      </c>
      <c r="L1856" s="7">
        <f>IF(COUNTA(A1856,B1856)=0,"",IF(OR(A1856="",B1856=""),"Preencher CPF e entrada",IF(COUNTIFS($A$12:$A$5011,A1856,$B$12:$B$5011,B1856)&gt;1,"CPF + dia duplicado",IF(OR(AND(E1856&lt;&gt;"",E1856&lt;B1856),AND(F1856&lt;&gt;"",F1856&lt;B1856)),"Evento anterior à entrada",IF(AND(F1856&lt;&gt;"",E1856=""),"Conversa sem agendamento",IF(OR(E1856&gt;TODAY(),F1856&gt;TODAY()),"Verificar evento futuro","OK"))))))</f>
        <v/>
      </c>
    </row>
    <row r="1857" spans="9:12">
      <c r="I1857" s="5">
        <f>IF(OR(A1857="",B1857=""),"",B1857-WEEKDAY(B1857,2)+1)</f>
        <v/>
      </c>
      <c r="J1857" s="5">
        <f>IF(I1857="","",I1857+6)</f>
        <v/>
      </c>
      <c r="K1857" s="6">
        <f>IF(OR(A1857="",B1857=""),"",DATE(YEAR(B1857),MONTH(B1857),1))</f>
        <v/>
      </c>
      <c r="L1857" s="7">
        <f>IF(COUNTA(A1857,B1857)=0,"",IF(OR(A1857="",B1857=""),"Preencher CPF e entrada",IF(COUNTIFS($A$12:$A$5011,A1857,$B$12:$B$5011,B1857)&gt;1,"CPF + dia duplicado",IF(OR(AND(E1857&lt;&gt;"",E1857&lt;B1857),AND(F1857&lt;&gt;"",F1857&lt;B1857)),"Evento anterior à entrada",IF(AND(F1857&lt;&gt;"",E1857=""),"Conversa sem agendamento",IF(OR(E1857&gt;TODAY(),F1857&gt;TODAY()),"Verificar evento futuro","OK"))))))</f>
        <v/>
      </c>
    </row>
    <row r="1858" spans="9:12">
      <c r="I1858" s="5">
        <f>IF(OR(A1858="",B1858=""),"",B1858-WEEKDAY(B1858,2)+1)</f>
        <v/>
      </c>
      <c r="J1858" s="5">
        <f>IF(I1858="","",I1858+6)</f>
        <v/>
      </c>
      <c r="K1858" s="6">
        <f>IF(OR(A1858="",B1858=""),"",DATE(YEAR(B1858),MONTH(B1858),1))</f>
        <v/>
      </c>
      <c r="L1858" s="7">
        <f>IF(COUNTA(A1858,B1858)=0,"",IF(OR(A1858="",B1858=""),"Preencher CPF e entrada",IF(COUNTIFS($A$12:$A$5011,A1858,$B$12:$B$5011,B1858)&gt;1,"CPF + dia duplicado",IF(OR(AND(E1858&lt;&gt;"",E1858&lt;B1858),AND(F1858&lt;&gt;"",F1858&lt;B1858)),"Evento anterior à entrada",IF(AND(F1858&lt;&gt;"",E1858=""),"Conversa sem agendamento",IF(OR(E1858&gt;TODAY(),F1858&gt;TODAY()),"Verificar evento futuro","OK"))))))</f>
        <v/>
      </c>
    </row>
    <row r="1859" spans="9:12">
      <c r="I1859" s="5">
        <f>IF(OR(A1859="",B1859=""),"",B1859-WEEKDAY(B1859,2)+1)</f>
        <v/>
      </c>
      <c r="J1859" s="5">
        <f>IF(I1859="","",I1859+6)</f>
        <v/>
      </c>
      <c r="K1859" s="6">
        <f>IF(OR(A1859="",B1859=""),"",DATE(YEAR(B1859),MONTH(B1859),1))</f>
        <v/>
      </c>
      <c r="L1859" s="7">
        <f>IF(COUNTA(A1859,B1859)=0,"",IF(OR(A1859="",B1859=""),"Preencher CPF e entrada",IF(COUNTIFS($A$12:$A$5011,A1859,$B$12:$B$5011,B1859)&gt;1,"CPF + dia duplicado",IF(OR(AND(E1859&lt;&gt;"",E1859&lt;B1859),AND(F1859&lt;&gt;"",F1859&lt;B1859)),"Evento anterior à entrada",IF(AND(F1859&lt;&gt;"",E1859=""),"Conversa sem agendamento",IF(OR(E1859&gt;TODAY(),F1859&gt;TODAY()),"Verificar evento futuro","OK"))))))</f>
        <v/>
      </c>
    </row>
    <row r="1860" spans="9:12">
      <c r="I1860" s="5">
        <f>IF(OR(A1860="",B1860=""),"",B1860-WEEKDAY(B1860,2)+1)</f>
        <v/>
      </c>
      <c r="J1860" s="5">
        <f>IF(I1860="","",I1860+6)</f>
        <v/>
      </c>
      <c r="K1860" s="6">
        <f>IF(OR(A1860="",B1860=""),"",DATE(YEAR(B1860),MONTH(B1860),1))</f>
        <v/>
      </c>
      <c r="L1860" s="7">
        <f>IF(COUNTA(A1860,B1860)=0,"",IF(OR(A1860="",B1860=""),"Preencher CPF e entrada",IF(COUNTIFS($A$12:$A$5011,A1860,$B$12:$B$5011,B1860)&gt;1,"CPF + dia duplicado",IF(OR(AND(E1860&lt;&gt;"",E1860&lt;B1860),AND(F1860&lt;&gt;"",F1860&lt;B1860)),"Evento anterior à entrada",IF(AND(F1860&lt;&gt;"",E1860=""),"Conversa sem agendamento",IF(OR(E1860&gt;TODAY(),F1860&gt;TODAY()),"Verificar evento futuro","OK"))))))</f>
        <v/>
      </c>
    </row>
    <row r="1861" spans="9:12">
      <c r="I1861" s="5">
        <f>IF(OR(A1861="",B1861=""),"",B1861-WEEKDAY(B1861,2)+1)</f>
        <v/>
      </c>
      <c r="J1861" s="5">
        <f>IF(I1861="","",I1861+6)</f>
        <v/>
      </c>
      <c r="K1861" s="6">
        <f>IF(OR(A1861="",B1861=""),"",DATE(YEAR(B1861),MONTH(B1861),1))</f>
        <v/>
      </c>
      <c r="L1861" s="7">
        <f>IF(COUNTA(A1861,B1861)=0,"",IF(OR(A1861="",B1861=""),"Preencher CPF e entrada",IF(COUNTIFS($A$12:$A$5011,A1861,$B$12:$B$5011,B1861)&gt;1,"CPF + dia duplicado",IF(OR(AND(E1861&lt;&gt;"",E1861&lt;B1861),AND(F1861&lt;&gt;"",F1861&lt;B1861)),"Evento anterior à entrada",IF(AND(F1861&lt;&gt;"",E1861=""),"Conversa sem agendamento",IF(OR(E1861&gt;TODAY(),F1861&gt;TODAY()),"Verificar evento futuro","OK"))))))</f>
        <v/>
      </c>
    </row>
    <row r="1862" spans="9:12">
      <c r="I1862" s="5">
        <f>IF(OR(A1862="",B1862=""),"",B1862-WEEKDAY(B1862,2)+1)</f>
        <v/>
      </c>
      <c r="J1862" s="5">
        <f>IF(I1862="","",I1862+6)</f>
        <v/>
      </c>
      <c r="K1862" s="6">
        <f>IF(OR(A1862="",B1862=""),"",DATE(YEAR(B1862),MONTH(B1862),1))</f>
        <v/>
      </c>
      <c r="L1862" s="7">
        <f>IF(COUNTA(A1862,B1862)=0,"",IF(OR(A1862="",B1862=""),"Preencher CPF e entrada",IF(COUNTIFS($A$12:$A$5011,A1862,$B$12:$B$5011,B1862)&gt;1,"CPF + dia duplicado",IF(OR(AND(E1862&lt;&gt;"",E1862&lt;B1862),AND(F1862&lt;&gt;"",F1862&lt;B1862)),"Evento anterior à entrada",IF(AND(F1862&lt;&gt;"",E1862=""),"Conversa sem agendamento",IF(OR(E1862&gt;TODAY(),F1862&gt;TODAY()),"Verificar evento futuro","OK"))))))</f>
        <v/>
      </c>
    </row>
    <row r="1863" spans="9:12">
      <c r="I1863" s="5">
        <f>IF(OR(A1863="",B1863=""),"",B1863-WEEKDAY(B1863,2)+1)</f>
        <v/>
      </c>
      <c r="J1863" s="5">
        <f>IF(I1863="","",I1863+6)</f>
        <v/>
      </c>
      <c r="K1863" s="6">
        <f>IF(OR(A1863="",B1863=""),"",DATE(YEAR(B1863),MONTH(B1863),1))</f>
        <v/>
      </c>
      <c r="L1863" s="7">
        <f>IF(COUNTA(A1863,B1863)=0,"",IF(OR(A1863="",B1863=""),"Preencher CPF e entrada",IF(COUNTIFS($A$12:$A$5011,A1863,$B$12:$B$5011,B1863)&gt;1,"CPF + dia duplicado",IF(OR(AND(E1863&lt;&gt;"",E1863&lt;B1863),AND(F1863&lt;&gt;"",F1863&lt;B1863)),"Evento anterior à entrada",IF(AND(F1863&lt;&gt;"",E1863=""),"Conversa sem agendamento",IF(OR(E1863&gt;TODAY(),F1863&gt;TODAY()),"Verificar evento futuro","OK"))))))</f>
        <v/>
      </c>
    </row>
    <row r="1864" spans="9:12">
      <c r="I1864" s="5">
        <f>IF(OR(A1864="",B1864=""),"",B1864-WEEKDAY(B1864,2)+1)</f>
        <v/>
      </c>
      <c r="J1864" s="5">
        <f>IF(I1864="","",I1864+6)</f>
        <v/>
      </c>
      <c r="K1864" s="6">
        <f>IF(OR(A1864="",B1864=""),"",DATE(YEAR(B1864),MONTH(B1864),1))</f>
        <v/>
      </c>
      <c r="L1864" s="7">
        <f>IF(COUNTA(A1864,B1864)=0,"",IF(OR(A1864="",B1864=""),"Preencher CPF e entrada",IF(COUNTIFS($A$12:$A$5011,A1864,$B$12:$B$5011,B1864)&gt;1,"CPF + dia duplicado",IF(OR(AND(E1864&lt;&gt;"",E1864&lt;B1864),AND(F1864&lt;&gt;"",F1864&lt;B1864)),"Evento anterior à entrada",IF(AND(F1864&lt;&gt;"",E1864=""),"Conversa sem agendamento",IF(OR(E1864&gt;TODAY(),F1864&gt;TODAY()),"Verificar evento futuro","OK"))))))</f>
        <v/>
      </c>
    </row>
    <row r="1865" spans="9:12">
      <c r="I1865" s="5">
        <f>IF(OR(A1865="",B1865=""),"",B1865-WEEKDAY(B1865,2)+1)</f>
        <v/>
      </c>
      <c r="J1865" s="5">
        <f>IF(I1865="","",I1865+6)</f>
        <v/>
      </c>
      <c r="K1865" s="6">
        <f>IF(OR(A1865="",B1865=""),"",DATE(YEAR(B1865),MONTH(B1865),1))</f>
        <v/>
      </c>
      <c r="L1865" s="7">
        <f>IF(COUNTA(A1865,B1865)=0,"",IF(OR(A1865="",B1865=""),"Preencher CPF e entrada",IF(COUNTIFS($A$12:$A$5011,A1865,$B$12:$B$5011,B1865)&gt;1,"CPF + dia duplicado",IF(OR(AND(E1865&lt;&gt;"",E1865&lt;B1865),AND(F1865&lt;&gt;"",F1865&lt;B1865)),"Evento anterior à entrada",IF(AND(F1865&lt;&gt;"",E1865=""),"Conversa sem agendamento",IF(OR(E1865&gt;TODAY(),F1865&gt;TODAY()),"Verificar evento futuro","OK"))))))</f>
        <v/>
      </c>
    </row>
    <row r="1866" spans="9:12">
      <c r="I1866" s="5">
        <f>IF(OR(A1866="",B1866=""),"",B1866-WEEKDAY(B1866,2)+1)</f>
        <v/>
      </c>
      <c r="J1866" s="5">
        <f>IF(I1866="","",I1866+6)</f>
        <v/>
      </c>
      <c r="K1866" s="6">
        <f>IF(OR(A1866="",B1866=""),"",DATE(YEAR(B1866),MONTH(B1866),1))</f>
        <v/>
      </c>
      <c r="L1866" s="7">
        <f>IF(COUNTA(A1866,B1866)=0,"",IF(OR(A1866="",B1866=""),"Preencher CPF e entrada",IF(COUNTIFS($A$12:$A$5011,A1866,$B$12:$B$5011,B1866)&gt;1,"CPF + dia duplicado",IF(OR(AND(E1866&lt;&gt;"",E1866&lt;B1866),AND(F1866&lt;&gt;"",F1866&lt;B1866)),"Evento anterior à entrada",IF(AND(F1866&lt;&gt;"",E1866=""),"Conversa sem agendamento",IF(OR(E1866&gt;TODAY(),F1866&gt;TODAY()),"Verificar evento futuro","OK"))))))</f>
        <v/>
      </c>
    </row>
    <row r="1867" spans="9:12">
      <c r="I1867" s="5">
        <f>IF(OR(A1867="",B1867=""),"",B1867-WEEKDAY(B1867,2)+1)</f>
        <v/>
      </c>
      <c r="J1867" s="5">
        <f>IF(I1867="","",I1867+6)</f>
        <v/>
      </c>
      <c r="K1867" s="6">
        <f>IF(OR(A1867="",B1867=""),"",DATE(YEAR(B1867),MONTH(B1867),1))</f>
        <v/>
      </c>
      <c r="L1867" s="7">
        <f>IF(COUNTA(A1867,B1867)=0,"",IF(OR(A1867="",B1867=""),"Preencher CPF e entrada",IF(COUNTIFS($A$12:$A$5011,A1867,$B$12:$B$5011,B1867)&gt;1,"CPF + dia duplicado",IF(OR(AND(E1867&lt;&gt;"",E1867&lt;B1867),AND(F1867&lt;&gt;"",F1867&lt;B1867)),"Evento anterior à entrada",IF(AND(F1867&lt;&gt;"",E1867=""),"Conversa sem agendamento",IF(OR(E1867&gt;TODAY(),F1867&gt;TODAY()),"Verificar evento futuro","OK"))))))</f>
        <v/>
      </c>
    </row>
    <row r="1868" spans="9:12">
      <c r="I1868" s="5">
        <f>IF(OR(A1868="",B1868=""),"",B1868-WEEKDAY(B1868,2)+1)</f>
        <v/>
      </c>
      <c r="J1868" s="5">
        <f>IF(I1868="","",I1868+6)</f>
        <v/>
      </c>
      <c r="K1868" s="6">
        <f>IF(OR(A1868="",B1868=""),"",DATE(YEAR(B1868),MONTH(B1868),1))</f>
        <v/>
      </c>
      <c r="L1868" s="7">
        <f>IF(COUNTA(A1868,B1868)=0,"",IF(OR(A1868="",B1868=""),"Preencher CPF e entrada",IF(COUNTIFS($A$12:$A$5011,A1868,$B$12:$B$5011,B1868)&gt;1,"CPF + dia duplicado",IF(OR(AND(E1868&lt;&gt;"",E1868&lt;B1868),AND(F1868&lt;&gt;"",F1868&lt;B1868)),"Evento anterior à entrada",IF(AND(F1868&lt;&gt;"",E1868=""),"Conversa sem agendamento",IF(OR(E1868&gt;TODAY(),F1868&gt;TODAY()),"Verificar evento futuro","OK"))))))</f>
        <v/>
      </c>
    </row>
    <row r="1869" spans="9:12">
      <c r="I1869" s="5">
        <f>IF(OR(A1869="",B1869=""),"",B1869-WEEKDAY(B1869,2)+1)</f>
        <v/>
      </c>
      <c r="J1869" s="5">
        <f>IF(I1869="","",I1869+6)</f>
        <v/>
      </c>
      <c r="K1869" s="6">
        <f>IF(OR(A1869="",B1869=""),"",DATE(YEAR(B1869),MONTH(B1869),1))</f>
        <v/>
      </c>
      <c r="L1869" s="7">
        <f>IF(COUNTA(A1869,B1869)=0,"",IF(OR(A1869="",B1869=""),"Preencher CPF e entrada",IF(COUNTIFS($A$12:$A$5011,A1869,$B$12:$B$5011,B1869)&gt;1,"CPF + dia duplicado",IF(OR(AND(E1869&lt;&gt;"",E1869&lt;B1869),AND(F1869&lt;&gt;"",F1869&lt;B1869)),"Evento anterior à entrada",IF(AND(F1869&lt;&gt;"",E1869=""),"Conversa sem agendamento",IF(OR(E1869&gt;TODAY(),F1869&gt;TODAY()),"Verificar evento futuro","OK"))))))</f>
        <v/>
      </c>
    </row>
    <row r="1870" spans="9:12">
      <c r="I1870" s="5">
        <f>IF(OR(A1870="",B1870=""),"",B1870-WEEKDAY(B1870,2)+1)</f>
        <v/>
      </c>
      <c r="J1870" s="5">
        <f>IF(I1870="","",I1870+6)</f>
        <v/>
      </c>
      <c r="K1870" s="6">
        <f>IF(OR(A1870="",B1870=""),"",DATE(YEAR(B1870),MONTH(B1870),1))</f>
        <v/>
      </c>
      <c r="L1870" s="7">
        <f>IF(COUNTA(A1870,B1870)=0,"",IF(OR(A1870="",B1870=""),"Preencher CPF e entrada",IF(COUNTIFS($A$12:$A$5011,A1870,$B$12:$B$5011,B1870)&gt;1,"CPF + dia duplicado",IF(OR(AND(E1870&lt;&gt;"",E1870&lt;B1870),AND(F1870&lt;&gt;"",F1870&lt;B1870)),"Evento anterior à entrada",IF(AND(F1870&lt;&gt;"",E1870=""),"Conversa sem agendamento",IF(OR(E1870&gt;TODAY(),F1870&gt;TODAY()),"Verificar evento futuro","OK"))))))</f>
        <v/>
      </c>
    </row>
    <row r="1871" spans="9:12">
      <c r="I1871" s="5">
        <f>IF(OR(A1871="",B1871=""),"",B1871-WEEKDAY(B1871,2)+1)</f>
        <v/>
      </c>
      <c r="J1871" s="5">
        <f>IF(I1871="","",I1871+6)</f>
        <v/>
      </c>
      <c r="K1871" s="6">
        <f>IF(OR(A1871="",B1871=""),"",DATE(YEAR(B1871),MONTH(B1871),1))</f>
        <v/>
      </c>
      <c r="L1871" s="7">
        <f>IF(COUNTA(A1871,B1871)=0,"",IF(OR(A1871="",B1871=""),"Preencher CPF e entrada",IF(COUNTIFS($A$12:$A$5011,A1871,$B$12:$B$5011,B1871)&gt;1,"CPF + dia duplicado",IF(OR(AND(E1871&lt;&gt;"",E1871&lt;B1871),AND(F1871&lt;&gt;"",F1871&lt;B1871)),"Evento anterior à entrada",IF(AND(F1871&lt;&gt;"",E1871=""),"Conversa sem agendamento",IF(OR(E1871&gt;TODAY(),F1871&gt;TODAY()),"Verificar evento futuro","OK"))))))</f>
        <v/>
      </c>
    </row>
    <row r="1872" spans="9:12">
      <c r="I1872" s="5">
        <f>IF(OR(A1872="",B1872=""),"",B1872-WEEKDAY(B1872,2)+1)</f>
        <v/>
      </c>
      <c r="J1872" s="5">
        <f>IF(I1872="","",I1872+6)</f>
        <v/>
      </c>
      <c r="K1872" s="6">
        <f>IF(OR(A1872="",B1872=""),"",DATE(YEAR(B1872),MONTH(B1872),1))</f>
        <v/>
      </c>
      <c r="L1872" s="7">
        <f>IF(COUNTA(A1872,B1872)=0,"",IF(OR(A1872="",B1872=""),"Preencher CPF e entrada",IF(COUNTIFS($A$12:$A$5011,A1872,$B$12:$B$5011,B1872)&gt;1,"CPF + dia duplicado",IF(OR(AND(E1872&lt;&gt;"",E1872&lt;B1872),AND(F1872&lt;&gt;"",F1872&lt;B1872)),"Evento anterior à entrada",IF(AND(F1872&lt;&gt;"",E1872=""),"Conversa sem agendamento",IF(OR(E1872&gt;TODAY(),F1872&gt;TODAY()),"Verificar evento futuro","OK"))))))</f>
        <v/>
      </c>
    </row>
    <row r="1873" spans="9:12">
      <c r="I1873" s="5">
        <f>IF(OR(A1873="",B1873=""),"",B1873-WEEKDAY(B1873,2)+1)</f>
        <v/>
      </c>
      <c r="J1873" s="5">
        <f>IF(I1873="","",I1873+6)</f>
        <v/>
      </c>
      <c r="K1873" s="6">
        <f>IF(OR(A1873="",B1873=""),"",DATE(YEAR(B1873),MONTH(B1873),1))</f>
        <v/>
      </c>
      <c r="L1873" s="7">
        <f>IF(COUNTA(A1873,B1873)=0,"",IF(OR(A1873="",B1873=""),"Preencher CPF e entrada",IF(COUNTIFS($A$12:$A$5011,A1873,$B$12:$B$5011,B1873)&gt;1,"CPF + dia duplicado",IF(OR(AND(E1873&lt;&gt;"",E1873&lt;B1873),AND(F1873&lt;&gt;"",F1873&lt;B1873)),"Evento anterior à entrada",IF(AND(F1873&lt;&gt;"",E1873=""),"Conversa sem agendamento",IF(OR(E1873&gt;TODAY(),F1873&gt;TODAY()),"Verificar evento futuro","OK"))))))</f>
        <v/>
      </c>
    </row>
    <row r="1874" spans="9:12">
      <c r="I1874" s="5">
        <f>IF(OR(A1874="",B1874=""),"",B1874-WEEKDAY(B1874,2)+1)</f>
        <v/>
      </c>
      <c r="J1874" s="5">
        <f>IF(I1874="","",I1874+6)</f>
        <v/>
      </c>
      <c r="K1874" s="6">
        <f>IF(OR(A1874="",B1874=""),"",DATE(YEAR(B1874),MONTH(B1874),1))</f>
        <v/>
      </c>
      <c r="L1874" s="7">
        <f>IF(COUNTA(A1874,B1874)=0,"",IF(OR(A1874="",B1874=""),"Preencher CPF e entrada",IF(COUNTIFS($A$12:$A$5011,A1874,$B$12:$B$5011,B1874)&gt;1,"CPF + dia duplicado",IF(OR(AND(E1874&lt;&gt;"",E1874&lt;B1874),AND(F1874&lt;&gt;"",F1874&lt;B1874)),"Evento anterior à entrada",IF(AND(F1874&lt;&gt;"",E1874=""),"Conversa sem agendamento",IF(OR(E1874&gt;TODAY(),F1874&gt;TODAY()),"Verificar evento futuro","OK"))))))</f>
        <v/>
      </c>
    </row>
    <row r="1875" spans="9:12">
      <c r="I1875" s="5">
        <f>IF(OR(A1875="",B1875=""),"",B1875-WEEKDAY(B1875,2)+1)</f>
        <v/>
      </c>
      <c r="J1875" s="5">
        <f>IF(I1875="","",I1875+6)</f>
        <v/>
      </c>
      <c r="K1875" s="6">
        <f>IF(OR(A1875="",B1875=""),"",DATE(YEAR(B1875),MONTH(B1875),1))</f>
        <v/>
      </c>
      <c r="L1875" s="7">
        <f>IF(COUNTA(A1875,B1875)=0,"",IF(OR(A1875="",B1875=""),"Preencher CPF e entrada",IF(COUNTIFS($A$12:$A$5011,A1875,$B$12:$B$5011,B1875)&gt;1,"CPF + dia duplicado",IF(OR(AND(E1875&lt;&gt;"",E1875&lt;B1875),AND(F1875&lt;&gt;"",F1875&lt;B1875)),"Evento anterior à entrada",IF(AND(F1875&lt;&gt;"",E1875=""),"Conversa sem agendamento",IF(OR(E1875&gt;TODAY(),F1875&gt;TODAY()),"Verificar evento futuro","OK"))))))</f>
        <v/>
      </c>
    </row>
    <row r="1876" spans="9:12">
      <c r="I1876" s="5">
        <f>IF(OR(A1876="",B1876=""),"",B1876-WEEKDAY(B1876,2)+1)</f>
        <v/>
      </c>
      <c r="J1876" s="5">
        <f>IF(I1876="","",I1876+6)</f>
        <v/>
      </c>
      <c r="K1876" s="6">
        <f>IF(OR(A1876="",B1876=""),"",DATE(YEAR(B1876),MONTH(B1876),1))</f>
        <v/>
      </c>
      <c r="L1876" s="7">
        <f>IF(COUNTA(A1876,B1876)=0,"",IF(OR(A1876="",B1876=""),"Preencher CPF e entrada",IF(COUNTIFS($A$12:$A$5011,A1876,$B$12:$B$5011,B1876)&gt;1,"CPF + dia duplicado",IF(OR(AND(E1876&lt;&gt;"",E1876&lt;B1876),AND(F1876&lt;&gt;"",F1876&lt;B1876)),"Evento anterior à entrada",IF(AND(F1876&lt;&gt;"",E1876=""),"Conversa sem agendamento",IF(OR(E1876&gt;TODAY(),F1876&gt;TODAY()),"Verificar evento futuro","OK"))))))</f>
        <v/>
      </c>
    </row>
    <row r="1877" spans="9:12">
      <c r="I1877" s="5">
        <f>IF(OR(A1877="",B1877=""),"",B1877-WEEKDAY(B1877,2)+1)</f>
        <v/>
      </c>
      <c r="J1877" s="5">
        <f>IF(I1877="","",I1877+6)</f>
        <v/>
      </c>
      <c r="K1877" s="6">
        <f>IF(OR(A1877="",B1877=""),"",DATE(YEAR(B1877),MONTH(B1877),1))</f>
        <v/>
      </c>
      <c r="L1877" s="7">
        <f>IF(COUNTA(A1877,B1877)=0,"",IF(OR(A1877="",B1877=""),"Preencher CPF e entrada",IF(COUNTIFS($A$12:$A$5011,A1877,$B$12:$B$5011,B1877)&gt;1,"CPF + dia duplicado",IF(OR(AND(E1877&lt;&gt;"",E1877&lt;B1877),AND(F1877&lt;&gt;"",F1877&lt;B1877)),"Evento anterior à entrada",IF(AND(F1877&lt;&gt;"",E1877=""),"Conversa sem agendamento",IF(OR(E1877&gt;TODAY(),F1877&gt;TODAY()),"Verificar evento futuro","OK"))))))</f>
        <v/>
      </c>
    </row>
    <row r="1878" spans="9:12">
      <c r="I1878" s="5">
        <f>IF(OR(A1878="",B1878=""),"",B1878-WEEKDAY(B1878,2)+1)</f>
        <v/>
      </c>
      <c r="J1878" s="5">
        <f>IF(I1878="","",I1878+6)</f>
        <v/>
      </c>
      <c r="K1878" s="6">
        <f>IF(OR(A1878="",B1878=""),"",DATE(YEAR(B1878),MONTH(B1878),1))</f>
        <v/>
      </c>
      <c r="L1878" s="7">
        <f>IF(COUNTA(A1878,B1878)=0,"",IF(OR(A1878="",B1878=""),"Preencher CPF e entrada",IF(COUNTIFS($A$12:$A$5011,A1878,$B$12:$B$5011,B1878)&gt;1,"CPF + dia duplicado",IF(OR(AND(E1878&lt;&gt;"",E1878&lt;B1878),AND(F1878&lt;&gt;"",F1878&lt;B1878)),"Evento anterior à entrada",IF(AND(F1878&lt;&gt;"",E1878=""),"Conversa sem agendamento",IF(OR(E1878&gt;TODAY(),F1878&gt;TODAY()),"Verificar evento futuro","OK"))))))</f>
        <v/>
      </c>
    </row>
    <row r="1879" spans="9:12">
      <c r="I1879" s="5">
        <f>IF(OR(A1879="",B1879=""),"",B1879-WEEKDAY(B1879,2)+1)</f>
        <v/>
      </c>
      <c r="J1879" s="5">
        <f>IF(I1879="","",I1879+6)</f>
        <v/>
      </c>
      <c r="K1879" s="6">
        <f>IF(OR(A1879="",B1879=""),"",DATE(YEAR(B1879),MONTH(B1879),1))</f>
        <v/>
      </c>
      <c r="L1879" s="7">
        <f>IF(COUNTA(A1879,B1879)=0,"",IF(OR(A1879="",B1879=""),"Preencher CPF e entrada",IF(COUNTIFS($A$12:$A$5011,A1879,$B$12:$B$5011,B1879)&gt;1,"CPF + dia duplicado",IF(OR(AND(E1879&lt;&gt;"",E1879&lt;B1879),AND(F1879&lt;&gt;"",F1879&lt;B1879)),"Evento anterior à entrada",IF(AND(F1879&lt;&gt;"",E1879=""),"Conversa sem agendamento",IF(OR(E1879&gt;TODAY(),F1879&gt;TODAY()),"Verificar evento futuro","OK"))))))</f>
        <v/>
      </c>
    </row>
    <row r="1880" spans="9:12">
      <c r="I1880" s="5">
        <f>IF(OR(A1880="",B1880=""),"",B1880-WEEKDAY(B1880,2)+1)</f>
        <v/>
      </c>
      <c r="J1880" s="5">
        <f>IF(I1880="","",I1880+6)</f>
        <v/>
      </c>
      <c r="K1880" s="6">
        <f>IF(OR(A1880="",B1880=""),"",DATE(YEAR(B1880),MONTH(B1880),1))</f>
        <v/>
      </c>
      <c r="L1880" s="7">
        <f>IF(COUNTA(A1880,B1880)=0,"",IF(OR(A1880="",B1880=""),"Preencher CPF e entrada",IF(COUNTIFS($A$12:$A$5011,A1880,$B$12:$B$5011,B1880)&gt;1,"CPF + dia duplicado",IF(OR(AND(E1880&lt;&gt;"",E1880&lt;B1880),AND(F1880&lt;&gt;"",F1880&lt;B1880)),"Evento anterior à entrada",IF(AND(F1880&lt;&gt;"",E1880=""),"Conversa sem agendamento",IF(OR(E1880&gt;TODAY(),F1880&gt;TODAY()),"Verificar evento futuro","OK"))))))</f>
        <v/>
      </c>
    </row>
    <row r="1881" spans="9:12">
      <c r="I1881" s="5">
        <f>IF(OR(A1881="",B1881=""),"",B1881-WEEKDAY(B1881,2)+1)</f>
        <v/>
      </c>
      <c r="J1881" s="5">
        <f>IF(I1881="","",I1881+6)</f>
        <v/>
      </c>
      <c r="K1881" s="6">
        <f>IF(OR(A1881="",B1881=""),"",DATE(YEAR(B1881),MONTH(B1881),1))</f>
        <v/>
      </c>
      <c r="L1881" s="7">
        <f>IF(COUNTA(A1881,B1881)=0,"",IF(OR(A1881="",B1881=""),"Preencher CPF e entrada",IF(COUNTIFS($A$12:$A$5011,A1881,$B$12:$B$5011,B1881)&gt;1,"CPF + dia duplicado",IF(OR(AND(E1881&lt;&gt;"",E1881&lt;B1881),AND(F1881&lt;&gt;"",F1881&lt;B1881)),"Evento anterior à entrada",IF(AND(F1881&lt;&gt;"",E1881=""),"Conversa sem agendamento",IF(OR(E1881&gt;TODAY(),F1881&gt;TODAY()),"Verificar evento futuro","OK"))))))</f>
        <v/>
      </c>
    </row>
    <row r="1882" spans="9:12">
      <c r="I1882" s="5">
        <f>IF(OR(A1882="",B1882=""),"",B1882-WEEKDAY(B1882,2)+1)</f>
        <v/>
      </c>
      <c r="J1882" s="5">
        <f>IF(I1882="","",I1882+6)</f>
        <v/>
      </c>
      <c r="K1882" s="6">
        <f>IF(OR(A1882="",B1882=""),"",DATE(YEAR(B1882),MONTH(B1882),1))</f>
        <v/>
      </c>
      <c r="L1882" s="7">
        <f>IF(COUNTA(A1882,B1882)=0,"",IF(OR(A1882="",B1882=""),"Preencher CPF e entrada",IF(COUNTIFS($A$12:$A$5011,A1882,$B$12:$B$5011,B1882)&gt;1,"CPF + dia duplicado",IF(OR(AND(E1882&lt;&gt;"",E1882&lt;B1882),AND(F1882&lt;&gt;"",F1882&lt;B1882)),"Evento anterior à entrada",IF(AND(F1882&lt;&gt;"",E1882=""),"Conversa sem agendamento",IF(OR(E1882&gt;TODAY(),F1882&gt;TODAY()),"Verificar evento futuro","OK"))))))</f>
        <v/>
      </c>
    </row>
    <row r="1883" spans="9:12">
      <c r="I1883" s="5">
        <f>IF(OR(A1883="",B1883=""),"",B1883-WEEKDAY(B1883,2)+1)</f>
        <v/>
      </c>
      <c r="J1883" s="5">
        <f>IF(I1883="","",I1883+6)</f>
        <v/>
      </c>
      <c r="K1883" s="6">
        <f>IF(OR(A1883="",B1883=""),"",DATE(YEAR(B1883),MONTH(B1883),1))</f>
        <v/>
      </c>
      <c r="L1883" s="7">
        <f>IF(COUNTA(A1883,B1883)=0,"",IF(OR(A1883="",B1883=""),"Preencher CPF e entrada",IF(COUNTIFS($A$12:$A$5011,A1883,$B$12:$B$5011,B1883)&gt;1,"CPF + dia duplicado",IF(OR(AND(E1883&lt;&gt;"",E1883&lt;B1883),AND(F1883&lt;&gt;"",F1883&lt;B1883)),"Evento anterior à entrada",IF(AND(F1883&lt;&gt;"",E1883=""),"Conversa sem agendamento",IF(OR(E1883&gt;TODAY(),F1883&gt;TODAY()),"Verificar evento futuro","OK"))))))</f>
        <v/>
      </c>
    </row>
    <row r="1884" spans="9:12">
      <c r="I1884" s="5">
        <f>IF(OR(A1884="",B1884=""),"",B1884-WEEKDAY(B1884,2)+1)</f>
        <v/>
      </c>
      <c r="J1884" s="5">
        <f>IF(I1884="","",I1884+6)</f>
        <v/>
      </c>
      <c r="K1884" s="6">
        <f>IF(OR(A1884="",B1884=""),"",DATE(YEAR(B1884),MONTH(B1884),1))</f>
        <v/>
      </c>
      <c r="L1884" s="7">
        <f>IF(COUNTA(A1884,B1884)=0,"",IF(OR(A1884="",B1884=""),"Preencher CPF e entrada",IF(COUNTIFS($A$12:$A$5011,A1884,$B$12:$B$5011,B1884)&gt;1,"CPF + dia duplicado",IF(OR(AND(E1884&lt;&gt;"",E1884&lt;B1884),AND(F1884&lt;&gt;"",F1884&lt;B1884)),"Evento anterior à entrada",IF(AND(F1884&lt;&gt;"",E1884=""),"Conversa sem agendamento",IF(OR(E1884&gt;TODAY(),F1884&gt;TODAY()),"Verificar evento futuro","OK"))))))</f>
        <v/>
      </c>
    </row>
    <row r="1885" spans="9:12">
      <c r="I1885" s="5">
        <f>IF(OR(A1885="",B1885=""),"",B1885-WEEKDAY(B1885,2)+1)</f>
        <v/>
      </c>
      <c r="J1885" s="5">
        <f>IF(I1885="","",I1885+6)</f>
        <v/>
      </c>
      <c r="K1885" s="6">
        <f>IF(OR(A1885="",B1885=""),"",DATE(YEAR(B1885),MONTH(B1885),1))</f>
        <v/>
      </c>
      <c r="L1885" s="7">
        <f>IF(COUNTA(A1885,B1885)=0,"",IF(OR(A1885="",B1885=""),"Preencher CPF e entrada",IF(COUNTIFS($A$12:$A$5011,A1885,$B$12:$B$5011,B1885)&gt;1,"CPF + dia duplicado",IF(OR(AND(E1885&lt;&gt;"",E1885&lt;B1885),AND(F1885&lt;&gt;"",F1885&lt;B1885)),"Evento anterior à entrada",IF(AND(F1885&lt;&gt;"",E1885=""),"Conversa sem agendamento",IF(OR(E1885&gt;TODAY(),F1885&gt;TODAY()),"Verificar evento futuro","OK"))))))</f>
        <v/>
      </c>
    </row>
    <row r="1886" spans="9:12">
      <c r="I1886" s="5">
        <f>IF(OR(A1886="",B1886=""),"",B1886-WEEKDAY(B1886,2)+1)</f>
        <v/>
      </c>
      <c r="J1886" s="5">
        <f>IF(I1886="","",I1886+6)</f>
        <v/>
      </c>
      <c r="K1886" s="6">
        <f>IF(OR(A1886="",B1886=""),"",DATE(YEAR(B1886),MONTH(B1886),1))</f>
        <v/>
      </c>
      <c r="L1886" s="7">
        <f>IF(COUNTA(A1886,B1886)=0,"",IF(OR(A1886="",B1886=""),"Preencher CPF e entrada",IF(COUNTIFS($A$12:$A$5011,A1886,$B$12:$B$5011,B1886)&gt;1,"CPF + dia duplicado",IF(OR(AND(E1886&lt;&gt;"",E1886&lt;B1886),AND(F1886&lt;&gt;"",F1886&lt;B1886)),"Evento anterior à entrada",IF(AND(F1886&lt;&gt;"",E1886=""),"Conversa sem agendamento",IF(OR(E1886&gt;TODAY(),F1886&gt;TODAY()),"Verificar evento futuro","OK"))))))</f>
        <v/>
      </c>
    </row>
    <row r="1887" spans="9:12">
      <c r="I1887" s="5">
        <f>IF(OR(A1887="",B1887=""),"",B1887-WEEKDAY(B1887,2)+1)</f>
        <v/>
      </c>
      <c r="J1887" s="5">
        <f>IF(I1887="","",I1887+6)</f>
        <v/>
      </c>
      <c r="K1887" s="6">
        <f>IF(OR(A1887="",B1887=""),"",DATE(YEAR(B1887),MONTH(B1887),1))</f>
        <v/>
      </c>
      <c r="L1887" s="7">
        <f>IF(COUNTA(A1887,B1887)=0,"",IF(OR(A1887="",B1887=""),"Preencher CPF e entrada",IF(COUNTIFS($A$12:$A$5011,A1887,$B$12:$B$5011,B1887)&gt;1,"CPF + dia duplicado",IF(OR(AND(E1887&lt;&gt;"",E1887&lt;B1887),AND(F1887&lt;&gt;"",F1887&lt;B1887)),"Evento anterior à entrada",IF(AND(F1887&lt;&gt;"",E1887=""),"Conversa sem agendamento",IF(OR(E1887&gt;TODAY(),F1887&gt;TODAY()),"Verificar evento futuro","OK"))))))</f>
        <v/>
      </c>
    </row>
    <row r="1888" spans="9:12">
      <c r="I1888" s="5">
        <f>IF(OR(A1888="",B1888=""),"",B1888-WEEKDAY(B1888,2)+1)</f>
        <v/>
      </c>
      <c r="J1888" s="5">
        <f>IF(I1888="","",I1888+6)</f>
        <v/>
      </c>
      <c r="K1888" s="6">
        <f>IF(OR(A1888="",B1888=""),"",DATE(YEAR(B1888),MONTH(B1888),1))</f>
        <v/>
      </c>
      <c r="L1888" s="7">
        <f>IF(COUNTA(A1888,B1888)=0,"",IF(OR(A1888="",B1888=""),"Preencher CPF e entrada",IF(COUNTIFS($A$12:$A$5011,A1888,$B$12:$B$5011,B1888)&gt;1,"CPF + dia duplicado",IF(OR(AND(E1888&lt;&gt;"",E1888&lt;B1888),AND(F1888&lt;&gt;"",F1888&lt;B1888)),"Evento anterior à entrada",IF(AND(F1888&lt;&gt;"",E1888=""),"Conversa sem agendamento",IF(OR(E1888&gt;TODAY(),F1888&gt;TODAY()),"Verificar evento futuro","OK"))))))</f>
        <v/>
      </c>
    </row>
    <row r="1889" spans="9:12">
      <c r="I1889" s="5">
        <f>IF(OR(A1889="",B1889=""),"",B1889-WEEKDAY(B1889,2)+1)</f>
        <v/>
      </c>
      <c r="J1889" s="5">
        <f>IF(I1889="","",I1889+6)</f>
        <v/>
      </c>
      <c r="K1889" s="6">
        <f>IF(OR(A1889="",B1889=""),"",DATE(YEAR(B1889),MONTH(B1889),1))</f>
        <v/>
      </c>
      <c r="L1889" s="7">
        <f>IF(COUNTA(A1889,B1889)=0,"",IF(OR(A1889="",B1889=""),"Preencher CPF e entrada",IF(COUNTIFS($A$12:$A$5011,A1889,$B$12:$B$5011,B1889)&gt;1,"CPF + dia duplicado",IF(OR(AND(E1889&lt;&gt;"",E1889&lt;B1889),AND(F1889&lt;&gt;"",F1889&lt;B1889)),"Evento anterior à entrada",IF(AND(F1889&lt;&gt;"",E1889=""),"Conversa sem agendamento",IF(OR(E1889&gt;TODAY(),F1889&gt;TODAY()),"Verificar evento futuro","OK"))))))</f>
        <v/>
      </c>
    </row>
    <row r="1890" spans="9:12">
      <c r="I1890" s="5">
        <f>IF(OR(A1890="",B1890=""),"",B1890-WEEKDAY(B1890,2)+1)</f>
        <v/>
      </c>
      <c r="J1890" s="5">
        <f>IF(I1890="","",I1890+6)</f>
        <v/>
      </c>
      <c r="K1890" s="6">
        <f>IF(OR(A1890="",B1890=""),"",DATE(YEAR(B1890),MONTH(B1890),1))</f>
        <v/>
      </c>
      <c r="L1890" s="7">
        <f>IF(COUNTA(A1890,B1890)=0,"",IF(OR(A1890="",B1890=""),"Preencher CPF e entrada",IF(COUNTIFS($A$12:$A$5011,A1890,$B$12:$B$5011,B1890)&gt;1,"CPF + dia duplicado",IF(OR(AND(E1890&lt;&gt;"",E1890&lt;B1890),AND(F1890&lt;&gt;"",F1890&lt;B1890)),"Evento anterior à entrada",IF(AND(F1890&lt;&gt;"",E1890=""),"Conversa sem agendamento",IF(OR(E1890&gt;TODAY(),F1890&gt;TODAY()),"Verificar evento futuro","OK"))))))</f>
        <v/>
      </c>
    </row>
    <row r="1891" spans="9:12">
      <c r="I1891" s="5">
        <f>IF(OR(A1891="",B1891=""),"",B1891-WEEKDAY(B1891,2)+1)</f>
        <v/>
      </c>
      <c r="J1891" s="5">
        <f>IF(I1891="","",I1891+6)</f>
        <v/>
      </c>
      <c r="K1891" s="6">
        <f>IF(OR(A1891="",B1891=""),"",DATE(YEAR(B1891),MONTH(B1891),1))</f>
        <v/>
      </c>
      <c r="L1891" s="7">
        <f>IF(COUNTA(A1891,B1891)=0,"",IF(OR(A1891="",B1891=""),"Preencher CPF e entrada",IF(COUNTIFS($A$12:$A$5011,A1891,$B$12:$B$5011,B1891)&gt;1,"CPF + dia duplicado",IF(OR(AND(E1891&lt;&gt;"",E1891&lt;B1891),AND(F1891&lt;&gt;"",F1891&lt;B1891)),"Evento anterior à entrada",IF(AND(F1891&lt;&gt;"",E1891=""),"Conversa sem agendamento",IF(OR(E1891&gt;TODAY(),F1891&gt;TODAY()),"Verificar evento futuro","OK"))))))</f>
        <v/>
      </c>
    </row>
    <row r="1892" spans="9:12">
      <c r="I1892" s="5">
        <f>IF(OR(A1892="",B1892=""),"",B1892-WEEKDAY(B1892,2)+1)</f>
        <v/>
      </c>
      <c r="J1892" s="5">
        <f>IF(I1892="","",I1892+6)</f>
        <v/>
      </c>
      <c r="K1892" s="6">
        <f>IF(OR(A1892="",B1892=""),"",DATE(YEAR(B1892),MONTH(B1892),1))</f>
        <v/>
      </c>
      <c r="L1892" s="7">
        <f>IF(COUNTA(A1892,B1892)=0,"",IF(OR(A1892="",B1892=""),"Preencher CPF e entrada",IF(COUNTIFS($A$12:$A$5011,A1892,$B$12:$B$5011,B1892)&gt;1,"CPF + dia duplicado",IF(OR(AND(E1892&lt;&gt;"",E1892&lt;B1892),AND(F1892&lt;&gt;"",F1892&lt;B1892)),"Evento anterior à entrada",IF(AND(F1892&lt;&gt;"",E1892=""),"Conversa sem agendamento",IF(OR(E1892&gt;TODAY(),F1892&gt;TODAY()),"Verificar evento futuro","OK"))))))</f>
        <v/>
      </c>
    </row>
    <row r="1893" spans="9:12">
      <c r="I1893" s="5">
        <f>IF(OR(A1893="",B1893=""),"",B1893-WEEKDAY(B1893,2)+1)</f>
        <v/>
      </c>
      <c r="J1893" s="5">
        <f>IF(I1893="","",I1893+6)</f>
        <v/>
      </c>
      <c r="K1893" s="6">
        <f>IF(OR(A1893="",B1893=""),"",DATE(YEAR(B1893),MONTH(B1893),1))</f>
        <v/>
      </c>
      <c r="L1893" s="7">
        <f>IF(COUNTA(A1893,B1893)=0,"",IF(OR(A1893="",B1893=""),"Preencher CPF e entrada",IF(COUNTIFS($A$12:$A$5011,A1893,$B$12:$B$5011,B1893)&gt;1,"CPF + dia duplicado",IF(OR(AND(E1893&lt;&gt;"",E1893&lt;B1893),AND(F1893&lt;&gt;"",F1893&lt;B1893)),"Evento anterior à entrada",IF(AND(F1893&lt;&gt;"",E1893=""),"Conversa sem agendamento",IF(OR(E1893&gt;TODAY(),F1893&gt;TODAY()),"Verificar evento futuro","OK"))))))</f>
        <v/>
      </c>
    </row>
    <row r="1894" spans="9:12">
      <c r="I1894" s="5">
        <f>IF(OR(A1894="",B1894=""),"",B1894-WEEKDAY(B1894,2)+1)</f>
        <v/>
      </c>
      <c r="J1894" s="5">
        <f>IF(I1894="","",I1894+6)</f>
        <v/>
      </c>
      <c r="K1894" s="6">
        <f>IF(OR(A1894="",B1894=""),"",DATE(YEAR(B1894),MONTH(B1894),1))</f>
        <v/>
      </c>
      <c r="L1894" s="7">
        <f>IF(COUNTA(A1894,B1894)=0,"",IF(OR(A1894="",B1894=""),"Preencher CPF e entrada",IF(COUNTIFS($A$12:$A$5011,A1894,$B$12:$B$5011,B1894)&gt;1,"CPF + dia duplicado",IF(OR(AND(E1894&lt;&gt;"",E1894&lt;B1894),AND(F1894&lt;&gt;"",F1894&lt;B1894)),"Evento anterior à entrada",IF(AND(F1894&lt;&gt;"",E1894=""),"Conversa sem agendamento",IF(OR(E1894&gt;TODAY(),F1894&gt;TODAY()),"Verificar evento futuro","OK"))))))</f>
        <v/>
      </c>
    </row>
    <row r="1895" spans="9:12">
      <c r="I1895" s="5">
        <f>IF(OR(A1895="",B1895=""),"",B1895-WEEKDAY(B1895,2)+1)</f>
        <v/>
      </c>
      <c r="J1895" s="5">
        <f>IF(I1895="","",I1895+6)</f>
        <v/>
      </c>
      <c r="K1895" s="6">
        <f>IF(OR(A1895="",B1895=""),"",DATE(YEAR(B1895),MONTH(B1895),1))</f>
        <v/>
      </c>
      <c r="L1895" s="7">
        <f>IF(COUNTA(A1895,B1895)=0,"",IF(OR(A1895="",B1895=""),"Preencher CPF e entrada",IF(COUNTIFS($A$12:$A$5011,A1895,$B$12:$B$5011,B1895)&gt;1,"CPF + dia duplicado",IF(OR(AND(E1895&lt;&gt;"",E1895&lt;B1895),AND(F1895&lt;&gt;"",F1895&lt;B1895)),"Evento anterior à entrada",IF(AND(F1895&lt;&gt;"",E1895=""),"Conversa sem agendamento",IF(OR(E1895&gt;TODAY(),F1895&gt;TODAY()),"Verificar evento futuro","OK"))))))</f>
        <v/>
      </c>
    </row>
    <row r="1896" spans="9:12">
      <c r="I1896" s="5">
        <f>IF(OR(A1896="",B1896=""),"",B1896-WEEKDAY(B1896,2)+1)</f>
        <v/>
      </c>
      <c r="J1896" s="5">
        <f>IF(I1896="","",I1896+6)</f>
        <v/>
      </c>
      <c r="K1896" s="6">
        <f>IF(OR(A1896="",B1896=""),"",DATE(YEAR(B1896),MONTH(B1896),1))</f>
        <v/>
      </c>
      <c r="L1896" s="7">
        <f>IF(COUNTA(A1896,B1896)=0,"",IF(OR(A1896="",B1896=""),"Preencher CPF e entrada",IF(COUNTIFS($A$12:$A$5011,A1896,$B$12:$B$5011,B1896)&gt;1,"CPF + dia duplicado",IF(OR(AND(E1896&lt;&gt;"",E1896&lt;B1896),AND(F1896&lt;&gt;"",F1896&lt;B1896)),"Evento anterior à entrada",IF(AND(F1896&lt;&gt;"",E1896=""),"Conversa sem agendamento",IF(OR(E1896&gt;TODAY(),F1896&gt;TODAY()),"Verificar evento futuro","OK"))))))</f>
        <v/>
      </c>
    </row>
    <row r="1897" spans="9:12">
      <c r="I1897" s="5">
        <f>IF(OR(A1897="",B1897=""),"",B1897-WEEKDAY(B1897,2)+1)</f>
        <v/>
      </c>
      <c r="J1897" s="5">
        <f>IF(I1897="","",I1897+6)</f>
        <v/>
      </c>
      <c r="K1897" s="6">
        <f>IF(OR(A1897="",B1897=""),"",DATE(YEAR(B1897),MONTH(B1897),1))</f>
        <v/>
      </c>
      <c r="L1897" s="7">
        <f>IF(COUNTA(A1897,B1897)=0,"",IF(OR(A1897="",B1897=""),"Preencher CPF e entrada",IF(COUNTIFS($A$12:$A$5011,A1897,$B$12:$B$5011,B1897)&gt;1,"CPF + dia duplicado",IF(OR(AND(E1897&lt;&gt;"",E1897&lt;B1897),AND(F1897&lt;&gt;"",F1897&lt;B1897)),"Evento anterior à entrada",IF(AND(F1897&lt;&gt;"",E1897=""),"Conversa sem agendamento",IF(OR(E1897&gt;TODAY(),F1897&gt;TODAY()),"Verificar evento futuro","OK"))))))</f>
        <v/>
      </c>
    </row>
    <row r="1898" spans="9:12">
      <c r="I1898" s="5">
        <f>IF(OR(A1898="",B1898=""),"",B1898-WEEKDAY(B1898,2)+1)</f>
        <v/>
      </c>
      <c r="J1898" s="5">
        <f>IF(I1898="","",I1898+6)</f>
        <v/>
      </c>
      <c r="K1898" s="6">
        <f>IF(OR(A1898="",B1898=""),"",DATE(YEAR(B1898),MONTH(B1898),1))</f>
        <v/>
      </c>
      <c r="L1898" s="7">
        <f>IF(COUNTA(A1898,B1898)=0,"",IF(OR(A1898="",B1898=""),"Preencher CPF e entrada",IF(COUNTIFS($A$12:$A$5011,A1898,$B$12:$B$5011,B1898)&gt;1,"CPF + dia duplicado",IF(OR(AND(E1898&lt;&gt;"",E1898&lt;B1898),AND(F1898&lt;&gt;"",F1898&lt;B1898)),"Evento anterior à entrada",IF(AND(F1898&lt;&gt;"",E1898=""),"Conversa sem agendamento",IF(OR(E1898&gt;TODAY(),F1898&gt;TODAY()),"Verificar evento futuro","OK"))))))</f>
        <v/>
      </c>
    </row>
    <row r="1899" spans="9:12">
      <c r="I1899" s="5">
        <f>IF(OR(A1899="",B1899=""),"",B1899-WEEKDAY(B1899,2)+1)</f>
        <v/>
      </c>
      <c r="J1899" s="5">
        <f>IF(I1899="","",I1899+6)</f>
        <v/>
      </c>
      <c r="K1899" s="6">
        <f>IF(OR(A1899="",B1899=""),"",DATE(YEAR(B1899),MONTH(B1899),1))</f>
        <v/>
      </c>
      <c r="L1899" s="7">
        <f>IF(COUNTA(A1899,B1899)=0,"",IF(OR(A1899="",B1899=""),"Preencher CPF e entrada",IF(COUNTIFS($A$12:$A$5011,A1899,$B$12:$B$5011,B1899)&gt;1,"CPF + dia duplicado",IF(OR(AND(E1899&lt;&gt;"",E1899&lt;B1899),AND(F1899&lt;&gt;"",F1899&lt;B1899)),"Evento anterior à entrada",IF(AND(F1899&lt;&gt;"",E1899=""),"Conversa sem agendamento",IF(OR(E1899&gt;TODAY(),F1899&gt;TODAY()),"Verificar evento futuro","OK"))))))</f>
        <v/>
      </c>
    </row>
    <row r="1900" spans="9:12">
      <c r="I1900" s="5">
        <f>IF(OR(A1900="",B1900=""),"",B1900-WEEKDAY(B1900,2)+1)</f>
        <v/>
      </c>
      <c r="J1900" s="5">
        <f>IF(I1900="","",I1900+6)</f>
        <v/>
      </c>
      <c r="K1900" s="6">
        <f>IF(OR(A1900="",B1900=""),"",DATE(YEAR(B1900),MONTH(B1900),1))</f>
        <v/>
      </c>
      <c r="L1900" s="7">
        <f>IF(COUNTA(A1900,B1900)=0,"",IF(OR(A1900="",B1900=""),"Preencher CPF e entrada",IF(COUNTIFS($A$12:$A$5011,A1900,$B$12:$B$5011,B1900)&gt;1,"CPF + dia duplicado",IF(OR(AND(E1900&lt;&gt;"",E1900&lt;B1900),AND(F1900&lt;&gt;"",F1900&lt;B1900)),"Evento anterior à entrada",IF(AND(F1900&lt;&gt;"",E1900=""),"Conversa sem agendamento",IF(OR(E1900&gt;TODAY(),F1900&gt;TODAY()),"Verificar evento futuro","OK"))))))</f>
        <v/>
      </c>
    </row>
    <row r="1901" spans="9:12">
      <c r="I1901" s="5">
        <f>IF(OR(A1901="",B1901=""),"",B1901-WEEKDAY(B1901,2)+1)</f>
        <v/>
      </c>
      <c r="J1901" s="5">
        <f>IF(I1901="","",I1901+6)</f>
        <v/>
      </c>
      <c r="K1901" s="6">
        <f>IF(OR(A1901="",B1901=""),"",DATE(YEAR(B1901),MONTH(B1901),1))</f>
        <v/>
      </c>
      <c r="L1901" s="7">
        <f>IF(COUNTA(A1901,B1901)=0,"",IF(OR(A1901="",B1901=""),"Preencher CPF e entrada",IF(COUNTIFS($A$12:$A$5011,A1901,$B$12:$B$5011,B1901)&gt;1,"CPF + dia duplicado",IF(OR(AND(E1901&lt;&gt;"",E1901&lt;B1901),AND(F1901&lt;&gt;"",F1901&lt;B1901)),"Evento anterior à entrada",IF(AND(F1901&lt;&gt;"",E1901=""),"Conversa sem agendamento",IF(OR(E1901&gt;TODAY(),F1901&gt;TODAY()),"Verificar evento futuro","OK"))))))</f>
        <v/>
      </c>
    </row>
    <row r="1902" spans="9:12">
      <c r="I1902" s="5">
        <f>IF(OR(A1902="",B1902=""),"",B1902-WEEKDAY(B1902,2)+1)</f>
        <v/>
      </c>
      <c r="J1902" s="5">
        <f>IF(I1902="","",I1902+6)</f>
        <v/>
      </c>
      <c r="K1902" s="6">
        <f>IF(OR(A1902="",B1902=""),"",DATE(YEAR(B1902),MONTH(B1902),1))</f>
        <v/>
      </c>
      <c r="L1902" s="7">
        <f>IF(COUNTA(A1902,B1902)=0,"",IF(OR(A1902="",B1902=""),"Preencher CPF e entrada",IF(COUNTIFS($A$12:$A$5011,A1902,$B$12:$B$5011,B1902)&gt;1,"CPF + dia duplicado",IF(OR(AND(E1902&lt;&gt;"",E1902&lt;B1902),AND(F1902&lt;&gt;"",F1902&lt;B1902)),"Evento anterior à entrada",IF(AND(F1902&lt;&gt;"",E1902=""),"Conversa sem agendamento",IF(OR(E1902&gt;TODAY(),F1902&gt;TODAY()),"Verificar evento futuro","OK"))))))</f>
        <v/>
      </c>
    </row>
    <row r="1903" spans="9:12">
      <c r="I1903" s="5">
        <f>IF(OR(A1903="",B1903=""),"",B1903-WEEKDAY(B1903,2)+1)</f>
        <v/>
      </c>
      <c r="J1903" s="5">
        <f>IF(I1903="","",I1903+6)</f>
        <v/>
      </c>
      <c r="K1903" s="6">
        <f>IF(OR(A1903="",B1903=""),"",DATE(YEAR(B1903),MONTH(B1903),1))</f>
        <v/>
      </c>
      <c r="L1903" s="7">
        <f>IF(COUNTA(A1903,B1903)=0,"",IF(OR(A1903="",B1903=""),"Preencher CPF e entrada",IF(COUNTIFS($A$12:$A$5011,A1903,$B$12:$B$5011,B1903)&gt;1,"CPF + dia duplicado",IF(OR(AND(E1903&lt;&gt;"",E1903&lt;B1903),AND(F1903&lt;&gt;"",F1903&lt;B1903)),"Evento anterior à entrada",IF(AND(F1903&lt;&gt;"",E1903=""),"Conversa sem agendamento",IF(OR(E1903&gt;TODAY(),F1903&gt;TODAY()),"Verificar evento futuro","OK"))))))</f>
        <v/>
      </c>
    </row>
    <row r="1904" spans="9:12">
      <c r="I1904" s="5">
        <f>IF(OR(A1904="",B1904=""),"",B1904-WEEKDAY(B1904,2)+1)</f>
        <v/>
      </c>
      <c r="J1904" s="5">
        <f>IF(I1904="","",I1904+6)</f>
        <v/>
      </c>
      <c r="K1904" s="6">
        <f>IF(OR(A1904="",B1904=""),"",DATE(YEAR(B1904),MONTH(B1904),1))</f>
        <v/>
      </c>
      <c r="L1904" s="7">
        <f>IF(COUNTA(A1904,B1904)=0,"",IF(OR(A1904="",B1904=""),"Preencher CPF e entrada",IF(COUNTIFS($A$12:$A$5011,A1904,$B$12:$B$5011,B1904)&gt;1,"CPF + dia duplicado",IF(OR(AND(E1904&lt;&gt;"",E1904&lt;B1904),AND(F1904&lt;&gt;"",F1904&lt;B1904)),"Evento anterior à entrada",IF(AND(F1904&lt;&gt;"",E1904=""),"Conversa sem agendamento",IF(OR(E1904&gt;TODAY(),F1904&gt;TODAY()),"Verificar evento futuro","OK"))))))</f>
        <v/>
      </c>
    </row>
    <row r="1905" spans="9:12">
      <c r="I1905" s="5">
        <f>IF(OR(A1905="",B1905=""),"",B1905-WEEKDAY(B1905,2)+1)</f>
        <v/>
      </c>
      <c r="J1905" s="5">
        <f>IF(I1905="","",I1905+6)</f>
        <v/>
      </c>
      <c r="K1905" s="6">
        <f>IF(OR(A1905="",B1905=""),"",DATE(YEAR(B1905),MONTH(B1905),1))</f>
        <v/>
      </c>
      <c r="L1905" s="7">
        <f>IF(COUNTA(A1905,B1905)=0,"",IF(OR(A1905="",B1905=""),"Preencher CPF e entrada",IF(COUNTIFS($A$12:$A$5011,A1905,$B$12:$B$5011,B1905)&gt;1,"CPF + dia duplicado",IF(OR(AND(E1905&lt;&gt;"",E1905&lt;B1905),AND(F1905&lt;&gt;"",F1905&lt;B1905)),"Evento anterior à entrada",IF(AND(F1905&lt;&gt;"",E1905=""),"Conversa sem agendamento",IF(OR(E1905&gt;TODAY(),F1905&gt;TODAY()),"Verificar evento futuro","OK"))))))</f>
        <v/>
      </c>
    </row>
    <row r="1906" spans="9:12">
      <c r="I1906" s="5">
        <f>IF(OR(A1906="",B1906=""),"",B1906-WEEKDAY(B1906,2)+1)</f>
        <v/>
      </c>
      <c r="J1906" s="5">
        <f>IF(I1906="","",I1906+6)</f>
        <v/>
      </c>
      <c r="K1906" s="6">
        <f>IF(OR(A1906="",B1906=""),"",DATE(YEAR(B1906),MONTH(B1906),1))</f>
        <v/>
      </c>
      <c r="L1906" s="7">
        <f>IF(COUNTA(A1906,B1906)=0,"",IF(OR(A1906="",B1906=""),"Preencher CPF e entrada",IF(COUNTIFS($A$12:$A$5011,A1906,$B$12:$B$5011,B1906)&gt;1,"CPF + dia duplicado",IF(OR(AND(E1906&lt;&gt;"",E1906&lt;B1906),AND(F1906&lt;&gt;"",F1906&lt;B1906)),"Evento anterior à entrada",IF(AND(F1906&lt;&gt;"",E1906=""),"Conversa sem agendamento",IF(OR(E1906&gt;TODAY(),F1906&gt;TODAY()),"Verificar evento futuro","OK"))))))</f>
        <v/>
      </c>
    </row>
    <row r="1907" spans="9:12">
      <c r="I1907" s="5">
        <f>IF(OR(A1907="",B1907=""),"",B1907-WEEKDAY(B1907,2)+1)</f>
        <v/>
      </c>
      <c r="J1907" s="5">
        <f>IF(I1907="","",I1907+6)</f>
        <v/>
      </c>
      <c r="K1907" s="6">
        <f>IF(OR(A1907="",B1907=""),"",DATE(YEAR(B1907),MONTH(B1907),1))</f>
        <v/>
      </c>
      <c r="L1907" s="7">
        <f>IF(COUNTA(A1907,B1907)=0,"",IF(OR(A1907="",B1907=""),"Preencher CPF e entrada",IF(COUNTIFS($A$12:$A$5011,A1907,$B$12:$B$5011,B1907)&gt;1,"CPF + dia duplicado",IF(OR(AND(E1907&lt;&gt;"",E1907&lt;B1907),AND(F1907&lt;&gt;"",F1907&lt;B1907)),"Evento anterior à entrada",IF(AND(F1907&lt;&gt;"",E1907=""),"Conversa sem agendamento",IF(OR(E1907&gt;TODAY(),F1907&gt;TODAY()),"Verificar evento futuro","OK"))))))</f>
        <v/>
      </c>
    </row>
    <row r="1908" spans="9:12">
      <c r="I1908" s="5">
        <f>IF(OR(A1908="",B1908=""),"",B1908-WEEKDAY(B1908,2)+1)</f>
        <v/>
      </c>
      <c r="J1908" s="5">
        <f>IF(I1908="","",I1908+6)</f>
        <v/>
      </c>
      <c r="K1908" s="6">
        <f>IF(OR(A1908="",B1908=""),"",DATE(YEAR(B1908),MONTH(B1908),1))</f>
        <v/>
      </c>
      <c r="L1908" s="7">
        <f>IF(COUNTA(A1908,B1908)=0,"",IF(OR(A1908="",B1908=""),"Preencher CPF e entrada",IF(COUNTIFS($A$12:$A$5011,A1908,$B$12:$B$5011,B1908)&gt;1,"CPF + dia duplicado",IF(OR(AND(E1908&lt;&gt;"",E1908&lt;B1908),AND(F1908&lt;&gt;"",F1908&lt;B1908)),"Evento anterior à entrada",IF(AND(F1908&lt;&gt;"",E1908=""),"Conversa sem agendamento",IF(OR(E1908&gt;TODAY(),F1908&gt;TODAY()),"Verificar evento futuro","OK"))))))</f>
        <v/>
      </c>
    </row>
    <row r="1909" spans="9:12">
      <c r="I1909" s="5">
        <f>IF(OR(A1909="",B1909=""),"",B1909-WEEKDAY(B1909,2)+1)</f>
        <v/>
      </c>
      <c r="J1909" s="5">
        <f>IF(I1909="","",I1909+6)</f>
        <v/>
      </c>
      <c r="K1909" s="6">
        <f>IF(OR(A1909="",B1909=""),"",DATE(YEAR(B1909),MONTH(B1909),1))</f>
        <v/>
      </c>
      <c r="L1909" s="7">
        <f>IF(COUNTA(A1909,B1909)=0,"",IF(OR(A1909="",B1909=""),"Preencher CPF e entrada",IF(COUNTIFS($A$12:$A$5011,A1909,$B$12:$B$5011,B1909)&gt;1,"CPF + dia duplicado",IF(OR(AND(E1909&lt;&gt;"",E1909&lt;B1909),AND(F1909&lt;&gt;"",F1909&lt;B1909)),"Evento anterior à entrada",IF(AND(F1909&lt;&gt;"",E1909=""),"Conversa sem agendamento",IF(OR(E1909&gt;TODAY(),F1909&gt;TODAY()),"Verificar evento futuro","OK"))))))</f>
        <v/>
      </c>
    </row>
    <row r="1910" spans="9:12">
      <c r="I1910" s="5">
        <f>IF(OR(A1910="",B1910=""),"",B1910-WEEKDAY(B1910,2)+1)</f>
        <v/>
      </c>
      <c r="J1910" s="5">
        <f>IF(I1910="","",I1910+6)</f>
        <v/>
      </c>
      <c r="K1910" s="6">
        <f>IF(OR(A1910="",B1910=""),"",DATE(YEAR(B1910),MONTH(B1910),1))</f>
        <v/>
      </c>
      <c r="L1910" s="7">
        <f>IF(COUNTA(A1910,B1910)=0,"",IF(OR(A1910="",B1910=""),"Preencher CPF e entrada",IF(COUNTIFS($A$12:$A$5011,A1910,$B$12:$B$5011,B1910)&gt;1,"CPF + dia duplicado",IF(OR(AND(E1910&lt;&gt;"",E1910&lt;B1910),AND(F1910&lt;&gt;"",F1910&lt;B1910)),"Evento anterior à entrada",IF(AND(F1910&lt;&gt;"",E1910=""),"Conversa sem agendamento",IF(OR(E1910&gt;TODAY(),F1910&gt;TODAY()),"Verificar evento futuro","OK"))))))</f>
        <v/>
      </c>
    </row>
    <row r="1911" spans="9:12">
      <c r="I1911" s="5">
        <f>IF(OR(A1911="",B1911=""),"",B1911-WEEKDAY(B1911,2)+1)</f>
        <v/>
      </c>
      <c r="J1911" s="5">
        <f>IF(I1911="","",I1911+6)</f>
        <v/>
      </c>
      <c r="K1911" s="6">
        <f>IF(OR(A1911="",B1911=""),"",DATE(YEAR(B1911),MONTH(B1911),1))</f>
        <v/>
      </c>
      <c r="L1911" s="7">
        <f>IF(COUNTA(A1911,B1911)=0,"",IF(OR(A1911="",B1911=""),"Preencher CPF e entrada",IF(COUNTIFS($A$12:$A$5011,A1911,$B$12:$B$5011,B1911)&gt;1,"CPF + dia duplicado",IF(OR(AND(E1911&lt;&gt;"",E1911&lt;B1911),AND(F1911&lt;&gt;"",F1911&lt;B1911)),"Evento anterior à entrada",IF(AND(F1911&lt;&gt;"",E1911=""),"Conversa sem agendamento",IF(OR(E1911&gt;TODAY(),F1911&gt;TODAY()),"Verificar evento futuro","OK"))))))</f>
        <v/>
      </c>
    </row>
    <row r="1912" spans="9:12">
      <c r="I1912" s="5">
        <f>IF(OR(A1912="",B1912=""),"",B1912-WEEKDAY(B1912,2)+1)</f>
        <v/>
      </c>
      <c r="J1912" s="5">
        <f>IF(I1912="","",I1912+6)</f>
        <v/>
      </c>
      <c r="K1912" s="6">
        <f>IF(OR(A1912="",B1912=""),"",DATE(YEAR(B1912),MONTH(B1912),1))</f>
        <v/>
      </c>
      <c r="L1912" s="7">
        <f>IF(COUNTA(A1912,B1912)=0,"",IF(OR(A1912="",B1912=""),"Preencher CPF e entrada",IF(COUNTIFS($A$12:$A$5011,A1912,$B$12:$B$5011,B1912)&gt;1,"CPF + dia duplicado",IF(OR(AND(E1912&lt;&gt;"",E1912&lt;B1912),AND(F1912&lt;&gt;"",F1912&lt;B1912)),"Evento anterior à entrada",IF(AND(F1912&lt;&gt;"",E1912=""),"Conversa sem agendamento",IF(OR(E1912&gt;TODAY(),F1912&gt;TODAY()),"Verificar evento futuro","OK"))))))</f>
        <v/>
      </c>
    </row>
    <row r="1913" spans="9:12">
      <c r="I1913" s="5">
        <f>IF(OR(A1913="",B1913=""),"",B1913-WEEKDAY(B1913,2)+1)</f>
        <v/>
      </c>
      <c r="J1913" s="5">
        <f>IF(I1913="","",I1913+6)</f>
        <v/>
      </c>
      <c r="K1913" s="6">
        <f>IF(OR(A1913="",B1913=""),"",DATE(YEAR(B1913),MONTH(B1913),1))</f>
        <v/>
      </c>
      <c r="L1913" s="7">
        <f>IF(COUNTA(A1913,B1913)=0,"",IF(OR(A1913="",B1913=""),"Preencher CPF e entrada",IF(COUNTIFS($A$12:$A$5011,A1913,$B$12:$B$5011,B1913)&gt;1,"CPF + dia duplicado",IF(OR(AND(E1913&lt;&gt;"",E1913&lt;B1913),AND(F1913&lt;&gt;"",F1913&lt;B1913)),"Evento anterior à entrada",IF(AND(F1913&lt;&gt;"",E1913=""),"Conversa sem agendamento",IF(OR(E1913&gt;TODAY(),F1913&gt;TODAY()),"Verificar evento futuro","OK"))))))</f>
        <v/>
      </c>
    </row>
    <row r="1914" spans="9:12">
      <c r="I1914" s="5">
        <f>IF(OR(A1914="",B1914=""),"",B1914-WEEKDAY(B1914,2)+1)</f>
        <v/>
      </c>
      <c r="J1914" s="5">
        <f>IF(I1914="","",I1914+6)</f>
        <v/>
      </c>
      <c r="K1914" s="6">
        <f>IF(OR(A1914="",B1914=""),"",DATE(YEAR(B1914),MONTH(B1914),1))</f>
        <v/>
      </c>
      <c r="L1914" s="7">
        <f>IF(COUNTA(A1914,B1914)=0,"",IF(OR(A1914="",B1914=""),"Preencher CPF e entrada",IF(COUNTIFS($A$12:$A$5011,A1914,$B$12:$B$5011,B1914)&gt;1,"CPF + dia duplicado",IF(OR(AND(E1914&lt;&gt;"",E1914&lt;B1914),AND(F1914&lt;&gt;"",F1914&lt;B1914)),"Evento anterior à entrada",IF(AND(F1914&lt;&gt;"",E1914=""),"Conversa sem agendamento",IF(OR(E1914&gt;TODAY(),F1914&gt;TODAY()),"Verificar evento futuro","OK"))))))</f>
        <v/>
      </c>
    </row>
    <row r="1915" spans="9:12">
      <c r="I1915" s="5">
        <f>IF(OR(A1915="",B1915=""),"",B1915-WEEKDAY(B1915,2)+1)</f>
        <v/>
      </c>
      <c r="J1915" s="5">
        <f>IF(I1915="","",I1915+6)</f>
        <v/>
      </c>
      <c r="K1915" s="6">
        <f>IF(OR(A1915="",B1915=""),"",DATE(YEAR(B1915),MONTH(B1915),1))</f>
        <v/>
      </c>
      <c r="L1915" s="7">
        <f>IF(COUNTA(A1915,B1915)=0,"",IF(OR(A1915="",B1915=""),"Preencher CPF e entrada",IF(COUNTIFS($A$12:$A$5011,A1915,$B$12:$B$5011,B1915)&gt;1,"CPF + dia duplicado",IF(OR(AND(E1915&lt;&gt;"",E1915&lt;B1915),AND(F1915&lt;&gt;"",F1915&lt;B1915)),"Evento anterior à entrada",IF(AND(F1915&lt;&gt;"",E1915=""),"Conversa sem agendamento",IF(OR(E1915&gt;TODAY(),F1915&gt;TODAY()),"Verificar evento futuro","OK"))))))</f>
        <v/>
      </c>
    </row>
    <row r="1916" spans="9:12">
      <c r="I1916" s="5">
        <f>IF(OR(A1916="",B1916=""),"",B1916-WEEKDAY(B1916,2)+1)</f>
        <v/>
      </c>
      <c r="J1916" s="5">
        <f>IF(I1916="","",I1916+6)</f>
        <v/>
      </c>
      <c r="K1916" s="6">
        <f>IF(OR(A1916="",B1916=""),"",DATE(YEAR(B1916),MONTH(B1916),1))</f>
        <v/>
      </c>
      <c r="L1916" s="7">
        <f>IF(COUNTA(A1916,B1916)=0,"",IF(OR(A1916="",B1916=""),"Preencher CPF e entrada",IF(COUNTIFS($A$12:$A$5011,A1916,$B$12:$B$5011,B1916)&gt;1,"CPF + dia duplicado",IF(OR(AND(E1916&lt;&gt;"",E1916&lt;B1916),AND(F1916&lt;&gt;"",F1916&lt;B1916)),"Evento anterior à entrada",IF(AND(F1916&lt;&gt;"",E1916=""),"Conversa sem agendamento",IF(OR(E1916&gt;TODAY(),F1916&gt;TODAY()),"Verificar evento futuro","OK"))))))</f>
        <v/>
      </c>
    </row>
    <row r="1917" spans="9:12">
      <c r="I1917" s="5">
        <f>IF(OR(A1917="",B1917=""),"",B1917-WEEKDAY(B1917,2)+1)</f>
        <v/>
      </c>
      <c r="J1917" s="5">
        <f>IF(I1917="","",I1917+6)</f>
        <v/>
      </c>
      <c r="K1917" s="6">
        <f>IF(OR(A1917="",B1917=""),"",DATE(YEAR(B1917),MONTH(B1917),1))</f>
        <v/>
      </c>
      <c r="L1917" s="7">
        <f>IF(COUNTA(A1917,B1917)=0,"",IF(OR(A1917="",B1917=""),"Preencher CPF e entrada",IF(COUNTIFS($A$12:$A$5011,A1917,$B$12:$B$5011,B1917)&gt;1,"CPF + dia duplicado",IF(OR(AND(E1917&lt;&gt;"",E1917&lt;B1917),AND(F1917&lt;&gt;"",F1917&lt;B1917)),"Evento anterior à entrada",IF(AND(F1917&lt;&gt;"",E1917=""),"Conversa sem agendamento",IF(OR(E1917&gt;TODAY(),F1917&gt;TODAY()),"Verificar evento futuro","OK"))))))</f>
        <v/>
      </c>
    </row>
    <row r="1918" spans="9:12">
      <c r="I1918" s="5">
        <f>IF(OR(A1918="",B1918=""),"",B1918-WEEKDAY(B1918,2)+1)</f>
        <v/>
      </c>
      <c r="J1918" s="5">
        <f>IF(I1918="","",I1918+6)</f>
        <v/>
      </c>
      <c r="K1918" s="6">
        <f>IF(OR(A1918="",B1918=""),"",DATE(YEAR(B1918),MONTH(B1918),1))</f>
        <v/>
      </c>
      <c r="L1918" s="7">
        <f>IF(COUNTA(A1918,B1918)=0,"",IF(OR(A1918="",B1918=""),"Preencher CPF e entrada",IF(COUNTIFS($A$12:$A$5011,A1918,$B$12:$B$5011,B1918)&gt;1,"CPF + dia duplicado",IF(OR(AND(E1918&lt;&gt;"",E1918&lt;B1918),AND(F1918&lt;&gt;"",F1918&lt;B1918)),"Evento anterior à entrada",IF(AND(F1918&lt;&gt;"",E1918=""),"Conversa sem agendamento",IF(OR(E1918&gt;TODAY(),F1918&gt;TODAY()),"Verificar evento futuro","OK"))))))</f>
        <v/>
      </c>
    </row>
    <row r="1919" spans="9:12">
      <c r="I1919" s="5">
        <f>IF(OR(A1919="",B1919=""),"",B1919-WEEKDAY(B1919,2)+1)</f>
        <v/>
      </c>
      <c r="J1919" s="5">
        <f>IF(I1919="","",I1919+6)</f>
        <v/>
      </c>
      <c r="K1919" s="6">
        <f>IF(OR(A1919="",B1919=""),"",DATE(YEAR(B1919),MONTH(B1919),1))</f>
        <v/>
      </c>
      <c r="L1919" s="7">
        <f>IF(COUNTA(A1919,B1919)=0,"",IF(OR(A1919="",B1919=""),"Preencher CPF e entrada",IF(COUNTIFS($A$12:$A$5011,A1919,$B$12:$B$5011,B1919)&gt;1,"CPF + dia duplicado",IF(OR(AND(E1919&lt;&gt;"",E1919&lt;B1919),AND(F1919&lt;&gt;"",F1919&lt;B1919)),"Evento anterior à entrada",IF(AND(F1919&lt;&gt;"",E1919=""),"Conversa sem agendamento",IF(OR(E1919&gt;TODAY(),F1919&gt;TODAY()),"Verificar evento futuro","OK"))))))</f>
        <v/>
      </c>
    </row>
    <row r="1920" spans="9:12">
      <c r="I1920" s="5">
        <f>IF(OR(A1920="",B1920=""),"",B1920-WEEKDAY(B1920,2)+1)</f>
        <v/>
      </c>
      <c r="J1920" s="5">
        <f>IF(I1920="","",I1920+6)</f>
        <v/>
      </c>
      <c r="K1920" s="6">
        <f>IF(OR(A1920="",B1920=""),"",DATE(YEAR(B1920),MONTH(B1920),1))</f>
        <v/>
      </c>
      <c r="L1920" s="7">
        <f>IF(COUNTA(A1920,B1920)=0,"",IF(OR(A1920="",B1920=""),"Preencher CPF e entrada",IF(COUNTIFS($A$12:$A$5011,A1920,$B$12:$B$5011,B1920)&gt;1,"CPF + dia duplicado",IF(OR(AND(E1920&lt;&gt;"",E1920&lt;B1920),AND(F1920&lt;&gt;"",F1920&lt;B1920)),"Evento anterior à entrada",IF(AND(F1920&lt;&gt;"",E1920=""),"Conversa sem agendamento",IF(OR(E1920&gt;TODAY(),F1920&gt;TODAY()),"Verificar evento futuro","OK"))))))</f>
        <v/>
      </c>
    </row>
    <row r="1921" spans="9:12">
      <c r="I1921" s="5">
        <f>IF(OR(A1921="",B1921=""),"",B1921-WEEKDAY(B1921,2)+1)</f>
        <v/>
      </c>
      <c r="J1921" s="5">
        <f>IF(I1921="","",I1921+6)</f>
        <v/>
      </c>
      <c r="K1921" s="6">
        <f>IF(OR(A1921="",B1921=""),"",DATE(YEAR(B1921),MONTH(B1921),1))</f>
        <v/>
      </c>
      <c r="L1921" s="7">
        <f>IF(COUNTA(A1921,B1921)=0,"",IF(OR(A1921="",B1921=""),"Preencher CPF e entrada",IF(COUNTIFS($A$12:$A$5011,A1921,$B$12:$B$5011,B1921)&gt;1,"CPF + dia duplicado",IF(OR(AND(E1921&lt;&gt;"",E1921&lt;B1921),AND(F1921&lt;&gt;"",F1921&lt;B1921)),"Evento anterior à entrada",IF(AND(F1921&lt;&gt;"",E1921=""),"Conversa sem agendamento",IF(OR(E1921&gt;TODAY(),F1921&gt;TODAY()),"Verificar evento futuro","OK"))))))</f>
        <v/>
      </c>
    </row>
    <row r="1922" spans="9:12">
      <c r="I1922" s="5">
        <f>IF(OR(A1922="",B1922=""),"",B1922-WEEKDAY(B1922,2)+1)</f>
        <v/>
      </c>
      <c r="J1922" s="5">
        <f>IF(I1922="","",I1922+6)</f>
        <v/>
      </c>
      <c r="K1922" s="6">
        <f>IF(OR(A1922="",B1922=""),"",DATE(YEAR(B1922),MONTH(B1922),1))</f>
        <v/>
      </c>
      <c r="L1922" s="7">
        <f>IF(COUNTA(A1922,B1922)=0,"",IF(OR(A1922="",B1922=""),"Preencher CPF e entrada",IF(COUNTIFS($A$12:$A$5011,A1922,$B$12:$B$5011,B1922)&gt;1,"CPF + dia duplicado",IF(OR(AND(E1922&lt;&gt;"",E1922&lt;B1922),AND(F1922&lt;&gt;"",F1922&lt;B1922)),"Evento anterior à entrada",IF(AND(F1922&lt;&gt;"",E1922=""),"Conversa sem agendamento",IF(OR(E1922&gt;TODAY(),F1922&gt;TODAY()),"Verificar evento futuro","OK"))))))</f>
        <v/>
      </c>
    </row>
    <row r="1923" spans="9:12">
      <c r="I1923" s="5">
        <f>IF(OR(A1923="",B1923=""),"",B1923-WEEKDAY(B1923,2)+1)</f>
        <v/>
      </c>
      <c r="J1923" s="5">
        <f>IF(I1923="","",I1923+6)</f>
        <v/>
      </c>
      <c r="K1923" s="6">
        <f>IF(OR(A1923="",B1923=""),"",DATE(YEAR(B1923),MONTH(B1923),1))</f>
        <v/>
      </c>
      <c r="L1923" s="7">
        <f>IF(COUNTA(A1923,B1923)=0,"",IF(OR(A1923="",B1923=""),"Preencher CPF e entrada",IF(COUNTIFS($A$12:$A$5011,A1923,$B$12:$B$5011,B1923)&gt;1,"CPF + dia duplicado",IF(OR(AND(E1923&lt;&gt;"",E1923&lt;B1923),AND(F1923&lt;&gt;"",F1923&lt;B1923)),"Evento anterior à entrada",IF(AND(F1923&lt;&gt;"",E1923=""),"Conversa sem agendamento",IF(OR(E1923&gt;TODAY(),F1923&gt;TODAY()),"Verificar evento futuro","OK"))))))</f>
        <v/>
      </c>
    </row>
    <row r="1924" spans="9:12">
      <c r="I1924" s="5">
        <f>IF(OR(A1924="",B1924=""),"",B1924-WEEKDAY(B1924,2)+1)</f>
        <v/>
      </c>
      <c r="J1924" s="5">
        <f>IF(I1924="","",I1924+6)</f>
        <v/>
      </c>
      <c r="K1924" s="6">
        <f>IF(OR(A1924="",B1924=""),"",DATE(YEAR(B1924),MONTH(B1924),1))</f>
        <v/>
      </c>
      <c r="L1924" s="7">
        <f>IF(COUNTA(A1924,B1924)=0,"",IF(OR(A1924="",B1924=""),"Preencher CPF e entrada",IF(COUNTIFS($A$12:$A$5011,A1924,$B$12:$B$5011,B1924)&gt;1,"CPF + dia duplicado",IF(OR(AND(E1924&lt;&gt;"",E1924&lt;B1924),AND(F1924&lt;&gt;"",F1924&lt;B1924)),"Evento anterior à entrada",IF(AND(F1924&lt;&gt;"",E1924=""),"Conversa sem agendamento",IF(OR(E1924&gt;TODAY(),F1924&gt;TODAY()),"Verificar evento futuro","OK"))))))</f>
        <v/>
      </c>
    </row>
    <row r="1925" spans="9:12">
      <c r="I1925" s="5">
        <f>IF(OR(A1925="",B1925=""),"",B1925-WEEKDAY(B1925,2)+1)</f>
        <v/>
      </c>
      <c r="J1925" s="5">
        <f>IF(I1925="","",I1925+6)</f>
        <v/>
      </c>
      <c r="K1925" s="6">
        <f>IF(OR(A1925="",B1925=""),"",DATE(YEAR(B1925),MONTH(B1925),1))</f>
        <v/>
      </c>
      <c r="L1925" s="7">
        <f>IF(COUNTA(A1925,B1925)=0,"",IF(OR(A1925="",B1925=""),"Preencher CPF e entrada",IF(COUNTIFS($A$12:$A$5011,A1925,$B$12:$B$5011,B1925)&gt;1,"CPF + dia duplicado",IF(OR(AND(E1925&lt;&gt;"",E1925&lt;B1925),AND(F1925&lt;&gt;"",F1925&lt;B1925)),"Evento anterior à entrada",IF(AND(F1925&lt;&gt;"",E1925=""),"Conversa sem agendamento",IF(OR(E1925&gt;TODAY(),F1925&gt;TODAY()),"Verificar evento futuro","OK"))))))</f>
        <v/>
      </c>
    </row>
    <row r="1926" spans="9:12">
      <c r="I1926" s="5">
        <f>IF(OR(A1926="",B1926=""),"",B1926-WEEKDAY(B1926,2)+1)</f>
        <v/>
      </c>
      <c r="J1926" s="5">
        <f>IF(I1926="","",I1926+6)</f>
        <v/>
      </c>
      <c r="K1926" s="6">
        <f>IF(OR(A1926="",B1926=""),"",DATE(YEAR(B1926),MONTH(B1926),1))</f>
        <v/>
      </c>
      <c r="L1926" s="7">
        <f>IF(COUNTA(A1926,B1926)=0,"",IF(OR(A1926="",B1926=""),"Preencher CPF e entrada",IF(COUNTIFS($A$12:$A$5011,A1926,$B$12:$B$5011,B1926)&gt;1,"CPF + dia duplicado",IF(OR(AND(E1926&lt;&gt;"",E1926&lt;B1926),AND(F1926&lt;&gt;"",F1926&lt;B1926)),"Evento anterior à entrada",IF(AND(F1926&lt;&gt;"",E1926=""),"Conversa sem agendamento",IF(OR(E1926&gt;TODAY(),F1926&gt;TODAY()),"Verificar evento futuro","OK"))))))</f>
        <v/>
      </c>
    </row>
    <row r="1927" spans="9:12">
      <c r="I1927" s="5">
        <f>IF(OR(A1927="",B1927=""),"",B1927-WEEKDAY(B1927,2)+1)</f>
        <v/>
      </c>
      <c r="J1927" s="5">
        <f>IF(I1927="","",I1927+6)</f>
        <v/>
      </c>
      <c r="K1927" s="6">
        <f>IF(OR(A1927="",B1927=""),"",DATE(YEAR(B1927),MONTH(B1927),1))</f>
        <v/>
      </c>
      <c r="L1927" s="7">
        <f>IF(COUNTA(A1927,B1927)=0,"",IF(OR(A1927="",B1927=""),"Preencher CPF e entrada",IF(COUNTIFS($A$12:$A$5011,A1927,$B$12:$B$5011,B1927)&gt;1,"CPF + dia duplicado",IF(OR(AND(E1927&lt;&gt;"",E1927&lt;B1927),AND(F1927&lt;&gt;"",F1927&lt;B1927)),"Evento anterior à entrada",IF(AND(F1927&lt;&gt;"",E1927=""),"Conversa sem agendamento",IF(OR(E1927&gt;TODAY(),F1927&gt;TODAY()),"Verificar evento futuro","OK"))))))</f>
        <v/>
      </c>
    </row>
    <row r="1928" spans="9:12">
      <c r="I1928" s="5">
        <f>IF(OR(A1928="",B1928=""),"",B1928-WEEKDAY(B1928,2)+1)</f>
        <v/>
      </c>
      <c r="J1928" s="5">
        <f>IF(I1928="","",I1928+6)</f>
        <v/>
      </c>
      <c r="K1928" s="6">
        <f>IF(OR(A1928="",B1928=""),"",DATE(YEAR(B1928),MONTH(B1928),1))</f>
        <v/>
      </c>
      <c r="L1928" s="7">
        <f>IF(COUNTA(A1928,B1928)=0,"",IF(OR(A1928="",B1928=""),"Preencher CPF e entrada",IF(COUNTIFS($A$12:$A$5011,A1928,$B$12:$B$5011,B1928)&gt;1,"CPF + dia duplicado",IF(OR(AND(E1928&lt;&gt;"",E1928&lt;B1928),AND(F1928&lt;&gt;"",F1928&lt;B1928)),"Evento anterior à entrada",IF(AND(F1928&lt;&gt;"",E1928=""),"Conversa sem agendamento",IF(OR(E1928&gt;TODAY(),F1928&gt;TODAY()),"Verificar evento futuro","OK"))))))</f>
        <v/>
      </c>
    </row>
    <row r="1929" spans="9:12">
      <c r="I1929" s="5">
        <f>IF(OR(A1929="",B1929=""),"",B1929-WEEKDAY(B1929,2)+1)</f>
        <v/>
      </c>
      <c r="J1929" s="5">
        <f>IF(I1929="","",I1929+6)</f>
        <v/>
      </c>
      <c r="K1929" s="6">
        <f>IF(OR(A1929="",B1929=""),"",DATE(YEAR(B1929),MONTH(B1929),1))</f>
        <v/>
      </c>
      <c r="L1929" s="7">
        <f>IF(COUNTA(A1929,B1929)=0,"",IF(OR(A1929="",B1929=""),"Preencher CPF e entrada",IF(COUNTIFS($A$12:$A$5011,A1929,$B$12:$B$5011,B1929)&gt;1,"CPF + dia duplicado",IF(OR(AND(E1929&lt;&gt;"",E1929&lt;B1929),AND(F1929&lt;&gt;"",F1929&lt;B1929)),"Evento anterior à entrada",IF(AND(F1929&lt;&gt;"",E1929=""),"Conversa sem agendamento",IF(OR(E1929&gt;TODAY(),F1929&gt;TODAY()),"Verificar evento futuro","OK"))))))</f>
        <v/>
      </c>
    </row>
    <row r="1930" spans="9:12">
      <c r="I1930" s="5">
        <f>IF(OR(A1930="",B1930=""),"",B1930-WEEKDAY(B1930,2)+1)</f>
        <v/>
      </c>
      <c r="J1930" s="5">
        <f>IF(I1930="","",I1930+6)</f>
        <v/>
      </c>
      <c r="K1930" s="6">
        <f>IF(OR(A1930="",B1930=""),"",DATE(YEAR(B1930),MONTH(B1930),1))</f>
        <v/>
      </c>
      <c r="L1930" s="7">
        <f>IF(COUNTA(A1930,B1930)=0,"",IF(OR(A1930="",B1930=""),"Preencher CPF e entrada",IF(COUNTIFS($A$12:$A$5011,A1930,$B$12:$B$5011,B1930)&gt;1,"CPF + dia duplicado",IF(OR(AND(E1930&lt;&gt;"",E1930&lt;B1930),AND(F1930&lt;&gt;"",F1930&lt;B1930)),"Evento anterior à entrada",IF(AND(F1930&lt;&gt;"",E1930=""),"Conversa sem agendamento",IF(OR(E1930&gt;TODAY(),F1930&gt;TODAY()),"Verificar evento futuro","OK"))))))</f>
        <v/>
      </c>
    </row>
    <row r="1931" spans="9:12">
      <c r="I1931" s="5">
        <f>IF(OR(A1931="",B1931=""),"",B1931-WEEKDAY(B1931,2)+1)</f>
        <v/>
      </c>
      <c r="J1931" s="5">
        <f>IF(I1931="","",I1931+6)</f>
        <v/>
      </c>
      <c r="K1931" s="6">
        <f>IF(OR(A1931="",B1931=""),"",DATE(YEAR(B1931),MONTH(B1931),1))</f>
        <v/>
      </c>
      <c r="L1931" s="7">
        <f>IF(COUNTA(A1931,B1931)=0,"",IF(OR(A1931="",B1931=""),"Preencher CPF e entrada",IF(COUNTIFS($A$12:$A$5011,A1931,$B$12:$B$5011,B1931)&gt;1,"CPF + dia duplicado",IF(OR(AND(E1931&lt;&gt;"",E1931&lt;B1931),AND(F1931&lt;&gt;"",F1931&lt;B1931)),"Evento anterior à entrada",IF(AND(F1931&lt;&gt;"",E1931=""),"Conversa sem agendamento",IF(OR(E1931&gt;TODAY(),F1931&gt;TODAY()),"Verificar evento futuro","OK"))))))</f>
        <v/>
      </c>
    </row>
    <row r="1932" spans="9:12">
      <c r="I1932" s="5">
        <f>IF(OR(A1932="",B1932=""),"",B1932-WEEKDAY(B1932,2)+1)</f>
        <v/>
      </c>
      <c r="J1932" s="5">
        <f>IF(I1932="","",I1932+6)</f>
        <v/>
      </c>
      <c r="K1932" s="6">
        <f>IF(OR(A1932="",B1932=""),"",DATE(YEAR(B1932),MONTH(B1932),1))</f>
        <v/>
      </c>
      <c r="L1932" s="7">
        <f>IF(COUNTA(A1932,B1932)=0,"",IF(OR(A1932="",B1932=""),"Preencher CPF e entrada",IF(COUNTIFS($A$12:$A$5011,A1932,$B$12:$B$5011,B1932)&gt;1,"CPF + dia duplicado",IF(OR(AND(E1932&lt;&gt;"",E1932&lt;B1932),AND(F1932&lt;&gt;"",F1932&lt;B1932)),"Evento anterior à entrada",IF(AND(F1932&lt;&gt;"",E1932=""),"Conversa sem agendamento",IF(OR(E1932&gt;TODAY(),F1932&gt;TODAY()),"Verificar evento futuro","OK"))))))</f>
        <v/>
      </c>
    </row>
    <row r="1933" spans="9:12">
      <c r="I1933" s="5">
        <f>IF(OR(A1933="",B1933=""),"",B1933-WEEKDAY(B1933,2)+1)</f>
        <v/>
      </c>
      <c r="J1933" s="5">
        <f>IF(I1933="","",I1933+6)</f>
        <v/>
      </c>
      <c r="K1933" s="6">
        <f>IF(OR(A1933="",B1933=""),"",DATE(YEAR(B1933),MONTH(B1933),1))</f>
        <v/>
      </c>
      <c r="L1933" s="7">
        <f>IF(COUNTA(A1933,B1933)=0,"",IF(OR(A1933="",B1933=""),"Preencher CPF e entrada",IF(COUNTIFS($A$12:$A$5011,A1933,$B$12:$B$5011,B1933)&gt;1,"CPF + dia duplicado",IF(OR(AND(E1933&lt;&gt;"",E1933&lt;B1933),AND(F1933&lt;&gt;"",F1933&lt;B1933)),"Evento anterior à entrada",IF(AND(F1933&lt;&gt;"",E1933=""),"Conversa sem agendamento",IF(OR(E1933&gt;TODAY(),F1933&gt;TODAY()),"Verificar evento futuro","OK"))))))</f>
        <v/>
      </c>
    </row>
    <row r="1934" spans="9:12">
      <c r="I1934" s="5">
        <f>IF(OR(A1934="",B1934=""),"",B1934-WEEKDAY(B1934,2)+1)</f>
        <v/>
      </c>
      <c r="J1934" s="5">
        <f>IF(I1934="","",I1934+6)</f>
        <v/>
      </c>
      <c r="K1934" s="6">
        <f>IF(OR(A1934="",B1934=""),"",DATE(YEAR(B1934),MONTH(B1934),1))</f>
        <v/>
      </c>
      <c r="L1934" s="7">
        <f>IF(COUNTA(A1934,B1934)=0,"",IF(OR(A1934="",B1934=""),"Preencher CPF e entrada",IF(COUNTIFS($A$12:$A$5011,A1934,$B$12:$B$5011,B1934)&gt;1,"CPF + dia duplicado",IF(OR(AND(E1934&lt;&gt;"",E1934&lt;B1934),AND(F1934&lt;&gt;"",F1934&lt;B1934)),"Evento anterior à entrada",IF(AND(F1934&lt;&gt;"",E1934=""),"Conversa sem agendamento",IF(OR(E1934&gt;TODAY(),F1934&gt;TODAY()),"Verificar evento futuro","OK"))))))</f>
        <v/>
      </c>
    </row>
    <row r="1935" spans="9:12">
      <c r="I1935" s="5">
        <f>IF(OR(A1935="",B1935=""),"",B1935-WEEKDAY(B1935,2)+1)</f>
        <v/>
      </c>
      <c r="J1935" s="5">
        <f>IF(I1935="","",I1935+6)</f>
        <v/>
      </c>
      <c r="K1935" s="6">
        <f>IF(OR(A1935="",B1935=""),"",DATE(YEAR(B1935),MONTH(B1935),1))</f>
        <v/>
      </c>
      <c r="L1935" s="7">
        <f>IF(COUNTA(A1935,B1935)=0,"",IF(OR(A1935="",B1935=""),"Preencher CPF e entrada",IF(COUNTIFS($A$12:$A$5011,A1935,$B$12:$B$5011,B1935)&gt;1,"CPF + dia duplicado",IF(OR(AND(E1935&lt;&gt;"",E1935&lt;B1935),AND(F1935&lt;&gt;"",F1935&lt;B1935)),"Evento anterior à entrada",IF(AND(F1935&lt;&gt;"",E1935=""),"Conversa sem agendamento",IF(OR(E1935&gt;TODAY(),F1935&gt;TODAY()),"Verificar evento futuro","OK"))))))</f>
        <v/>
      </c>
    </row>
    <row r="1936" spans="9:12">
      <c r="I1936" s="5">
        <f>IF(OR(A1936="",B1936=""),"",B1936-WEEKDAY(B1936,2)+1)</f>
        <v/>
      </c>
      <c r="J1936" s="5">
        <f>IF(I1936="","",I1936+6)</f>
        <v/>
      </c>
      <c r="K1936" s="6">
        <f>IF(OR(A1936="",B1936=""),"",DATE(YEAR(B1936),MONTH(B1936),1))</f>
        <v/>
      </c>
      <c r="L1936" s="7">
        <f>IF(COUNTA(A1936,B1936)=0,"",IF(OR(A1936="",B1936=""),"Preencher CPF e entrada",IF(COUNTIFS($A$12:$A$5011,A1936,$B$12:$B$5011,B1936)&gt;1,"CPF + dia duplicado",IF(OR(AND(E1936&lt;&gt;"",E1936&lt;B1936),AND(F1936&lt;&gt;"",F1936&lt;B1936)),"Evento anterior à entrada",IF(AND(F1936&lt;&gt;"",E1936=""),"Conversa sem agendamento",IF(OR(E1936&gt;TODAY(),F1936&gt;TODAY()),"Verificar evento futuro","OK"))))))</f>
        <v/>
      </c>
    </row>
    <row r="1937" spans="9:12">
      <c r="I1937" s="5">
        <f>IF(OR(A1937="",B1937=""),"",B1937-WEEKDAY(B1937,2)+1)</f>
        <v/>
      </c>
      <c r="J1937" s="5">
        <f>IF(I1937="","",I1937+6)</f>
        <v/>
      </c>
      <c r="K1937" s="6">
        <f>IF(OR(A1937="",B1937=""),"",DATE(YEAR(B1937),MONTH(B1937),1))</f>
        <v/>
      </c>
      <c r="L1937" s="7">
        <f>IF(COUNTA(A1937,B1937)=0,"",IF(OR(A1937="",B1937=""),"Preencher CPF e entrada",IF(COUNTIFS($A$12:$A$5011,A1937,$B$12:$B$5011,B1937)&gt;1,"CPF + dia duplicado",IF(OR(AND(E1937&lt;&gt;"",E1937&lt;B1937),AND(F1937&lt;&gt;"",F1937&lt;B1937)),"Evento anterior à entrada",IF(AND(F1937&lt;&gt;"",E1937=""),"Conversa sem agendamento",IF(OR(E1937&gt;TODAY(),F1937&gt;TODAY()),"Verificar evento futuro","OK"))))))</f>
        <v/>
      </c>
    </row>
    <row r="1938" spans="9:12">
      <c r="I1938" s="5">
        <f>IF(OR(A1938="",B1938=""),"",B1938-WEEKDAY(B1938,2)+1)</f>
        <v/>
      </c>
      <c r="J1938" s="5">
        <f>IF(I1938="","",I1938+6)</f>
        <v/>
      </c>
      <c r="K1938" s="6">
        <f>IF(OR(A1938="",B1938=""),"",DATE(YEAR(B1938),MONTH(B1938),1))</f>
        <v/>
      </c>
      <c r="L1938" s="7">
        <f>IF(COUNTA(A1938,B1938)=0,"",IF(OR(A1938="",B1938=""),"Preencher CPF e entrada",IF(COUNTIFS($A$12:$A$5011,A1938,$B$12:$B$5011,B1938)&gt;1,"CPF + dia duplicado",IF(OR(AND(E1938&lt;&gt;"",E1938&lt;B1938),AND(F1938&lt;&gt;"",F1938&lt;B1938)),"Evento anterior à entrada",IF(AND(F1938&lt;&gt;"",E1938=""),"Conversa sem agendamento",IF(OR(E1938&gt;TODAY(),F1938&gt;TODAY()),"Verificar evento futuro","OK"))))))</f>
        <v/>
      </c>
    </row>
    <row r="1939" spans="9:12">
      <c r="I1939" s="5">
        <f>IF(OR(A1939="",B1939=""),"",B1939-WEEKDAY(B1939,2)+1)</f>
        <v/>
      </c>
      <c r="J1939" s="5">
        <f>IF(I1939="","",I1939+6)</f>
        <v/>
      </c>
      <c r="K1939" s="6">
        <f>IF(OR(A1939="",B1939=""),"",DATE(YEAR(B1939),MONTH(B1939),1))</f>
        <v/>
      </c>
      <c r="L1939" s="7">
        <f>IF(COUNTA(A1939,B1939)=0,"",IF(OR(A1939="",B1939=""),"Preencher CPF e entrada",IF(COUNTIFS($A$12:$A$5011,A1939,$B$12:$B$5011,B1939)&gt;1,"CPF + dia duplicado",IF(OR(AND(E1939&lt;&gt;"",E1939&lt;B1939),AND(F1939&lt;&gt;"",F1939&lt;B1939)),"Evento anterior à entrada",IF(AND(F1939&lt;&gt;"",E1939=""),"Conversa sem agendamento",IF(OR(E1939&gt;TODAY(),F1939&gt;TODAY()),"Verificar evento futuro","OK"))))))</f>
        <v/>
      </c>
    </row>
    <row r="1940" spans="9:12">
      <c r="I1940" s="5">
        <f>IF(OR(A1940="",B1940=""),"",B1940-WEEKDAY(B1940,2)+1)</f>
        <v/>
      </c>
      <c r="J1940" s="5">
        <f>IF(I1940="","",I1940+6)</f>
        <v/>
      </c>
      <c r="K1940" s="6">
        <f>IF(OR(A1940="",B1940=""),"",DATE(YEAR(B1940),MONTH(B1940),1))</f>
        <v/>
      </c>
      <c r="L1940" s="7">
        <f>IF(COUNTA(A1940,B1940)=0,"",IF(OR(A1940="",B1940=""),"Preencher CPF e entrada",IF(COUNTIFS($A$12:$A$5011,A1940,$B$12:$B$5011,B1940)&gt;1,"CPF + dia duplicado",IF(OR(AND(E1940&lt;&gt;"",E1940&lt;B1940),AND(F1940&lt;&gt;"",F1940&lt;B1940)),"Evento anterior à entrada",IF(AND(F1940&lt;&gt;"",E1940=""),"Conversa sem agendamento",IF(OR(E1940&gt;TODAY(),F1940&gt;TODAY()),"Verificar evento futuro","OK"))))))</f>
        <v/>
      </c>
    </row>
    <row r="1941" spans="9:12">
      <c r="I1941" s="5">
        <f>IF(OR(A1941="",B1941=""),"",B1941-WEEKDAY(B1941,2)+1)</f>
        <v/>
      </c>
      <c r="J1941" s="5">
        <f>IF(I1941="","",I1941+6)</f>
        <v/>
      </c>
      <c r="K1941" s="6">
        <f>IF(OR(A1941="",B1941=""),"",DATE(YEAR(B1941),MONTH(B1941),1))</f>
        <v/>
      </c>
      <c r="L1941" s="7">
        <f>IF(COUNTA(A1941,B1941)=0,"",IF(OR(A1941="",B1941=""),"Preencher CPF e entrada",IF(COUNTIFS($A$12:$A$5011,A1941,$B$12:$B$5011,B1941)&gt;1,"CPF + dia duplicado",IF(OR(AND(E1941&lt;&gt;"",E1941&lt;B1941),AND(F1941&lt;&gt;"",F1941&lt;B1941)),"Evento anterior à entrada",IF(AND(F1941&lt;&gt;"",E1941=""),"Conversa sem agendamento",IF(OR(E1941&gt;TODAY(),F1941&gt;TODAY()),"Verificar evento futuro","OK"))))))</f>
        <v/>
      </c>
    </row>
    <row r="1942" spans="9:12">
      <c r="I1942" s="5">
        <f>IF(OR(A1942="",B1942=""),"",B1942-WEEKDAY(B1942,2)+1)</f>
        <v/>
      </c>
      <c r="J1942" s="5">
        <f>IF(I1942="","",I1942+6)</f>
        <v/>
      </c>
      <c r="K1942" s="6">
        <f>IF(OR(A1942="",B1942=""),"",DATE(YEAR(B1942),MONTH(B1942),1))</f>
        <v/>
      </c>
      <c r="L1942" s="7">
        <f>IF(COUNTA(A1942,B1942)=0,"",IF(OR(A1942="",B1942=""),"Preencher CPF e entrada",IF(COUNTIFS($A$12:$A$5011,A1942,$B$12:$B$5011,B1942)&gt;1,"CPF + dia duplicado",IF(OR(AND(E1942&lt;&gt;"",E1942&lt;B1942),AND(F1942&lt;&gt;"",F1942&lt;B1942)),"Evento anterior à entrada",IF(AND(F1942&lt;&gt;"",E1942=""),"Conversa sem agendamento",IF(OR(E1942&gt;TODAY(),F1942&gt;TODAY()),"Verificar evento futuro","OK"))))))</f>
        <v/>
      </c>
    </row>
    <row r="1943" spans="9:12">
      <c r="I1943" s="5">
        <f>IF(OR(A1943="",B1943=""),"",B1943-WEEKDAY(B1943,2)+1)</f>
        <v/>
      </c>
      <c r="J1943" s="5">
        <f>IF(I1943="","",I1943+6)</f>
        <v/>
      </c>
      <c r="K1943" s="6">
        <f>IF(OR(A1943="",B1943=""),"",DATE(YEAR(B1943),MONTH(B1943),1))</f>
        <v/>
      </c>
      <c r="L1943" s="7">
        <f>IF(COUNTA(A1943,B1943)=0,"",IF(OR(A1943="",B1943=""),"Preencher CPF e entrada",IF(COUNTIFS($A$12:$A$5011,A1943,$B$12:$B$5011,B1943)&gt;1,"CPF + dia duplicado",IF(OR(AND(E1943&lt;&gt;"",E1943&lt;B1943),AND(F1943&lt;&gt;"",F1943&lt;B1943)),"Evento anterior à entrada",IF(AND(F1943&lt;&gt;"",E1943=""),"Conversa sem agendamento",IF(OR(E1943&gt;TODAY(),F1943&gt;TODAY()),"Verificar evento futuro","OK"))))))</f>
        <v/>
      </c>
    </row>
    <row r="1944" spans="9:12">
      <c r="I1944" s="5">
        <f>IF(OR(A1944="",B1944=""),"",B1944-WEEKDAY(B1944,2)+1)</f>
        <v/>
      </c>
      <c r="J1944" s="5">
        <f>IF(I1944="","",I1944+6)</f>
        <v/>
      </c>
      <c r="K1944" s="6">
        <f>IF(OR(A1944="",B1944=""),"",DATE(YEAR(B1944),MONTH(B1944),1))</f>
        <v/>
      </c>
      <c r="L1944" s="7">
        <f>IF(COUNTA(A1944,B1944)=0,"",IF(OR(A1944="",B1944=""),"Preencher CPF e entrada",IF(COUNTIFS($A$12:$A$5011,A1944,$B$12:$B$5011,B1944)&gt;1,"CPF + dia duplicado",IF(OR(AND(E1944&lt;&gt;"",E1944&lt;B1944),AND(F1944&lt;&gt;"",F1944&lt;B1944)),"Evento anterior à entrada",IF(AND(F1944&lt;&gt;"",E1944=""),"Conversa sem agendamento",IF(OR(E1944&gt;TODAY(),F1944&gt;TODAY()),"Verificar evento futuro","OK"))))))</f>
        <v/>
      </c>
    </row>
    <row r="1945" spans="9:12">
      <c r="I1945" s="5">
        <f>IF(OR(A1945="",B1945=""),"",B1945-WEEKDAY(B1945,2)+1)</f>
        <v/>
      </c>
      <c r="J1945" s="5">
        <f>IF(I1945="","",I1945+6)</f>
        <v/>
      </c>
      <c r="K1945" s="6">
        <f>IF(OR(A1945="",B1945=""),"",DATE(YEAR(B1945),MONTH(B1945),1))</f>
        <v/>
      </c>
      <c r="L1945" s="7">
        <f>IF(COUNTA(A1945,B1945)=0,"",IF(OR(A1945="",B1945=""),"Preencher CPF e entrada",IF(COUNTIFS($A$12:$A$5011,A1945,$B$12:$B$5011,B1945)&gt;1,"CPF + dia duplicado",IF(OR(AND(E1945&lt;&gt;"",E1945&lt;B1945),AND(F1945&lt;&gt;"",F1945&lt;B1945)),"Evento anterior à entrada",IF(AND(F1945&lt;&gt;"",E1945=""),"Conversa sem agendamento",IF(OR(E1945&gt;TODAY(),F1945&gt;TODAY()),"Verificar evento futuro","OK"))))))</f>
        <v/>
      </c>
    </row>
    <row r="1946" spans="9:12">
      <c r="I1946" s="5">
        <f>IF(OR(A1946="",B1946=""),"",B1946-WEEKDAY(B1946,2)+1)</f>
        <v/>
      </c>
      <c r="J1946" s="5">
        <f>IF(I1946="","",I1946+6)</f>
        <v/>
      </c>
      <c r="K1946" s="6">
        <f>IF(OR(A1946="",B1946=""),"",DATE(YEAR(B1946),MONTH(B1946),1))</f>
        <v/>
      </c>
      <c r="L1946" s="7">
        <f>IF(COUNTA(A1946,B1946)=0,"",IF(OR(A1946="",B1946=""),"Preencher CPF e entrada",IF(COUNTIFS($A$12:$A$5011,A1946,$B$12:$B$5011,B1946)&gt;1,"CPF + dia duplicado",IF(OR(AND(E1946&lt;&gt;"",E1946&lt;B1946),AND(F1946&lt;&gt;"",F1946&lt;B1946)),"Evento anterior à entrada",IF(AND(F1946&lt;&gt;"",E1946=""),"Conversa sem agendamento",IF(OR(E1946&gt;TODAY(),F1946&gt;TODAY()),"Verificar evento futuro","OK"))))))</f>
        <v/>
      </c>
    </row>
    <row r="1947" spans="9:12">
      <c r="I1947" s="5">
        <f>IF(OR(A1947="",B1947=""),"",B1947-WEEKDAY(B1947,2)+1)</f>
        <v/>
      </c>
      <c r="J1947" s="5">
        <f>IF(I1947="","",I1947+6)</f>
        <v/>
      </c>
      <c r="K1947" s="6">
        <f>IF(OR(A1947="",B1947=""),"",DATE(YEAR(B1947),MONTH(B1947),1))</f>
        <v/>
      </c>
      <c r="L1947" s="7">
        <f>IF(COUNTA(A1947,B1947)=0,"",IF(OR(A1947="",B1947=""),"Preencher CPF e entrada",IF(COUNTIFS($A$12:$A$5011,A1947,$B$12:$B$5011,B1947)&gt;1,"CPF + dia duplicado",IF(OR(AND(E1947&lt;&gt;"",E1947&lt;B1947),AND(F1947&lt;&gt;"",F1947&lt;B1947)),"Evento anterior à entrada",IF(AND(F1947&lt;&gt;"",E1947=""),"Conversa sem agendamento",IF(OR(E1947&gt;TODAY(),F1947&gt;TODAY()),"Verificar evento futuro","OK"))))))</f>
        <v/>
      </c>
    </row>
    <row r="1948" spans="9:12">
      <c r="I1948" s="5">
        <f>IF(OR(A1948="",B1948=""),"",B1948-WEEKDAY(B1948,2)+1)</f>
        <v/>
      </c>
      <c r="J1948" s="5">
        <f>IF(I1948="","",I1948+6)</f>
        <v/>
      </c>
      <c r="K1948" s="6">
        <f>IF(OR(A1948="",B1948=""),"",DATE(YEAR(B1948),MONTH(B1948),1))</f>
        <v/>
      </c>
      <c r="L1948" s="7">
        <f>IF(COUNTA(A1948,B1948)=0,"",IF(OR(A1948="",B1948=""),"Preencher CPF e entrada",IF(COUNTIFS($A$12:$A$5011,A1948,$B$12:$B$5011,B1948)&gt;1,"CPF + dia duplicado",IF(OR(AND(E1948&lt;&gt;"",E1948&lt;B1948),AND(F1948&lt;&gt;"",F1948&lt;B1948)),"Evento anterior à entrada",IF(AND(F1948&lt;&gt;"",E1948=""),"Conversa sem agendamento",IF(OR(E1948&gt;TODAY(),F1948&gt;TODAY()),"Verificar evento futuro","OK"))))))</f>
        <v/>
      </c>
    </row>
    <row r="1949" spans="9:12">
      <c r="I1949" s="5">
        <f>IF(OR(A1949="",B1949=""),"",B1949-WEEKDAY(B1949,2)+1)</f>
        <v/>
      </c>
      <c r="J1949" s="5">
        <f>IF(I1949="","",I1949+6)</f>
        <v/>
      </c>
      <c r="K1949" s="6">
        <f>IF(OR(A1949="",B1949=""),"",DATE(YEAR(B1949),MONTH(B1949),1))</f>
        <v/>
      </c>
      <c r="L1949" s="7">
        <f>IF(COUNTA(A1949,B1949)=0,"",IF(OR(A1949="",B1949=""),"Preencher CPF e entrada",IF(COUNTIFS($A$12:$A$5011,A1949,$B$12:$B$5011,B1949)&gt;1,"CPF + dia duplicado",IF(OR(AND(E1949&lt;&gt;"",E1949&lt;B1949),AND(F1949&lt;&gt;"",F1949&lt;B1949)),"Evento anterior à entrada",IF(AND(F1949&lt;&gt;"",E1949=""),"Conversa sem agendamento",IF(OR(E1949&gt;TODAY(),F1949&gt;TODAY()),"Verificar evento futuro","OK"))))))</f>
        <v/>
      </c>
    </row>
    <row r="1950" spans="9:12">
      <c r="I1950" s="5">
        <f>IF(OR(A1950="",B1950=""),"",B1950-WEEKDAY(B1950,2)+1)</f>
        <v/>
      </c>
      <c r="J1950" s="5">
        <f>IF(I1950="","",I1950+6)</f>
        <v/>
      </c>
      <c r="K1950" s="6">
        <f>IF(OR(A1950="",B1950=""),"",DATE(YEAR(B1950),MONTH(B1950),1))</f>
        <v/>
      </c>
      <c r="L1950" s="7">
        <f>IF(COUNTA(A1950,B1950)=0,"",IF(OR(A1950="",B1950=""),"Preencher CPF e entrada",IF(COUNTIFS($A$12:$A$5011,A1950,$B$12:$B$5011,B1950)&gt;1,"CPF + dia duplicado",IF(OR(AND(E1950&lt;&gt;"",E1950&lt;B1950),AND(F1950&lt;&gt;"",F1950&lt;B1950)),"Evento anterior à entrada",IF(AND(F1950&lt;&gt;"",E1950=""),"Conversa sem agendamento",IF(OR(E1950&gt;TODAY(),F1950&gt;TODAY()),"Verificar evento futuro","OK"))))))</f>
        <v/>
      </c>
    </row>
    <row r="1951" spans="9:12">
      <c r="I1951" s="5">
        <f>IF(OR(A1951="",B1951=""),"",B1951-WEEKDAY(B1951,2)+1)</f>
        <v/>
      </c>
      <c r="J1951" s="5">
        <f>IF(I1951="","",I1951+6)</f>
        <v/>
      </c>
      <c r="K1951" s="6">
        <f>IF(OR(A1951="",B1951=""),"",DATE(YEAR(B1951),MONTH(B1951),1))</f>
        <v/>
      </c>
      <c r="L1951" s="7">
        <f>IF(COUNTA(A1951,B1951)=0,"",IF(OR(A1951="",B1951=""),"Preencher CPF e entrada",IF(COUNTIFS($A$12:$A$5011,A1951,$B$12:$B$5011,B1951)&gt;1,"CPF + dia duplicado",IF(OR(AND(E1951&lt;&gt;"",E1951&lt;B1951),AND(F1951&lt;&gt;"",F1951&lt;B1951)),"Evento anterior à entrada",IF(AND(F1951&lt;&gt;"",E1951=""),"Conversa sem agendamento",IF(OR(E1951&gt;TODAY(),F1951&gt;TODAY()),"Verificar evento futuro","OK"))))))</f>
        <v/>
      </c>
    </row>
    <row r="1952" spans="9:12">
      <c r="I1952" s="5">
        <f>IF(OR(A1952="",B1952=""),"",B1952-WEEKDAY(B1952,2)+1)</f>
        <v/>
      </c>
      <c r="J1952" s="5">
        <f>IF(I1952="","",I1952+6)</f>
        <v/>
      </c>
      <c r="K1952" s="6">
        <f>IF(OR(A1952="",B1952=""),"",DATE(YEAR(B1952),MONTH(B1952),1))</f>
        <v/>
      </c>
      <c r="L1952" s="7">
        <f>IF(COUNTA(A1952,B1952)=0,"",IF(OR(A1952="",B1952=""),"Preencher CPF e entrada",IF(COUNTIFS($A$12:$A$5011,A1952,$B$12:$B$5011,B1952)&gt;1,"CPF + dia duplicado",IF(OR(AND(E1952&lt;&gt;"",E1952&lt;B1952),AND(F1952&lt;&gt;"",F1952&lt;B1952)),"Evento anterior à entrada",IF(AND(F1952&lt;&gt;"",E1952=""),"Conversa sem agendamento",IF(OR(E1952&gt;TODAY(),F1952&gt;TODAY()),"Verificar evento futuro","OK"))))))</f>
        <v/>
      </c>
    </row>
    <row r="1953" spans="9:12">
      <c r="I1953" s="5">
        <f>IF(OR(A1953="",B1953=""),"",B1953-WEEKDAY(B1953,2)+1)</f>
        <v/>
      </c>
      <c r="J1953" s="5">
        <f>IF(I1953="","",I1953+6)</f>
        <v/>
      </c>
      <c r="K1953" s="6">
        <f>IF(OR(A1953="",B1953=""),"",DATE(YEAR(B1953),MONTH(B1953),1))</f>
        <v/>
      </c>
      <c r="L1953" s="7">
        <f>IF(COUNTA(A1953,B1953)=0,"",IF(OR(A1953="",B1953=""),"Preencher CPF e entrada",IF(COUNTIFS($A$12:$A$5011,A1953,$B$12:$B$5011,B1953)&gt;1,"CPF + dia duplicado",IF(OR(AND(E1953&lt;&gt;"",E1953&lt;B1953),AND(F1953&lt;&gt;"",F1953&lt;B1953)),"Evento anterior à entrada",IF(AND(F1953&lt;&gt;"",E1953=""),"Conversa sem agendamento",IF(OR(E1953&gt;TODAY(),F1953&gt;TODAY()),"Verificar evento futuro","OK"))))))</f>
        <v/>
      </c>
    </row>
    <row r="1954" spans="9:12">
      <c r="I1954" s="5">
        <f>IF(OR(A1954="",B1954=""),"",B1954-WEEKDAY(B1954,2)+1)</f>
        <v/>
      </c>
      <c r="J1954" s="5">
        <f>IF(I1954="","",I1954+6)</f>
        <v/>
      </c>
      <c r="K1954" s="6">
        <f>IF(OR(A1954="",B1954=""),"",DATE(YEAR(B1954),MONTH(B1954),1))</f>
        <v/>
      </c>
      <c r="L1954" s="7">
        <f>IF(COUNTA(A1954,B1954)=0,"",IF(OR(A1954="",B1954=""),"Preencher CPF e entrada",IF(COUNTIFS($A$12:$A$5011,A1954,$B$12:$B$5011,B1954)&gt;1,"CPF + dia duplicado",IF(OR(AND(E1954&lt;&gt;"",E1954&lt;B1954),AND(F1954&lt;&gt;"",F1954&lt;B1954)),"Evento anterior à entrada",IF(AND(F1954&lt;&gt;"",E1954=""),"Conversa sem agendamento",IF(OR(E1954&gt;TODAY(),F1954&gt;TODAY()),"Verificar evento futuro","OK"))))))</f>
        <v/>
      </c>
    </row>
    <row r="1955" spans="9:12">
      <c r="I1955" s="5">
        <f>IF(OR(A1955="",B1955=""),"",B1955-WEEKDAY(B1955,2)+1)</f>
        <v/>
      </c>
      <c r="J1955" s="5">
        <f>IF(I1955="","",I1955+6)</f>
        <v/>
      </c>
      <c r="K1955" s="6">
        <f>IF(OR(A1955="",B1955=""),"",DATE(YEAR(B1955),MONTH(B1955),1))</f>
        <v/>
      </c>
      <c r="L1955" s="7">
        <f>IF(COUNTA(A1955,B1955)=0,"",IF(OR(A1955="",B1955=""),"Preencher CPF e entrada",IF(COUNTIFS($A$12:$A$5011,A1955,$B$12:$B$5011,B1955)&gt;1,"CPF + dia duplicado",IF(OR(AND(E1955&lt;&gt;"",E1955&lt;B1955),AND(F1955&lt;&gt;"",F1955&lt;B1955)),"Evento anterior à entrada",IF(AND(F1955&lt;&gt;"",E1955=""),"Conversa sem agendamento",IF(OR(E1955&gt;TODAY(),F1955&gt;TODAY()),"Verificar evento futuro","OK"))))))</f>
        <v/>
      </c>
    </row>
    <row r="1956" spans="9:12">
      <c r="I1956" s="5">
        <f>IF(OR(A1956="",B1956=""),"",B1956-WEEKDAY(B1956,2)+1)</f>
        <v/>
      </c>
      <c r="J1956" s="5">
        <f>IF(I1956="","",I1956+6)</f>
        <v/>
      </c>
      <c r="K1956" s="6">
        <f>IF(OR(A1956="",B1956=""),"",DATE(YEAR(B1956),MONTH(B1956),1))</f>
        <v/>
      </c>
      <c r="L1956" s="7">
        <f>IF(COUNTA(A1956,B1956)=0,"",IF(OR(A1956="",B1956=""),"Preencher CPF e entrada",IF(COUNTIFS($A$12:$A$5011,A1956,$B$12:$B$5011,B1956)&gt;1,"CPF + dia duplicado",IF(OR(AND(E1956&lt;&gt;"",E1956&lt;B1956),AND(F1956&lt;&gt;"",F1956&lt;B1956)),"Evento anterior à entrada",IF(AND(F1956&lt;&gt;"",E1956=""),"Conversa sem agendamento",IF(OR(E1956&gt;TODAY(),F1956&gt;TODAY()),"Verificar evento futuro","OK"))))))</f>
        <v/>
      </c>
    </row>
    <row r="1957" spans="9:12">
      <c r="I1957" s="5">
        <f>IF(OR(A1957="",B1957=""),"",B1957-WEEKDAY(B1957,2)+1)</f>
        <v/>
      </c>
      <c r="J1957" s="5">
        <f>IF(I1957="","",I1957+6)</f>
        <v/>
      </c>
      <c r="K1957" s="6">
        <f>IF(OR(A1957="",B1957=""),"",DATE(YEAR(B1957),MONTH(B1957),1))</f>
        <v/>
      </c>
      <c r="L1957" s="7">
        <f>IF(COUNTA(A1957,B1957)=0,"",IF(OR(A1957="",B1957=""),"Preencher CPF e entrada",IF(COUNTIFS($A$12:$A$5011,A1957,$B$12:$B$5011,B1957)&gt;1,"CPF + dia duplicado",IF(OR(AND(E1957&lt;&gt;"",E1957&lt;B1957),AND(F1957&lt;&gt;"",F1957&lt;B1957)),"Evento anterior à entrada",IF(AND(F1957&lt;&gt;"",E1957=""),"Conversa sem agendamento",IF(OR(E1957&gt;TODAY(),F1957&gt;TODAY()),"Verificar evento futuro","OK"))))))</f>
        <v/>
      </c>
    </row>
    <row r="1958" spans="9:12">
      <c r="I1958" s="5">
        <f>IF(OR(A1958="",B1958=""),"",B1958-WEEKDAY(B1958,2)+1)</f>
        <v/>
      </c>
      <c r="J1958" s="5">
        <f>IF(I1958="","",I1958+6)</f>
        <v/>
      </c>
      <c r="K1958" s="6">
        <f>IF(OR(A1958="",B1958=""),"",DATE(YEAR(B1958),MONTH(B1958),1))</f>
        <v/>
      </c>
      <c r="L1958" s="7">
        <f>IF(COUNTA(A1958,B1958)=0,"",IF(OR(A1958="",B1958=""),"Preencher CPF e entrada",IF(COUNTIFS($A$12:$A$5011,A1958,$B$12:$B$5011,B1958)&gt;1,"CPF + dia duplicado",IF(OR(AND(E1958&lt;&gt;"",E1958&lt;B1958),AND(F1958&lt;&gt;"",F1958&lt;B1958)),"Evento anterior à entrada",IF(AND(F1958&lt;&gt;"",E1958=""),"Conversa sem agendamento",IF(OR(E1958&gt;TODAY(),F1958&gt;TODAY()),"Verificar evento futuro","OK"))))))</f>
        <v/>
      </c>
    </row>
    <row r="1959" spans="9:12">
      <c r="I1959" s="5">
        <f>IF(OR(A1959="",B1959=""),"",B1959-WEEKDAY(B1959,2)+1)</f>
        <v/>
      </c>
      <c r="J1959" s="5">
        <f>IF(I1959="","",I1959+6)</f>
        <v/>
      </c>
      <c r="K1959" s="6">
        <f>IF(OR(A1959="",B1959=""),"",DATE(YEAR(B1959),MONTH(B1959),1))</f>
        <v/>
      </c>
      <c r="L1959" s="7">
        <f>IF(COUNTA(A1959,B1959)=0,"",IF(OR(A1959="",B1959=""),"Preencher CPF e entrada",IF(COUNTIFS($A$12:$A$5011,A1959,$B$12:$B$5011,B1959)&gt;1,"CPF + dia duplicado",IF(OR(AND(E1959&lt;&gt;"",E1959&lt;B1959),AND(F1959&lt;&gt;"",F1959&lt;B1959)),"Evento anterior à entrada",IF(AND(F1959&lt;&gt;"",E1959=""),"Conversa sem agendamento",IF(OR(E1959&gt;TODAY(),F1959&gt;TODAY()),"Verificar evento futuro","OK"))))))</f>
        <v/>
      </c>
    </row>
    <row r="1960" spans="9:12">
      <c r="I1960" s="5">
        <f>IF(OR(A1960="",B1960=""),"",B1960-WEEKDAY(B1960,2)+1)</f>
        <v/>
      </c>
      <c r="J1960" s="5">
        <f>IF(I1960="","",I1960+6)</f>
        <v/>
      </c>
      <c r="K1960" s="6">
        <f>IF(OR(A1960="",B1960=""),"",DATE(YEAR(B1960),MONTH(B1960),1))</f>
        <v/>
      </c>
      <c r="L1960" s="7">
        <f>IF(COUNTA(A1960,B1960)=0,"",IF(OR(A1960="",B1960=""),"Preencher CPF e entrada",IF(COUNTIFS($A$12:$A$5011,A1960,$B$12:$B$5011,B1960)&gt;1,"CPF + dia duplicado",IF(OR(AND(E1960&lt;&gt;"",E1960&lt;B1960),AND(F1960&lt;&gt;"",F1960&lt;B1960)),"Evento anterior à entrada",IF(AND(F1960&lt;&gt;"",E1960=""),"Conversa sem agendamento",IF(OR(E1960&gt;TODAY(),F1960&gt;TODAY()),"Verificar evento futuro","OK"))))))</f>
        <v/>
      </c>
    </row>
    <row r="1961" spans="9:12">
      <c r="I1961" s="5">
        <f>IF(OR(A1961="",B1961=""),"",B1961-WEEKDAY(B1961,2)+1)</f>
        <v/>
      </c>
      <c r="J1961" s="5">
        <f>IF(I1961="","",I1961+6)</f>
        <v/>
      </c>
      <c r="K1961" s="6">
        <f>IF(OR(A1961="",B1961=""),"",DATE(YEAR(B1961),MONTH(B1961),1))</f>
        <v/>
      </c>
      <c r="L1961" s="7">
        <f>IF(COUNTA(A1961,B1961)=0,"",IF(OR(A1961="",B1961=""),"Preencher CPF e entrada",IF(COUNTIFS($A$12:$A$5011,A1961,$B$12:$B$5011,B1961)&gt;1,"CPF + dia duplicado",IF(OR(AND(E1961&lt;&gt;"",E1961&lt;B1961),AND(F1961&lt;&gt;"",F1961&lt;B1961)),"Evento anterior à entrada",IF(AND(F1961&lt;&gt;"",E1961=""),"Conversa sem agendamento",IF(OR(E1961&gt;TODAY(),F1961&gt;TODAY()),"Verificar evento futuro","OK"))))))</f>
        <v/>
      </c>
    </row>
    <row r="1962" spans="9:12">
      <c r="I1962" s="5">
        <f>IF(OR(A1962="",B1962=""),"",B1962-WEEKDAY(B1962,2)+1)</f>
        <v/>
      </c>
      <c r="J1962" s="5">
        <f>IF(I1962="","",I1962+6)</f>
        <v/>
      </c>
      <c r="K1962" s="6">
        <f>IF(OR(A1962="",B1962=""),"",DATE(YEAR(B1962),MONTH(B1962),1))</f>
        <v/>
      </c>
      <c r="L1962" s="7">
        <f>IF(COUNTA(A1962,B1962)=0,"",IF(OR(A1962="",B1962=""),"Preencher CPF e entrada",IF(COUNTIFS($A$12:$A$5011,A1962,$B$12:$B$5011,B1962)&gt;1,"CPF + dia duplicado",IF(OR(AND(E1962&lt;&gt;"",E1962&lt;B1962),AND(F1962&lt;&gt;"",F1962&lt;B1962)),"Evento anterior à entrada",IF(AND(F1962&lt;&gt;"",E1962=""),"Conversa sem agendamento",IF(OR(E1962&gt;TODAY(),F1962&gt;TODAY()),"Verificar evento futuro","OK"))))))</f>
        <v/>
      </c>
    </row>
    <row r="1963" spans="9:12">
      <c r="I1963" s="5">
        <f>IF(OR(A1963="",B1963=""),"",B1963-WEEKDAY(B1963,2)+1)</f>
        <v/>
      </c>
      <c r="J1963" s="5">
        <f>IF(I1963="","",I1963+6)</f>
        <v/>
      </c>
      <c r="K1963" s="6">
        <f>IF(OR(A1963="",B1963=""),"",DATE(YEAR(B1963),MONTH(B1963),1))</f>
        <v/>
      </c>
      <c r="L1963" s="7">
        <f>IF(COUNTA(A1963,B1963)=0,"",IF(OR(A1963="",B1963=""),"Preencher CPF e entrada",IF(COUNTIFS($A$12:$A$5011,A1963,$B$12:$B$5011,B1963)&gt;1,"CPF + dia duplicado",IF(OR(AND(E1963&lt;&gt;"",E1963&lt;B1963),AND(F1963&lt;&gt;"",F1963&lt;B1963)),"Evento anterior à entrada",IF(AND(F1963&lt;&gt;"",E1963=""),"Conversa sem agendamento",IF(OR(E1963&gt;TODAY(),F1963&gt;TODAY()),"Verificar evento futuro","OK"))))))</f>
        <v/>
      </c>
    </row>
    <row r="1964" spans="9:12">
      <c r="I1964" s="5">
        <f>IF(OR(A1964="",B1964=""),"",B1964-WEEKDAY(B1964,2)+1)</f>
        <v/>
      </c>
      <c r="J1964" s="5">
        <f>IF(I1964="","",I1964+6)</f>
        <v/>
      </c>
      <c r="K1964" s="6">
        <f>IF(OR(A1964="",B1964=""),"",DATE(YEAR(B1964),MONTH(B1964),1))</f>
        <v/>
      </c>
      <c r="L1964" s="7">
        <f>IF(COUNTA(A1964,B1964)=0,"",IF(OR(A1964="",B1964=""),"Preencher CPF e entrada",IF(COUNTIFS($A$12:$A$5011,A1964,$B$12:$B$5011,B1964)&gt;1,"CPF + dia duplicado",IF(OR(AND(E1964&lt;&gt;"",E1964&lt;B1964),AND(F1964&lt;&gt;"",F1964&lt;B1964)),"Evento anterior à entrada",IF(AND(F1964&lt;&gt;"",E1964=""),"Conversa sem agendamento",IF(OR(E1964&gt;TODAY(),F1964&gt;TODAY()),"Verificar evento futuro","OK"))))))</f>
        <v/>
      </c>
    </row>
    <row r="1965" spans="9:12">
      <c r="I1965" s="5">
        <f>IF(OR(A1965="",B1965=""),"",B1965-WEEKDAY(B1965,2)+1)</f>
        <v/>
      </c>
      <c r="J1965" s="5">
        <f>IF(I1965="","",I1965+6)</f>
        <v/>
      </c>
      <c r="K1965" s="6">
        <f>IF(OR(A1965="",B1965=""),"",DATE(YEAR(B1965),MONTH(B1965),1))</f>
        <v/>
      </c>
      <c r="L1965" s="7">
        <f>IF(COUNTA(A1965,B1965)=0,"",IF(OR(A1965="",B1965=""),"Preencher CPF e entrada",IF(COUNTIFS($A$12:$A$5011,A1965,$B$12:$B$5011,B1965)&gt;1,"CPF + dia duplicado",IF(OR(AND(E1965&lt;&gt;"",E1965&lt;B1965),AND(F1965&lt;&gt;"",F1965&lt;B1965)),"Evento anterior à entrada",IF(AND(F1965&lt;&gt;"",E1965=""),"Conversa sem agendamento",IF(OR(E1965&gt;TODAY(),F1965&gt;TODAY()),"Verificar evento futuro","OK"))))))</f>
        <v/>
      </c>
    </row>
    <row r="1966" spans="9:12">
      <c r="I1966" s="5">
        <f>IF(OR(A1966="",B1966=""),"",B1966-WEEKDAY(B1966,2)+1)</f>
        <v/>
      </c>
      <c r="J1966" s="5">
        <f>IF(I1966="","",I1966+6)</f>
        <v/>
      </c>
      <c r="K1966" s="6">
        <f>IF(OR(A1966="",B1966=""),"",DATE(YEAR(B1966),MONTH(B1966),1))</f>
        <v/>
      </c>
      <c r="L1966" s="7">
        <f>IF(COUNTA(A1966,B1966)=0,"",IF(OR(A1966="",B1966=""),"Preencher CPF e entrada",IF(COUNTIFS($A$12:$A$5011,A1966,$B$12:$B$5011,B1966)&gt;1,"CPF + dia duplicado",IF(OR(AND(E1966&lt;&gt;"",E1966&lt;B1966),AND(F1966&lt;&gt;"",F1966&lt;B1966)),"Evento anterior à entrada",IF(AND(F1966&lt;&gt;"",E1966=""),"Conversa sem agendamento",IF(OR(E1966&gt;TODAY(),F1966&gt;TODAY()),"Verificar evento futuro","OK"))))))</f>
        <v/>
      </c>
    </row>
    <row r="1967" spans="9:12">
      <c r="I1967" s="5">
        <f>IF(OR(A1967="",B1967=""),"",B1967-WEEKDAY(B1967,2)+1)</f>
        <v/>
      </c>
      <c r="J1967" s="5">
        <f>IF(I1967="","",I1967+6)</f>
        <v/>
      </c>
      <c r="K1967" s="6">
        <f>IF(OR(A1967="",B1967=""),"",DATE(YEAR(B1967),MONTH(B1967),1))</f>
        <v/>
      </c>
      <c r="L1967" s="7">
        <f>IF(COUNTA(A1967,B1967)=0,"",IF(OR(A1967="",B1967=""),"Preencher CPF e entrada",IF(COUNTIFS($A$12:$A$5011,A1967,$B$12:$B$5011,B1967)&gt;1,"CPF + dia duplicado",IF(OR(AND(E1967&lt;&gt;"",E1967&lt;B1967),AND(F1967&lt;&gt;"",F1967&lt;B1967)),"Evento anterior à entrada",IF(AND(F1967&lt;&gt;"",E1967=""),"Conversa sem agendamento",IF(OR(E1967&gt;TODAY(),F1967&gt;TODAY()),"Verificar evento futuro","OK"))))))</f>
        <v/>
      </c>
    </row>
    <row r="1968" spans="9:12">
      <c r="I1968" s="5">
        <f>IF(OR(A1968="",B1968=""),"",B1968-WEEKDAY(B1968,2)+1)</f>
        <v/>
      </c>
      <c r="J1968" s="5">
        <f>IF(I1968="","",I1968+6)</f>
        <v/>
      </c>
      <c r="K1968" s="6">
        <f>IF(OR(A1968="",B1968=""),"",DATE(YEAR(B1968),MONTH(B1968),1))</f>
        <v/>
      </c>
      <c r="L1968" s="7">
        <f>IF(COUNTA(A1968,B1968)=0,"",IF(OR(A1968="",B1968=""),"Preencher CPF e entrada",IF(COUNTIFS($A$12:$A$5011,A1968,$B$12:$B$5011,B1968)&gt;1,"CPF + dia duplicado",IF(OR(AND(E1968&lt;&gt;"",E1968&lt;B1968),AND(F1968&lt;&gt;"",F1968&lt;B1968)),"Evento anterior à entrada",IF(AND(F1968&lt;&gt;"",E1968=""),"Conversa sem agendamento",IF(OR(E1968&gt;TODAY(),F1968&gt;TODAY()),"Verificar evento futuro","OK"))))))</f>
        <v/>
      </c>
    </row>
    <row r="1969" spans="9:12">
      <c r="I1969" s="5">
        <f>IF(OR(A1969="",B1969=""),"",B1969-WEEKDAY(B1969,2)+1)</f>
        <v/>
      </c>
      <c r="J1969" s="5">
        <f>IF(I1969="","",I1969+6)</f>
        <v/>
      </c>
      <c r="K1969" s="6">
        <f>IF(OR(A1969="",B1969=""),"",DATE(YEAR(B1969),MONTH(B1969),1))</f>
        <v/>
      </c>
      <c r="L1969" s="7">
        <f>IF(COUNTA(A1969,B1969)=0,"",IF(OR(A1969="",B1969=""),"Preencher CPF e entrada",IF(COUNTIFS($A$12:$A$5011,A1969,$B$12:$B$5011,B1969)&gt;1,"CPF + dia duplicado",IF(OR(AND(E1969&lt;&gt;"",E1969&lt;B1969),AND(F1969&lt;&gt;"",F1969&lt;B1969)),"Evento anterior à entrada",IF(AND(F1969&lt;&gt;"",E1969=""),"Conversa sem agendamento",IF(OR(E1969&gt;TODAY(),F1969&gt;TODAY()),"Verificar evento futuro","OK"))))))</f>
        <v/>
      </c>
    </row>
    <row r="1970" spans="9:12">
      <c r="I1970" s="5">
        <f>IF(OR(A1970="",B1970=""),"",B1970-WEEKDAY(B1970,2)+1)</f>
        <v/>
      </c>
      <c r="J1970" s="5">
        <f>IF(I1970="","",I1970+6)</f>
        <v/>
      </c>
      <c r="K1970" s="6">
        <f>IF(OR(A1970="",B1970=""),"",DATE(YEAR(B1970),MONTH(B1970),1))</f>
        <v/>
      </c>
      <c r="L1970" s="7">
        <f>IF(COUNTA(A1970,B1970)=0,"",IF(OR(A1970="",B1970=""),"Preencher CPF e entrada",IF(COUNTIFS($A$12:$A$5011,A1970,$B$12:$B$5011,B1970)&gt;1,"CPF + dia duplicado",IF(OR(AND(E1970&lt;&gt;"",E1970&lt;B1970),AND(F1970&lt;&gt;"",F1970&lt;B1970)),"Evento anterior à entrada",IF(AND(F1970&lt;&gt;"",E1970=""),"Conversa sem agendamento",IF(OR(E1970&gt;TODAY(),F1970&gt;TODAY()),"Verificar evento futuro","OK"))))))</f>
        <v/>
      </c>
    </row>
    <row r="1971" spans="9:12">
      <c r="I1971" s="5">
        <f>IF(OR(A1971="",B1971=""),"",B1971-WEEKDAY(B1971,2)+1)</f>
        <v/>
      </c>
      <c r="J1971" s="5">
        <f>IF(I1971="","",I1971+6)</f>
        <v/>
      </c>
      <c r="K1971" s="6">
        <f>IF(OR(A1971="",B1971=""),"",DATE(YEAR(B1971),MONTH(B1971),1))</f>
        <v/>
      </c>
      <c r="L1971" s="7">
        <f>IF(COUNTA(A1971,B1971)=0,"",IF(OR(A1971="",B1971=""),"Preencher CPF e entrada",IF(COUNTIFS($A$12:$A$5011,A1971,$B$12:$B$5011,B1971)&gt;1,"CPF + dia duplicado",IF(OR(AND(E1971&lt;&gt;"",E1971&lt;B1971),AND(F1971&lt;&gt;"",F1971&lt;B1971)),"Evento anterior à entrada",IF(AND(F1971&lt;&gt;"",E1971=""),"Conversa sem agendamento",IF(OR(E1971&gt;TODAY(),F1971&gt;TODAY()),"Verificar evento futuro","OK"))))))</f>
        <v/>
      </c>
    </row>
    <row r="1972" spans="9:12">
      <c r="I1972" s="5">
        <f>IF(OR(A1972="",B1972=""),"",B1972-WEEKDAY(B1972,2)+1)</f>
        <v/>
      </c>
      <c r="J1972" s="5">
        <f>IF(I1972="","",I1972+6)</f>
        <v/>
      </c>
      <c r="K1972" s="6">
        <f>IF(OR(A1972="",B1972=""),"",DATE(YEAR(B1972),MONTH(B1972),1))</f>
        <v/>
      </c>
      <c r="L1972" s="7">
        <f>IF(COUNTA(A1972,B1972)=0,"",IF(OR(A1972="",B1972=""),"Preencher CPF e entrada",IF(COUNTIFS($A$12:$A$5011,A1972,$B$12:$B$5011,B1972)&gt;1,"CPF + dia duplicado",IF(OR(AND(E1972&lt;&gt;"",E1972&lt;B1972),AND(F1972&lt;&gt;"",F1972&lt;B1972)),"Evento anterior à entrada",IF(AND(F1972&lt;&gt;"",E1972=""),"Conversa sem agendamento",IF(OR(E1972&gt;TODAY(),F1972&gt;TODAY()),"Verificar evento futuro","OK"))))))</f>
        <v/>
      </c>
    </row>
    <row r="1973" spans="9:12">
      <c r="I1973" s="5">
        <f>IF(OR(A1973="",B1973=""),"",B1973-WEEKDAY(B1973,2)+1)</f>
        <v/>
      </c>
      <c r="J1973" s="5">
        <f>IF(I1973="","",I1973+6)</f>
        <v/>
      </c>
      <c r="K1973" s="6">
        <f>IF(OR(A1973="",B1973=""),"",DATE(YEAR(B1973),MONTH(B1973),1))</f>
        <v/>
      </c>
      <c r="L1973" s="7">
        <f>IF(COUNTA(A1973,B1973)=0,"",IF(OR(A1973="",B1973=""),"Preencher CPF e entrada",IF(COUNTIFS($A$12:$A$5011,A1973,$B$12:$B$5011,B1973)&gt;1,"CPF + dia duplicado",IF(OR(AND(E1973&lt;&gt;"",E1973&lt;B1973),AND(F1973&lt;&gt;"",F1973&lt;B1973)),"Evento anterior à entrada",IF(AND(F1973&lt;&gt;"",E1973=""),"Conversa sem agendamento",IF(OR(E1973&gt;TODAY(),F1973&gt;TODAY()),"Verificar evento futuro","OK"))))))</f>
        <v/>
      </c>
    </row>
    <row r="1974" spans="9:12">
      <c r="I1974" s="5">
        <f>IF(OR(A1974="",B1974=""),"",B1974-WEEKDAY(B1974,2)+1)</f>
        <v/>
      </c>
      <c r="J1974" s="5">
        <f>IF(I1974="","",I1974+6)</f>
        <v/>
      </c>
      <c r="K1974" s="6">
        <f>IF(OR(A1974="",B1974=""),"",DATE(YEAR(B1974),MONTH(B1974),1))</f>
        <v/>
      </c>
      <c r="L1974" s="7">
        <f>IF(COUNTA(A1974,B1974)=0,"",IF(OR(A1974="",B1974=""),"Preencher CPF e entrada",IF(COUNTIFS($A$12:$A$5011,A1974,$B$12:$B$5011,B1974)&gt;1,"CPF + dia duplicado",IF(OR(AND(E1974&lt;&gt;"",E1974&lt;B1974),AND(F1974&lt;&gt;"",F1974&lt;B1974)),"Evento anterior à entrada",IF(AND(F1974&lt;&gt;"",E1974=""),"Conversa sem agendamento",IF(OR(E1974&gt;TODAY(),F1974&gt;TODAY()),"Verificar evento futuro","OK"))))))</f>
        <v/>
      </c>
    </row>
    <row r="1975" spans="9:12">
      <c r="I1975" s="5">
        <f>IF(OR(A1975="",B1975=""),"",B1975-WEEKDAY(B1975,2)+1)</f>
        <v/>
      </c>
      <c r="J1975" s="5">
        <f>IF(I1975="","",I1975+6)</f>
        <v/>
      </c>
      <c r="K1975" s="6">
        <f>IF(OR(A1975="",B1975=""),"",DATE(YEAR(B1975),MONTH(B1975),1))</f>
        <v/>
      </c>
      <c r="L1975" s="7">
        <f>IF(COUNTA(A1975,B1975)=0,"",IF(OR(A1975="",B1975=""),"Preencher CPF e entrada",IF(COUNTIFS($A$12:$A$5011,A1975,$B$12:$B$5011,B1975)&gt;1,"CPF + dia duplicado",IF(OR(AND(E1975&lt;&gt;"",E1975&lt;B1975),AND(F1975&lt;&gt;"",F1975&lt;B1975)),"Evento anterior à entrada",IF(AND(F1975&lt;&gt;"",E1975=""),"Conversa sem agendamento",IF(OR(E1975&gt;TODAY(),F1975&gt;TODAY()),"Verificar evento futuro","OK"))))))</f>
        <v/>
      </c>
    </row>
    <row r="1976" spans="9:12">
      <c r="I1976" s="5">
        <f>IF(OR(A1976="",B1976=""),"",B1976-WEEKDAY(B1976,2)+1)</f>
        <v/>
      </c>
      <c r="J1976" s="5">
        <f>IF(I1976="","",I1976+6)</f>
        <v/>
      </c>
      <c r="K1976" s="6">
        <f>IF(OR(A1976="",B1976=""),"",DATE(YEAR(B1976),MONTH(B1976),1))</f>
        <v/>
      </c>
      <c r="L1976" s="7">
        <f>IF(COUNTA(A1976,B1976)=0,"",IF(OR(A1976="",B1976=""),"Preencher CPF e entrada",IF(COUNTIFS($A$12:$A$5011,A1976,$B$12:$B$5011,B1976)&gt;1,"CPF + dia duplicado",IF(OR(AND(E1976&lt;&gt;"",E1976&lt;B1976),AND(F1976&lt;&gt;"",F1976&lt;B1976)),"Evento anterior à entrada",IF(AND(F1976&lt;&gt;"",E1976=""),"Conversa sem agendamento",IF(OR(E1976&gt;TODAY(),F1976&gt;TODAY()),"Verificar evento futuro","OK"))))))</f>
        <v/>
      </c>
    </row>
    <row r="1977" spans="9:12">
      <c r="I1977" s="5">
        <f>IF(OR(A1977="",B1977=""),"",B1977-WEEKDAY(B1977,2)+1)</f>
        <v/>
      </c>
      <c r="J1977" s="5">
        <f>IF(I1977="","",I1977+6)</f>
        <v/>
      </c>
      <c r="K1977" s="6">
        <f>IF(OR(A1977="",B1977=""),"",DATE(YEAR(B1977),MONTH(B1977),1))</f>
        <v/>
      </c>
      <c r="L1977" s="7">
        <f>IF(COUNTA(A1977,B1977)=0,"",IF(OR(A1977="",B1977=""),"Preencher CPF e entrada",IF(COUNTIFS($A$12:$A$5011,A1977,$B$12:$B$5011,B1977)&gt;1,"CPF + dia duplicado",IF(OR(AND(E1977&lt;&gt;"",E1977&lt;B1977),AND(F1977&lt;&gt;"",F1977&lt;B1977)),"Evento anterior à entrada",IF(AND(F1977&lt;&gt;"",E1977=""),"Conversa sem agendamento",IF(OR(E1977&gt;TODAY(),F1977&gt;TODAY()),"Verificar evento futuro","OK"))))))</f>
        <v/>
      </c>
    </row>
    <row r="1978" spans="9:12">
      <c r="I1978" s="5">
        <f>IF(OR(A1978="",B1978=""),"",B1978-WEEKDAY(B1978,2)+1)</f>
        <v/>
      </c>
      <c r="J1978" s="5">
        <f>IF(I1978="","",I1978+6)</f>
        <v/>
      </c>
      <c r="K1978" s="6">
        <f>IF(OR(A1978="",B1978=""),"",DATE(YEAR(B1978),MONTH(B1978),1))</f>
        <v/>
      </c>
      <c r="L1978" s="7">
        <f>IF(COUNTA(A1978,B1978)=0,"",IF(OR(A1978="",B1978=""),"Preencher CPF e entrada",IF(COUNTIFS($A$12:$A$5011,A1978,$B$12:$B$5011,B1978)&gt;1,"CPF + dia duplicado",IF(OR(AND(E1978&lt;&gt;"",E1978&lt;B1978),AND(F1978&lt;&gt;"",F1978&lt;B1978)),"Evento anterior à entrada",IF(AND(F1978&lt;&gt;"",E1978=""),"Conversa sem agendamento",IF(OR(E1978&gt;TODAY(),F1978&gt;TODAY()),"Verificar evento futuro","OK"))))))</f>
        <v/>
      </c>
    </row>
    <row r="1979" spans="9:12">
      <c r="I1979" s="5">
        <f>IF(OR(A1979="",B1979=""),"",B1979-WEEKDAY(B1979,2)+1)</f>
        <v/>
      </c>
      <c r="J1979" s="5">
        <f>IF(I1979="","",I1979+6)</f>
        <v/>
      </c>
      <c r="K1979" s="6">
        <f>IF(OR(A1979="",B1979=""),"",DATE(YEAR(B1979),MONTH(B1979),1))</f>
        <v/>
      </c>
      <c r="L1979" s="7">
        <f>IF(COUNTA(A1979,B1979)=0,"",IF(OR(A1979="",B1979=""),"Preencher CPF e entrada",IF(COUNTIFS($A$12:$A$5011,A1979,$B$12:$B$5011,B1979)&gt;1,"CPF + dia duplicado",IF(OR(AND(E1979&lt;&gt;"",E1979&lt;B1979),AND(F1979&lt;&gt;"",F1979&lt;B1979)),"Evento anterior à entrada",IF(AND(F1979&lt;&gt;"",E1979=""),"Conversa sem agendamento",IF(OR(E1979&gt;TODAY(),F1979&gt;TODAY()),"Verificar evento futuro","OK"))))))</f>
        <v/>
      </c>
    </row>
    <row r="1980" spans="9:12">
      <c r="I1980" s="5">
        <f>IF(OR(A1980="",B1980=""),"",B1980-WEEKDAY(B1980,2)+1)</f>
        <v/>
      </c>
      <c r="J1980" s="5">
        <f>IF(I1980="","",I1980+6)</f>
        <v/>
      </c>
      <c r="K1980" s="6">
        <f>IF(OR(A1980="",B1980=""),"",DATE(YEAR(B1980),MONTH(B1980),1))</f>
        <v/>
      </c>
      <c r="L1980" s="7">
        <f>IF(COUNTA(A1980,B1980)=0,"",IF(OR(A1980="",B1980=""),"Preencher CPF e entrada",IF(COUNTIFS($A$12:$A$5011,A1980,$B$12:$B$5011,B1980)&gt;1,"CPF + dia duplicado",IF(OR(AND(E1980&lt;&gt;"",E1980&lt;B1980),AND(F1980&lt;&gt;"",F1980&lt;B1980)),"Evento anterior à entrada",IF(AND(F1980&lt;&gt;"",E1980=""),"Conversa sem agendamento",IF(OR(E1980&gt;TODAY(),F1980&gt;TODAY()),"Verificar evento futuro","OK"))))))</f>
        <v/>
      </c>
    </row>
    <row r="1981" spans="9:12">
      <c r="I1981" s="5">
        <f>IF(OR(A1981="",B1981=""),"",B1981-WEEKDAY(B1981,2)+1)</f>
        <v/>
      </c>
      <c r="J1981" s="5">
        <f>IF(I1981="","",I1981+6)</f>
        <v/>
      </c>
      <c r="K1981" s="6">
        <f>IF(OR(A1981="",B1981=""),"",DATE(YEAR(B1981),MONTH(B1981),1))</f>
        <v/>
      </c>
      <c r="L1981" s="7">
        <f>IF(COUNTA(A1981,B1981)=0,"",IF(OR(A1981="",B1981=""),"Preencher CPF e entrada",IF(COUNTIFS($A$12:$A$5011,A1981,$B$12:$B$5011,B1981)&gt;1,"CPF + dia duplicado",IF(OR(AND(E1981&lt;&gt;"",E1981&lt;B1981),AND(F1981&lt;&gt;"",F1981&lt;B1981)),"Evento anterior à entrada",IF(AND(F1981&lt;&gt;"",E1981=""),"Conversa sem agendamento",IF(OR(E1981&gt;TODAY(),F1981&gt;TODAY()),"Verificar evento futuro","OK"))))))</f>
        <v/>
      </c>
    </row>
    <row r="1982" spans="9:12">
      <c r="I1982" s="5">
        <f>IF(OR(A1982="",B1982=""),"",B1982-WEEKDAY(B1982,2)+1)</f>
        <v/>
      </c>
      <c r="J1982" s="5">
        <f>IF(I1982="","",I1982+6)</f>
        <v/>
      </c>
      <c r="K1982" s="6">
        <f>IF(OR(A1982="",B1982=""),"",DATE(YEAR(B1982),MONTH(B1982),1))</f>
        <v/>
      </c>
      <c r="L1982" s="7">
        <f>IF(COUNTA(A1982,B1982)=0,"",IF(OR(A1982="",B1982=""),"Preencher CPF e entrada",IF(COUNTIFS($A$12:$A$5011,A1982,$B$12:$B$5011,B1982)&gt;1,"CPF + dia duplicado",IF(OR(AND(E1982&lt;&gt;"",E1982&lt;B1982),AND(F1982&lt;&gt;"",F1982&lt;B1982)),"Evento anterior à entrada",IF(AND(F1982&lt;&gt;"",E1982=""),"Conversa sem agendamento",IF(OR(E1982&gt;TODAY(),F1982&gt;TODAY()),"Verificar evento futuro","OK"))))))</f>
        <v/>
      </c>
    </row>
    <row r="1983" spans="9:12">
      <c r="I1983" s="5">
        <f>IF(OR(A1983="",B1983=""),"",B1983-WEEKDAY(B1983,2)+1)</f>
        <v/>
      </c>
      <c r="J1983" s="5">
        <f>IF(I1983="","",I1983+6)</f>
        <v/>
      </c>
      <c r="K1983" s="6">
        <f>IF(OR(A1983="",B1983=""),"",DATE(YEAR(B1983),MONTH(B1983),1))</f>
        <v/>
      </c>
      <c r="L1983" s="7">
        <f>IF(COUNTA(A1983,B1983)=0,"",IF(OR(A1983="",B1983=""),"Preencher CPF e entrada",IF(COUNTIFS($A$12:$A$5011,A1983,$B$12:$B$5011,B1983)&gt;1,"CPF + dia duplicado",IF(OR(AND(E1983&lt;&gt;"",E1983&lt;B1983),AND(F1983&lt;&gt;"",F1983&lt;B1983)),"Evento anterior à entrada",IF(AND(F1983&lt;&gt;"",E1983=""),"Conversa sem agendamento",IF(OR(E1983&gt;TODAY(),F1983&gt;TODAY()),"Verificar evento futuro","OK"))))))</f>
        <v/>
      </c>
    </row>
    <row r="1984" spans="9:12">
      <c r="I1984" s="5">
        <f>IF(OR(A1984="",B1984=""),"",B1984-WEEKDAY(B1984,2)+1)</f>
        <v/>
      </c>
      <c r="J1984" s="5">
        <f>IF(I1984="","",I1984+6)</f>
        <v/>
      </c>
      <c r="K1984" s="6">
        <f>IF(OR(A1984="",B1984=""),"",DATE(YEAR(B1984),MONTH(B1984),1))</f>
        <v/>
      </c>
      <c r="L1984" s="7">
        <f>IF(COUNTA(A1984,B1984)=0,"",IF(OR(A1984="",B1984=""),"Preencher CPF e entrada",IF(COUNTIFS($A$12:$A$5011,A1984,$B$12:$B$5011,B1984)&gt;1,"CPF + dia duplicado",IF(OR(AND(E1984&lt;&gt;"",E1984&lt;B1984),AND(F1984&lt;&gt;"",F1984&lt;B1984)),"Evento anterior à entrada",IF(AND(F1984&lt;&gt;"",E1984=""),"Conversa sem agendamento",IF(OR(E1984&gt;TODAY(),F1984&gt;TODAY()),"Verificar evento futuro","OK"))))))</f>
        <v/>
      </c>
    </row>
    <row r="1985" spans="9:12">
      <c r="I1985" s="5">
        <f>IF(OR(A1985="",B1985=""),"",B1985-WEEKDAY(B1985,2)+1)</f>
        <v/>
      </c>
      <c r="J1985" s="5">
        <f>IF(I1985="","",I1985+6)</f>
        <v/>
      </c>
      <c r="K1985" s="6">
        <f>IF(OR(A1985="",B1985=""),"",DATE(YEAR(B1985),MONTH(B1985),1))</f>
        <v/>
      </c>
      <c r="L1985" s="7">
        <f>IF(COUNTA(A1985,B1985)=0,"",IF(OR(A1985="",B1985=""),"Preencher CPF e entrada",IF(COUNTIFS($A$12:$A$5011,A1985,$B$12:$B$5011,B1985)&gt;1,"CPF + dia duplicado",IF(OR(AND(E1985&lt;&gt;"",E1985&lt;B1985),AND(F1985&lt;&gt;"",F1985&lt;B1985)),"Evento anterior à entrada",IF(AND(F1985&lt;&gt;"",E1985=""),"Conversa sem agendamento",IF(OR(E1985&gt;TODAY(),F1985&gt;TODAY()),"Verificar evento futuro","OK"))))))</f>
        <v/>
      </c>
    </row>
    <row r="1986" spans="9:12">
      <c r="I1986" s="5">
        <f>IF(OR(A1986="",B1986=""),"",B1986-WEEKDAY(B1986,2)+1)</f>
        <v/>
      </c>
      <c r="J1986" s="5">
        <f>IF(I1986="","",I1986+6)</f>
        <v/>
      </c>
      <c r="K1986" s="6">
        <f>IF(OR(A1986="",B1986=""),"",DATE(YEAR(B1986),MONTH(B1986),1))</f>
        <v/>
      </c>
      <c r="L1986" s="7">
        <f>IF(COUNTA(A1986,B1986)=0,"",IF(OR(A1986="",B1986=""),"Preencher CPF e entrada",IF(COUNTIFS($A$12:$A$5011,A1986,$B$12:$B$5011,B1986)&gt;1,"CPF + dia duplicado",IF(OR(AND(E1986&lt;&gt;"",E1986&lt;B1986),AND(F1986&lt;&gt;"",F1986&lt;B1986)),"Evento anterior à entrada",IF(AND(F1986&lt;&gt;"",E1986=""),"Conversa sem agendamento",IF(OR(E1986&gt;TODAY(),F1986&gt;TODAY()),"Verificar evento futuro","OK"))))))</f>
        <v/>
      </c>
    </row>
    <row r="1987" spans="9:12">
      <c r="I1987" s="5">
        <f>IF(OR(A1987="",B1987=""),"",B1987-WEEKDAY(B1987,2)+1)</f>
        <v/>
      </c>
      <c r="J1987" s="5">
        <f>IF(I1987="","",I1987+6)</f>
        <v/>
      </c>
      <c r="K1987" s="6">
        <f>IF(OR(A1987="",B1987=""),"",DATE(YEAR(B1987),MONTH(B1987),1))</f>
        <v/>
      </c>
      <c r="L1987" s="7">
        <f>IF(COUNTA(A1987,B1987)=0,"",IF(OR(A1987="",B1987=""),"Preencher CPF e entrada",IF(COUNTIFS($A$12:$A$5011,A1987,$B$12:$B$5011,B1987)&gt;1,"CPF + dia duplicado",IF(OR(AND(E1987&lt;&gt;"",E1987&lt;B1987),AND(F1987&lt;&gt;"",F1987&lt;B1987)),"Evento anterior à entrada",IF(AND(F1987&lt;&gt;"",E1987=""),"Conversa sem agendamento",IF(OR(E1987&gt;TODAY(),F1987&gt;TODAY()),"Verificar evento futuro","OK"))))))</f>
        <v/>
      </c>
    </row>
    <row r="1988" spans="9:12">
      <c r="I1988" s="5">
        <f>IF(OR(A1988="",B1988=""),"",B1988-WEEKDAY(B1988,2)+1)</f>
        <v/>
      </c>
      <c r="J1988" s="5">
        <f>IF(I1988="","",I1988+6)</f>
        <v/>
      </c>
      <c r="K1988" s="6">
        <f>IF(OR(A1988="",B1988=""),"",DATE(YEAR(B1988),MONTH(B1988),1))</f>
        <v/>
      </c>
      <c r="L1988" s="7">
        <f>IF(COUNTA(A1988,B1988)=0,"",IF(OR(A1988="",B1988=""),"Preencher CPF e entrada",IF(COUNTIFS($A$12:$A$5011,A1988,$B$12:$B$5011,B1988)&gt;1,"CPF + dia duplicado",IF(OR(AND(E1988&lt;&gt;"",E1988&lt;B1988),AND(F1988&lt;&gt;"",F1988&lt;B1988)),"Evento anterior à entrada",IF(AND(F1988&lt;&gt;"",E1988=""),"Conversa sem agendamento",IF(OR(E1988&gt;TODAY(),F1988&gt;TODAY()),"Verificar evento futuro","OK"))))))</f>
        <v/>
      </c>
    </row>
    <row r="1989" spans="9:12">
      <c r="I1989" s="5">
        <f>IF(OR(A1989="",B1989=""),"",B1989-WEEKDAY(B1989,2)+1)</f>
        <v/>
      </c>
      <c r="J1989" s="5">
        <f>IF(I1989="","",I1989+6)</f>
        <v/>
      </c>
      <c r="K1989" s="6">
        <f>IF(OR(A1989="",B1989=""),"",DATE(YEAR(B1989),MONTH(B1989),1))</f>
        <v/>
      </c>
      <c r="L1989" s="7">
        <f>IF(COUNTA(A1989,B1989)=0,"",IF(OR(A1989="",B1989=""),"Preencher CPF e entrada",IF(COUNTIFS($A$12:$A$5011,A1989,$B$12:$B$5011,B1989)&gt;1,"CPF + dia duplicado",IF(OR(AND(E1989&lt;&gt;"",E1989&lt;B1989),AND(F1989&lt;&gt;"",F1989&lt;B1989)),"Evento anterior à entrada",IF(AND(F1989&lt;&gt;"",E1989=""),"Conversa sem agendamento",IF(OR(E1989&gt;TODAY(),F1989&gt;TODAY()),"Verificar evento futuro","OK"))))))</f>
        <v/>
      </c>
    </row>
    <row r="1990" spans="9:12">
      <c r="I1990" s="5">
        <f>IF(OR(A1990="",B1990=""),"",B1990-WEEKDAY(B1990,2)+1)</f>
        <v/>
      </c>
      <c r="J1990" s="5">
        <f>IF(I1990="","",I1990+6)</f>
        <v/>
      </c>
      <c r="K1990" s="6">
        <f>IF(OR(A1990="",B1990=""),"",DATE(YEAR(B1990),MONTH(B1990),1))</f>
        <v/>
      </c>
      <c r="L1990" s="7">
        <f>IF(COUNTA(A1990,B1990)=0,"",IF(OR(A1990="",B1990=""),"Preencher CPF e entrada",IF(COUNTIFS($A$12:$A$5011,A1990,$B$12:$B$5011,B1990)&gt;1,"CPF + dia duplicado",IF(OR(AND(E1990&lt;&gt;"",E1990&lt;B1990),AND(F1990&lt;&gt;"",F1990&lt;B1990)),"Evento anterior à entrada",IF(AND(F1990&lt;&gt;"",E1990=""),"Conversa sem agendamento",IF(OR(E1990&gt;TODAY(),F1990&gt;TODAY()),"Verificar evento futuro","OK"))))))</f>
        <v/>
      </c>
    </row>
    <row r="1991" spans="9:12">
      <c r="I1991" s="5">
        <f>IF(OR(A1991="",B1991=""),"",B1991-WEEKDAY(B1991,2)+1)</f>
        <v/>
      </c>
      <c r="J1991" s="5">
        <f>IF(I1991="","",I1991+6)</f>
        <v/>
      </c>
      <c r="K1991" s="6">
        <f>IF(OR(A1991="",B1991=""),"",DATE(YEAR(B1991),MONTH(B1991),1))</f>
        <v/>
      </c>
      <c r="L1991" s="7">
        <f>IF(COUNTA(A1991,B1991)=0,"",IF(OR(A1991="",B1991=""),"Preencher CPF e entrada",IF(COUNTIFS($A$12:$A$5011,A1991,$B$12:$B$5011,B1991)&gt;1,"CPF + dia duplicado",IF(OR(AND(E1991&lt;&gt;"",E1991&lt;B1991),AND(F1991&lt;&gt;"",F1991&lt;B1991)),"Evento anterior à entrada",IF(AND(F1991&lt;&gt;"",E1991=""),"Conversa sem agendamento",IF(OR(E1991&gt;TODAY(),F1991&gt;TODAY()),"Verificar evento futuro","OK"))))))</f>
        <v/>
      </c>
    </row>
    <row r="1992" spans="9:12">
      <c r="I1992" s="5">
        <f>IF(OR(A1992="",B1992=""),"",B1992-WEEKDAY(B1992,2)+1)</f>
        <v/>
      </c>
      <c r="J1992" s="5">
        <f>IF(I1992="","",I1992+6)</f>
        <v/>
      </c>
      <c r="K1992" s="6">
        <f>IF(OR(A1992="",B1992=""),"",DATE(YEAR(B1992),MONTH(B1992),1))</f>
        <v/>
      </c>
      <c r="L1992" s="7">
        <f>IF(COUNTA(A1992,B1992)=0,"",IF(OR(A1992="",B1992=""),"Preencher CPF e entrada",IF(COUNTIFS($A$12:$A$5011,A1992,$B$12:$B$5011,B1992)&gt;1,"CPF + dia duplicado",IF(OR(AND(E1992&lt;&gt;"",E1992&lt;B1992),AND(F1992&lt;&gt;"",F1992&lt;B1992)),"Evento anterior à entrada",IF(AND(F1992&lt;&gt;"",E1992=""),"Conversa sem agendamento",IF(OR(E1992&gt;TODAY(),F1992&gt;TODAY()),"Verificar evento futuro","OK"))))))</f>
        <v/>
      </c>
    </row>
    <row r="1993" spans="9:12">
      <c r="I1993" s="5">
        <f>IF(OR(A1993="",B1993=""),"",B1993-WEEKDAY(B1993,2)+1)</f>
        <v/>
      </c>
      <c r="J1993" s="5">
        <f>IF(I1993="","",I1993+6)</f>
        <v/>
      </c>
      <c r="K1993" s="6">
        <f>IF(OR(A1993="",B1993=""),"",DATE(YEAR(B1993),MONTH(B1993),1))</f>
        <v/>
      </c>
      <c r="L1993" s="7">
        <f>IF(COUNTA(A1993,B1993)=0,"",IF(OR(A1993="",B1993=""),"Preencher CPF e entrada",IF(COUNTIFS($A$12:$A$5011,A1993,$B$12:$B$5011,B1993)&gt;1,"CPF + dia duplicado",IF(OR(AND(E1993&lt;&gt;"",E1993&lt;B1993),AND(F1993&lt;&gt;"",F1993&lt;B1993)),"Evento anterior à entrada",IF(AND(F1993&lt;&gt;"",E1993=""),"Conversa sem agendamento",IF(OR(E1993&gt;TODAY(),F1993&gt;TODAY()),"Verificar evento futuro","OK"))))))</f>
        <v/>
      </c>
    </row>
    <row r="1994" spans="9:12">
      <c r="I1994" s="5">
        <f>IF(OR(A1994="",B1994=""),"",B1994-WEEKDAY(B1994,2)+1)</f>
        <v/>
      </c>
      <c r="J1994" s="5">
        <f>IF(I1994="","",I1994+6)</f>
        <v/>
      </c>
      <c r="K1994" s="6">
        <f>IF(OR(A1994="",B1994=""),"",DATE(YEAR(B1994),MONTH(B1994),1))</f>
        <v/>
      </c>
      <c r="L1994" s="7">
        <f>IF(COUNTA(A1994,B1994)=0,"",IF(OR(A1994="",B1994=""),"Preencher CPF e entrada",IF(COUNTIFS($A$12:$A$5011,A1994,$B$12:$B$5011,B1994)&gt;1,"CPF + dia duplicado",IF(OR(AND(E1994&lt;&gt;"",E1994&lt;B1994),AND(F1994&lt;&gt;"",F1994&lt;B1994)),"Evento anterior à entrada",IF(AND(F1994&lt;&gt;"",E1994=""),"Conversa sem agendamento",IF(OR(E1994&gt;TODAY(),F1994&gt;TODAY()),"Verificar evento futuro","OK"))))))</f>
        <v/>
      </c>
    </row>
    <row r="1995" spans="9:12">
      <c r="I1995" s="5">
        <f>IF(OR(A1995="",B1995=""),"",B1995-WEEKDAY(B1995,2)+1)</f>
        <v/>
      </c>
      <c r="J1995" s="5">
        <f>IF(I1995="","",I1995+6)</f>
        <v/>
      </c>
      <c r="K1995" s="6">
        <f>IF(OR(A1995="",B1995=""),"",DATE(YEAR(B1995),MONTH(B1995),1))</f>
        <v/>
      </c>
      <c r="L1995" s="7">
        <f>IF(COUNTA(A1995,B1995)=0,"",IF(OR(A1995="",B1995=""),"Preencher CPF e entrada",IF(COUNTIFS($A$12:$A$5011,A1995,$B$12:$B$5011,B1995)&gt;1,"CPF + dia duplicado",IF(OR(AND(E1995&lt;&gt;"",E1995&lt;B1995),AND(F1995&lt;&gt;"",F1995&lt;B1995)),"Evento anterior à entrada",IF(AND(F1995&lt;&gt;"",E1995=""),"Conversa sem agendamento",IF(OR(E1995&gt;TODAY(),F1995&gt;TODAY()),"Verificar evento futuro","OK"))))))</f>
        <v/>
      </c>
    </row>
    <row r="1996" spans="9:12">
      <c r="I1996" s="5">
        <f>IF(OR(A1996="",B1996=""),"",B1996-WEEKDAY(B1996,2)+1)</f>
        <v/>
      </c>
      <c r="J1996" s="5">
        <f>IF(I1996="","",I1996+6)</f>
        <v/>
      </c>
      <c r="K1996" s="6">
        <f>IF(OR(A1996="",B1996=""),"",DATE(YEAR(B1996),MONTH(B1996),1))</f>
        <v/>
      </c>
      <c r="L1996" s="7">
        <f>IF(COUNTA(A1996,B1996)=0,"",IF(OR(A1996="",B1996=""),"Preencher CPF e entrada",IF(COUNTIFS($A$12:$A$5011,A1996,$B$12:$B$5011,B1996)&gt;1,"CPF + dia duplicado",IF(OR(AND(E1996&lt;&gt;"",E1996&lt;B1996),AND(F1996&lt;&gt;"",F1996&lt;B1996)),"Evento anterior à entrada",IF(AND(F1996&lt;&gt;"",E1996=""),"Conversa sem agendamento",IF(OR(E1996&gt;TODAY(),F1996&gt;TODAY()),"Verificar evento futuro","OK"))))))</f>
        <v/>
      </c>
    </row>
    <row r="1997" spans="9:12">
      <c r="I1997" s="5">
        <f>IF(OR(A1997="",B1997=""),"",B1997-WEEKDAY(B1997,2)+1)</f>
        <v/>
      </c>
      <c r="J1997" s="5">
        <f>IF(I1997="","",I1997+6)</f>
        <v/>
      </c>
      <c r="K1997" s="6">
        <f>IF(OR(A1997="",B1997=""),"",DATE(YEAR(B1997),MONTH(B1997),1))</f>
        <v/>
      </c>
      <c r="L1997" s="7">
        <f>IF(COUNTA(A1997,B1997)=0,"",IF(OR(A1997="",B1997=""),"Preencher CPF e entrada",IF(COUNTIFS($A$12:$A$5011,A1997,$B$12:$B$5011,B1997)&gt;1,"CPF + dia duplicado",IF(OR(AND(E1997&lt;&gt;"",E1997&lt;B1997),AND(F1997&lt;&gt;"",F1997&lt;B1997)),"Evento anterior à entrada",IF(AND(F1997&lt;&gt;"",E1997=""),"Conversa sem agendamento",IF(OR(E1997&gt;TODAY(),F1997&gt;TODAY()),"Verificar evento futuro","OK"))))))</f>
        <v/>
      </c>
    </row>
    <row r="1998" spans="9:12">
      <c r="I1998" s="5">
        <f>IF(OR(A1998="",B1998=""),"",B1998-WEEKDAY(B1998,2)+1)</f>
        <v/>
      </c>
      <c r="J1998" s="5">
        <f>IF(I1998="","",I1998+6)</f>
        <v/>
      </c>
      <c r="K1998" s="6">
        <f>IF(OR(A1998="",B1998=""),"",DATE(YEAR(B1998),MONTH(B1998),1))</f>
        <v/>
      </c>
      <c r="L1998" s="7">
        <f>IF(COUNTA(A1998,B1998)=0,"",IF(OR(A1998="",B1998=""),"Preencher CPF e entrada",IF(COUNTIFS($A$12:$A$5011,A1998,$B$12:$B$5011,B1998)&gt;1,"CPF + dia duplicado",IF(OR(AND(E1998&lt;&gt;"",E1998&lt;B1998),AND(F1998&lt;&gt;"",F1998&lt;B1998)),"Evento anterior à entrada",IF(AND(F1998&lt;&gt;"",E1998=""),"Conversa sem agendamento",IF(OR(E1998&gt;TODAY(),F1998&gt;TODAY()),"Verificar evento futuro","OK"))))))</f>
        <v/>
      </c>
    </row>
    <row r="1999" spans="9:12">
      <c r="I1999" s="5">
        <f>IF(OR(A1999="",B1999=""),"",B1999-WEEKDAY(B1999,2)+1)</f>
        <v/>
      </c>
      <c r="J1999" s="5">
        <f>IF(I1999="","",I1999+6)</f>
        <v/>
      </c>
      <c r="K1999" s="6">
        <f>IF(OR(A1999="",B1999=""),"",DATE(YEAR(B1999),MONTH(B1999),1))</f>
        <v/>
      </c>
      <c r="L1999" s="7">
        <f>IF(COUNTA(A1999,B1999)=0,"",IF(OR(A1999="",B1999=""),"Preencher CPF e entrada",IF(COUNTIFS($A$12:$A$5011,A1999,$B$12:$B$5011,B1999)&gt;1,"CPF + dia duplicado",IF(OR(AND(E1999&lt;&gt;"",E1999&lt;B1999),AND(F1999&lt;&gt;"",F1999&lt;B1999)),"Evento anterior à entrada",IF(AND(F1999&lt;&gt;"",E1999=""),"Conversa sem agendamento",IF(OR(E1999&gt;TODAY(),F1999&gt;TODAY()),"Verificar evento futuro","OK"))))))</f>
        <v/>
      </c>
    </row>
    <row r="2000" spans="9:12">
      <c r="I2000" s="5">
        <f>IF(OR(A2000="",B2000=""),"",B2000-WEEKDAY(B2000,2)+1)</f>
        <v/>
      </c>
      <c r="J2000" s="5">
        <f>IF(I2000="","",I2000+6)</f>
        <v/>
      </c>
      <c r="K2000" s="6">
        <f>IF(OR(A2000="",B2000=""),"",DATE(YEAR(B2000),MONTH(B2000),1))</f>
        <v/>
      </c>
      <c r="L2000" s="7">
        <f>IF(COUNTA(A2000,B2000)=0,"",IF(OR(A2000="",B2000=""),"Preencher CPF e entrada",IF(COUNTIFS($A$12:$A$5011,A2000,$B$12:$B$5011,B2000)&gt;1,"CPF + dia duplicado",IF(OR(AND(E2000&lt;&gt;"",E2000&lt;B2000),AND(F2000&lt;&gt;"",F2000&lt;B2000)),"Evento anterior à entrada",IF(AND(F2000&lt;&gt;"",E2000=""),"Conversa sem agendamento",IF(OR(E2000&gt;TODAY(),F2000&gt;TODAY()),"Verificar evento futuro","OK"))))))</f>
        <v/>
      </c>
    </row>
    <row r="2001" spans="9:12">
      <c r="I2001" s="5">
        <f>IF(OR(A2001="",B2001=""),"",B2001-WEEKDAY(B2001,2)+1)</f>
        <v/>
      </c>
      <c r="J2001" s="5">
        <f>IF(I2001="","",I2001+6)</f>
        <v/>
      </c>
      <c r="K2001" s="6">
        <f>IF(OR(A2001="",B2001=""),"",DATE(YEAR(B2001),MONTH(B2001),1))</f>
        <v/>
      </c>
      <c r="L2001" s="7">
        <f>IF(COUNTA(A2001,B2001)=0,"",IF(OR(A2001="",B2001=""),"Preencher CPF e entrada",IF(COUNTIFS($A$12:$A$5011,A2001,$B$12:$B$5011,B2001)&gt;1,"CPF + dia duplicado",IF(OR(AND(E2001&lt;&gt;"",E2001&lt;B2001),AND(F2001&lt;&gt;"",F2001&lt;B2001)),"Evento anterior à entrada",IF(AND(F2001&lt;&gt;"",E2001=""),"Conversa sem agendamento",IF(OR(E2001&gt;TODAY(),F2001&gt;TODAY()),"Verificar evento futuro","OK"))))))</f>
        <v/>
      </c>
    </row>
    <row r="2002" spans="9:12">
      <c r="I2002" s="5">
        <f>IF(OR(A2002="",B2002=""),"",B2002-WEEKDAY(B2002,2)+1)</f>
        <v/>
      </c>
      <c r="J2002" s="5">
        <f>IF(I2002="","",I2002+6)</f>
        <v/>
      </c>
      <c r="K2002" s="6">
        <f>IF(OR(A2002="",B2002=""),"",DATE(YEAR(B2002),MONTH(B2002),1))</f>
        <v/>
      </c>
      <c r="L2002" s="7">
        <f>IF(COUNTA(A2002,B2002)=0,"",IF(OR(A2002="",B2002=""),"Preencher CPF e entrada",IF(COUNTIFS($A$12:$A$5011,A2002,$B$12:$B$5011,B2002)&gt;1,"CPF + dia duplicado",IF(OR(AND(E2002&lt;&gt;"",E2002&lt;B2002),AND(F2002&lt;&gt;"",F2002&lt;B2002)),"Evento anterior à entrada",IF(AND(F2002&lt;&gt;"",E2002=""),"Conversa sem agendamento",IF(OR(E2002&gt;TODAY(),F2002&gt;TODAY()),"Verificar evento futuro","OK"))))))</f>
        <v/>
      </c>
    </row>
    <row r="2003" spans="9:12">
      <c r="I2003" s="5">
        <f>IF(OR(A2003="",B2003=""),"",B2003-WEEKDAY(B2003,2)+1)</f>
        <v/>
      </c>
      <c r="J2003" s="5">
        <f>IF(I2003="","",I2003+6)</f>
        <v/>
      </c>
      <c r="K2003" s="6">
        <f>IF(OR(A2003="",B2003=""),"",DATE(YEAR(B2003),MONTH(B2003),1))</f>
        <v/>
      </c>
      <c r="L2003" s="7">
        <f>IF(COUNTA(A2003,B2003)=0,"",IF(OR(A2003="",B2003=""),"Preencher CPF e entrada",IF(COUNTIFS($A$12:$A$5011,A2003,$B$12:$B$5011,B2003)&gt;1,"CPF + dia duplicado",IF(OR(AND(E2003&lt;&gt;"",E2003&lt;B2003),AND(F2003&lt;&gt;"",F2003&lt;B2003)),"Evento anterior à entrada",IF(AND(F2003&lt;&gt;"",E2003=""),"Conversa sem agendamento",IF(OR(E2003&gt;TODAY(),F2003&gt;TODAY()),"Verificar evento futuro","OK"))))))</f>
        <v/>
      </c>
    </row>
    <row r="2004" spans="9:12">
      <c r="I2004" s="5">
        <f>IF(OR(A2004="",B2004=""),"",B2004-WEEKDAY(B2004,2)+1)</f>
        <v/>
      </c>
      <c r="J2004" s="5">
        <f>IF(I2004="","",I2004+6)</f>
        <v/>
      </c>
      <c r="K2004" s="6">
        <f>IF(OR(A2004="",B2004=""),"",DATE(YEAR(B2004),MONTH(B2004),1))</f>
        <v/>
      </c>
      <c r="L2004" s="7">
        <f>IF(COUNTA(A2004,B2004)=0,"",IF(OR(A2004="",B2004=""),"Preencher CPF e entrada",IF(COUNTIFS($A$12:$A$5011,A2004,$B$12:$B$5011,B2004)&gt;1,"CPF + dia duplicado",IF(OR(AND(E2004&lt;&gt;"",E2004&lt;B2004),AND(F2004&lt;&gt;"",F2004&lt;B2004)),"Evento anterior à entrada",IF(AND(F2004&lt;&gt;"",E2004=""),"Conversa sem agendamento",IF(OR(E2004&gt;TODAY(),F2004&gt;TODAY()),"Verificar evento futuro","OK"))))))</f>
        <v/>
      </c>
    </row>
    <row r="2005" spans="9:12">
      <c r="I2005" s="5">
        <f>IF(OR(A2005="",B2005=""),"",B2005-WEEKDAY(B2005,2)+1)</f>
        <v/>
      </c>
      <c r="J2005" s="5">
        <f>IF(I2005="","",I2005+6)</f>
        <v/>
      </c>
      <c r="K2005" s="6">
        <f>IF(OR(A2005="",B2005=""),"",DATE(YEAR(B2005),MONTH(B2005),1))</f>
        <v/>
      </c>
      <c r="L2005" s="7">
        <f>IF(COUNTA(A2005,B2005)=0,"",IF(OR(A2005="",B2005=""),"Preencher CPF e entrada",IF(COUNTIFS($A$12:$A$5011,A2005,$B$12:$B$5011,B2005)&gt;1,"CPF + dia duplicado",IF(OR(AND(E2005&lt;&gt;"",E2005&lt;B2005),AND(F2005&lt;&gt;"",F2005&lt;B2005)),"Evento anterior à entrada",IF(AND(F2005&lt;&gt;"",E2005=""),"Conversa sem agendamento",IF(OR(E2005&gt;TODAY(),F2005&gt;TODAY()),"Verificar evento futuro","OK"))))))</f>
        <v/>
      </c>
    </row>
    <row r="2006" spans="9:12">
      <c r="I2006" s="5">
        <f>IF(OR(A2006="",B2006=""),"",B2006-WEEKDAY(B2006,2)+1)</f>
        <v/>
      </c>
      <c r="J2006" s="5">
        <f>IF(I2006="","",I2006+6)</f>
        <v/>
      </c>
      <c r="K2006" s="6">
        <f>IF(OR(A2006="",B2006=""),"",DATE(YEAR(B2006),MONTH(B2006),1))</f>
        <v/>
      </c>
      <c r="L2006" s="7">
        <f>IF(COUNTA(A2006,B2006)=0,"",IF(OR(A2006="",B2006=""),"Preencher CPF e entrada",IF(COUNTIFS($A$12:$A$5011,A2006,$B$12:$B$5011,B2006)&gt;1,"CPF + dia duplicado",IF(OR(AND(E2006&lt;&gt;"",E2006&lt;B2006),AND(F2006&lt;&gt;"",F2006&lt;B2006)),"Evento anterior à entrada",IF(AND(F2006&lt;&gt;"",E2006=""),"Conversa sem agendamento",IF(OR(E2006&gt;TODAY(),F2006&gt;TODAY()),"Verificar evento futuro","OK"))))))</f>
        <v/>
      </c>
    </row>
    <row r="2007" spans="9:12">
      <c r="I2007" s="5">
        <f>IF(OR(A2007="",B2007=""),"",B2007-WEEKDAY(B2007,2)+1)</f>
        <v/>
      </c>
      <c r="J2007" s="5">
        <f>IF(I2007="","",I2007+6)</f>
        <v/>
      </c>
      <c r="K2007" s="6">
        <f>IF(OR(A2007="",B2007=""),"",DATE(YEAR(B2007),MONTH(B2007),1))</f>
        <v/>
      </c>
      <c r="L2007" s="7">
        <f>IF(COUNTA(A2007,B2007)=0,"",IF(OR(A2007="",B2007=""),"Preencher CPF e entrada",IF(COUNTIFS($A$12:$A$5011,A2007,$B$12:$B$5011,B2007)&gt;1,"CPF + dia duplicado",IF(OR(AND(E2007&lt;&gt;"",E2007&lt;B2007),AND(F2007&lt;&gt;"",F2007&lt;B2007)),"Evento anterior à entrada",IF(AND(F2007&lt;&gt;"",E2007=""),"Conversa sem agendamento",IF(OR(E2007&gt;TODAY(),F2007&gt;TODAY()),"Verificar evento futuro","OK"))))))</f>
        <v/>
      </c>
    </row>
    <row r="2008" spans="9:12">
      <c r="I2008" s="5">
        <f>IF(OR(A2008="",B2008=""),"",B2008-WEEKDAY(B2008,2)+1)</f>
        <v/>
      </c>
      <c r="J2008" s="5">
        <f>IF(I2008="","",I2008+6)</f>
        <v/>
      </c>
      <c r="K2008" s="6">
        <f>IF(OR(A2008="",B2008=""),"",DATE(YEAR(B2008),MONTH(B2008),1))</f>
        <v/>
      </c>
      <c r="L2008" s="7">
        <f>IF(COUNTA(A2008,B2008)=0,"",IF(OR(A2008="",B2008=""),"Preencher CPF e entrada",IF(COUNTIFS($A$12:$A$5011,A2008,$B$12:$B$5011,B2008)&gt;1,"CPF + dia duplicado",IF(OR(AND(E2008&lt;&gt;"",E2008&lt;B2008),AND(F2008&lt;&gt;"",F2008&lt;B2008)),"Evento anterior à entrada",IF(AND(F2008&lt;&gt;"",E2008=""),"Conversa sem agendamento",IF(OR(E2008&gt;TODAY(),F2008&gt;TODAY()),"Verificar evento futuro","OK"))))))</f>
        <v/>
      </c>
    </row>
    <row r="2009" spans="9:12">
      <c r="I2009" s="5">
        <f>IF(OR(A2009="",B2009=""),"",B2009-WEEKDAY(B2009,2)+1)</f>
        <v/>
      </c>
      <c r="J2009" s="5">
        <f>IF(I2009="","",I2009+6)</f>
        <v/>
      </c>
      <c r="K2009" s="6">
        <f>IF(OR(A2009="",B2009=""),"",DATE(YEAR(B2009),MONTH(B2009),1))</f>
        <v/>
      </c>
      <c r="L2009" s="7">
        <f>IF(COUNTA(A2009,B2009)=0,"",IF(OR(A2009="",B2009=""),"Preencher CPF e entrada",IF(COUNTIFS($A$12:$A$5011,A2009,$B$12:$B$5011,B2009)&gt;1,"CPF + dia duplicado",IF(OR(AND(E2009&lt;&gt;"",E2009&lt;B2009),AND(F2009&lt;&gt;"",F2009&lt;B2009)),"Evento anterior à entrada",IF(AND(F2009&lt;&gt;"",E2009=""),"Conversa sem agendamento",IF(OR(E2009&gt;TODAY(),F2009&gt;TODAY()),"Verificar evento futuro","OK"))))))</f>
        <v/>
      </c>
    </row>
    <row r="2010" spans="9:12">
      <c r="I2010" s="5">
        <f>IF(OR(A2010="",B2010=""),"",B2010-WEEKDAY(B2010,2)+1)</f>
        <v/>
      </c>
      <c r="J2010" s="5">
        <f>IF(I2010="","",I2010+6)</f>
        <v/>
      </c>
      <c r="K2010" s="6">
        <f>IF(OR(A2010="",B2010=""),"",DATE(YEAR(B2010),MONTH(B2010),1))</f>
        <v/>
      </c>
      <c r="L2010" s="7">
        <f>IF(COUNTA(A2010,B2010)=0,"",IF(OR(A2010="",B2010=""),"Preencher CPF e entrada",IF(COUNTIFS($A$12:$A$5011,A2010,$B$12:$B$5011,B2010)&gt;1,"CPF + dia duplicado",IF(OR(AND(E2010&lt;&gt;"",E2010&lt;B2010),AND(F2010&lt;&gt;"",F2010&lt;B2010)),"Evento anterior à entrada",IF(AND(F2010&lt;&gt;"",E2010=""),"Conversa sem agendamento",IF(OR(E2010&gt;TODAY(),F2010&gt;TODAY()),"Verificar evento futuro","OK"))))))</f>
        <v/>
      </c>
    </row>
    <row r="2011" spans="9:12">
      <c r="I2011" s="5">
        <f>IF(OR(A2011="",B2011=""),"",B2011-WEEKDAY(B2011,2)+1)</f>
        <v/>
      </c>
      <c r="J2011" s="5">
        <f>IF(I2011="","",I2011+6)</f>
        <v/>
      </c>
      <c r="K2011" s="6">
        <f>IF(OR(A2011="",B2011=""),"",DATE(YEAR(B2011),MONTH(B2011),1))</f>
        <v/>
      </c>
      <c r="L2011" s="7">
        <f>IF(COUNTA(A2011,B2011)=0,"",IF(OR(A2011="",B2011=""),"Preencher CPF e entrada",IF(COUNTIFS($A$12:$A$5011,A2011,$B$12:$B$5011,B2011)&gt;1,"CPF + dia duplicado",IF(OR(AND(E2011&lt;&gt;"",E2011&lt;B2011),AND(F2011&lt;&gt;"",F2011&lt;B2011)),"Evento anterior à entrada",IF(AND(F2011&lt;&gt;"",E2011=""),"Conversa sem agendamento",IF(OR(E2011&gt;TODAY(),F2011&gt;TODAY()),"Verificar evento futuro","OK"))))))</f>
        <v/>
      </c>
    </row>
    <row r="2012" spans="9:12">
      <c r="I2012" s="5">
        <f>IF(OR(A2012="",B2012=""),"",B2012-WEEKDAY(B2012,2)+1)</f>
        <v/>
      </c>
      <c r="J2012" s="5">
        <f>IF(I2012="","",I2012+6)</f>
        <v/>
      </c>
      <c r="K2012" s="6">
        <f>IF(OR(A2012="",B2012=""),"",DATE(YEAR(B2012),MONTH(B2012),1))</f>
        <v/>
      </c>
      <c r="L2012" s="7">
        <f>IF(COUNTA(A2012,B2012)=0,"",IF(OR(A2012="",B2012=""),"Preencher CPF e entrada",IF(COUNTIFS($A$12:$A$5011,A2012,$B$12:$B$5011,B2012)&gt;1,"CPF + dia duplicado",IF(OR(AND(E2012&lt;&gt;"",E2012&lt;B2012),AND(F2012&lt;&gt;"",F2012&lt;B2012)),"Evento anterior à entrada",IF(AND(F2012&lt;&gt;"",E2012=""),"Conversa sem agendamento",IF(OR(E2012&gt;TODAY(),F2012&gt;TODAY()),"Verificar evento futuro","OK"))))))</f>
        <v/>
      </c>
    </row>
    <row r="2013" spans="9:12">
      <c r="I2013" s="5">
        <f>IF(OR(A2013="",B2013=""),"",B2013-WEEKDAY(B2013,2)+1)</f>
        <v/>
      </c>
      <c r="J2013" s="5">
        <f>IF(I2013="","",I2013+6)</f>
        <v/>
      </c>
      <c r="K2013" s="6">
        <f>IF(OR(A2013="",B2013=""),"",DATE(YEAR(B2013),MONTH(B2013),1))</f>
        <v/>
      </c>
      <c r="L2013" s="7">
        <f>IF(COUNTA(A2013,B2013)=0,"",IF(OR(A2013="",B2013=""),"Preencher CPF e entrada",IF(COUNTIFS($A$12:$A$5011,A2013,$B$12:$B$5011,B2013)&gt;1,"CPF + dia duplicado",IF(OR(AND(E2013&lt;&gt;"",E2013&lt;B2013),AND(F2013&lt;&gt;"",F2013&lt;B2013)),"Evento anterior à entrada",IF(AND(F2013&lt;&gt;"",E2013=""),"Conversa sem agendamento",IF(OR(E2013&gt;TODAY(),F2013&gt;TODAY()),"Verificar evento futuro","OK"))))))</f>
        <v/>
      </c>
    </row>
    <row r="2014" spans="9:12">
      <c r="I2014" s="5">
        <f>IF(OR(A2014="",B2014=""),"",B2014-WEEKDAY(B2014,2)+1)</f>
        <v/>
      </c>
      <c r="J2014" s="5">
        <f>IF(I2014="","",I2014+6)</f>
        <v/>
      </c>
      <c r="K2014" s="6">
        <f>IF(OR(A2014="",B2014=""),"",DATE(YEAR(B2014),MONTH(B2014),1))</f>
        <v/>
      </c>
      <c r="L2014" s="7">
        <f>IF(COUNTA(A2014,B2014)=0,"",IF(OR(A2014="",B2014=""),"Preencher CPF e entrada",IF(COUNTIFS($A$12:$A$5011,A2014,$B$12:$B$5011,B2014)&gt;1,"CPF + dia duplicado",IF(OR(AND(E2014&lt;&gt;"",E2014&lt;B2014),AND(F2014&lt;&gt;"",F2014&lt;B2014)),"Evento anterior à entrada",IF(AND(F2014&lt;&gt;"",E2014=""),"Conversa sem agendamento",IF(OR(E2014&gt;TODAY(),F2014&gt;TODAY()),"Verificar evento futuro","OK"))))))</f>
        <v/>
      </c>
    </row>
    <row r="2015" spans="9:12">
      <c r="I2015" s="5">
        <f>IF(OR(A2015="",B2015=""),"",B2015-WEEKDAY(B2015,2)+1)</f>
        <v/>
      </c>
      <c r="J2015" s="5">
        <f>IF(I2015="","",I2015+6)</f>
        <v/>
      </c>
      <c r="K2015" s="6">
        <f>IF(OR(A2015="",B2015=""),"",DATE(YEAR(B2015),MONTH(B2015),1))</f>
        <v/>
      </c>
      <c r="L2015" s="7">
        <f>IF(COUNTA(A2015,B2015)=0,"",IF(OR(A2015="",B2015=""),"Preencher CPF e entrada",IF(COUNTIFS($A$12:$A$5011,A2015,$B$12:$B$5011,B2015)&gt;1,"CPF + dia duplicado",IF(OR(AND(E2015&lt;&gt;"",E2015&lt;B2015),AND(F2015&lt;&gt;"",F2015&lt;B2015)),"Evento anterior à entrada",IF(AND(F2015&lt;&gt;"",E2015=""),"Conversa sem agendamento",IF(OR(E2015&gt;TODAY(),F2015&gt;TODAY()),"Verificar evento futuro","OK"))))))</f>
        <v/>
      </c>
    </row>
    <row r="2016" spans="9:12">
      <c r="I2016" s="5">
        <f>IF(OR(A2016="",B2016=""),"",B2016-WEEKDAY(B2016,2)+1)</f>
        <v/>
      </c>
      <c r="J2016" s="5">
        <f>IF(I2016="","",I2016+6)</f>
        <v/>
      </c>
      <c r="K2016" s="6">
        <f>IF(OR(A2016="",B2016=""),"",DATE(YEAR(B2016),MONTH(B2016),1))</f>
        <v/>
      </c>
      <c r="L2016" s="7">
        <f>IF(COUNTA(A2016,B2016)=0,"",IF(OR(A2016="",B2016=""),"Preencher CPF e entrada",IF(COUNTIFS($A$12:$A$5011,A2016,$B$12:$B$5011,B2016)&gt;1,"CPF + dia duplicado",IF(OR(AND(E2016&lt;&gt;"",E2016&lt;B2016),AND(F2016&lt;&gt;"",F2016&lt;B2016)),"Evento anterior à entrada",IF(AND(F2016&lt;&gt;"",E2016=""),"Conversa sem agendamento",IF(OR(E2016&gt;TODAY(),F2016&gt;TODAY()),"Verificar evento futuro","OK"))))))</f>
        <v/>
      </c>
    </row>
    <row r="2017" spans="9:12">
      <c r="I2017" s="5">
        <f>IF(OR(A2017="",B2017=""),"",B2017-WEEKDAY(B2017,2)+1)</f>
        <v/>
      </c>
      <c r="J2017" s="5">
        <f>IF(I2017="","",I2017+6)</f>
        <v/>
      </c>
      <c r="K2017" s="6">
        <f>IF(OR(A2017="",B2017=""),"",DATE(YEAR(B2017),MONTH(B2017),1))</f>
        <v/>
      </c>
      <c r="L2017" s="7">
        <f>IF(COUNTA(A2017,B2017)=0,"",IF(OR(A2017="",B2017=""),"Preencher CPF e entrada",IF(COUNTIFS($A$12:$A$5011,A2017,$B$12:$B$5011,B2017)&gt;1,"CPF + dia duplicado",IF(OR(AND(E2017&lt;&gt;"",E2017&lt;B2017),AND(F2017&lt;&gt;"",F2017&lt;B2017)),"Evento anterior à entrada",IF(AND(F2017&lt;&gt;"",E2017=""),"Conversa sem agendamento",IF(OR(E2017&gt;TODAY(),F2017&gt;TODAY()),"Verificar evento futuro","OK"))))))</f>
        <v/>
      </c>
    </row>
    <row r="2018" spans="9:12">
      <c r="I2018" s="5">
        <f>IF(OR(A2018="",B2018=""),"",B2018-WEEKDAY(B2018,2)+1)</f>
        <v/>
      </c>
      <c r="J2018" s="5">
        <f>IF(I2018="","",I2018+6)</f>
        <v/>
      </c>
      <c r="K2018" s="6">
        <f>IF(OR(A2018="",B2018=""),"",DATE(YEAR(B2018),MONTH(B2018),1))</f>
        <v/>
      </c>
      <c r="L2018" s="7">
        <f>IF(COUNTA(A2018,B2018)=0,"",IF(OR(A2018="",B2018=""),"Preencher CPF e entrada",IF(COUNTIFS($A$12:$A$5011,A2018,$B$12:$B$5011,B2018)&gt;1,"CPF + dia duplicado",IF(OR(AND(E2018&lt;&gt;"",E2018&lt;B2018),AND(F2018&lt;&gt;"",F2018&lt;B2018)),"Evento anterior à entrada",IF(AND(F2018&lt;&gt;"",E2018=""),"Conversa sem agendamento",IF(OR(E2018&gt;TODAY(),F2018&gt;TODAY()),"Verificar evento futuro","OK"))))))</f>
        <v/>
      </c>
    </row>
    <row r="2019" spans="9:12">
      <c r="I2019" s="5">
        <f>IF(OR(A2019="",B2019=""),"",B2019-WEEKDAY(B2019,2)+1)</f>
        <v/>
      </c>
      <c r="J2019" s="5">
        <f>IF(I2019="","",I2019+6)</f>
        <v/>
      </c>
      <c r="K2019" s="6">
        <f>IF(OR(A2019="",B2019=""),"",DATE(YEAR(B2019),MONTH(B2019),1))</f>
        <v/>
      </c>
      <c r="L2019" s="7">
        <f>IF(COUNTA(A2019,B2019)=0,"",IF(OR(A2019="",B2019=""),"Preencher CPF e entrada",IF(COUNTIFS($A$12:$A$5011,A2019,$B$12:$B$5011,B2019)&gt;1,"CPF + dia duplicado",IF(OR(AND(E2019&lt;&gt;"",E2019&lt;B2019),AND(F2019&lt;&gt;"",F2019&lt;B2019)),"Evento anterior à entrada",IF(AND(F2019&lt;&gt;"",E2019=""),"Conversa sem agendamento",IF(OR(E2019&gt;TODAY(),F2019&gt;TODAY()),"Verificar evento futuro","OK"))))))</f>
        <v/>
      </c>
    </row>
    <row r="2020" spans="9:12">
      <c r="I2020" s="5">
        <f>IF(OR(A2020="",B2020=""),"",B2020-WEEKDAY(B2020,2)+1)</f>
        <v/>
      </c>
      <c r="J2020" s="5">
        <f>IF(I2020="","",I2020+6)</f>
        <v/>
      </c>
      <c r="K2020" s="6">
        <f>IF(OR(A2020="",B2020=""),"",DATE(YEAR(B2020),MONTH(B2020),1))</f>
        <v/>
      </c>
      <c r="L2020" s="7">
        <f>IF(COUNTA(A2020,B2020)=0,"",IF(OR(A2020="",B2020=""),"Preencher CPF e entrada",IF(COUNTIFS($A$12:$A$5011,A2020,$B$12:$B$5011,B2020)&gt;1,"CPF + dia duplicado",IF(OR(AND(E2020&lt;&gt;"",E2020&lt;B2020),AND(F2020&lt;&gt;"",F2020&lt;B2020)),"Evento anterior à entrada",IF(AND(F2020&lt;&gt;"",E2020=""),"Conversa sem agendamento",IF(OR(E2020&gt;TODAY(),F2020&gt;TODAY()),"Verificar evento futuro","OK"))))))</f>
        <v/>
      </c>
    </row>
    <row r="2021" spans="9:12">
      <c r="I2021" s="5">
        <f>IF(OR(A2021="",B2021=""),"",B2021-WEEKDAY(B2021,2)+1)</f>
        <v/>
      </c>
      <c r="J2021" s="5">
        <f>IF(I2021="","",I2021+6)</f>
        <v/>
      </c>
      <c r="K2021" s="6">
        <f>IF(OR(A2021="",B2021=""),"",DATE(YEAR(B2021),MONTH(B2021),1))</f>
        <v/>
      </c>
      <c r="L2021" s="7">
        <f>IF(COUNTA(A2021,B2021)=0,"",IF(OR(A2021="",B2021=""),"Preencher CPF e entrada",IF(COUNTIFS($A$12:$A$5011,A2021,$B$12:$B$5011,B2021)&gt;1,"CPF + dia duplicado",IF(OR(AND(E2021&lt;&gt;"",E2021&lt;B2021),AND(F2021&lt;&gt;"",F2021&lt;B2021)),"Evento anterior à entrada",IF(AND(F2021&lt;&gt;"",E2021=""),"Conversa sem agendamento",IF(OR(E2021&gt;TODAY(),F2021&gt;TODAY()),"Verificar evento futuro","OK"))))))</f>
        <v/>
      </c>
    </row>
    <row r="2022" spans="9:12">
      <c r="I2022" s="5">
        <f>IF(OR(A2022="",B2022=""),"",B2022-WEEKDAY(B2022,2)+1)</f>
        <v/>
      </c>
      <c r="J2022" s="5">
        <f>IF(I2022="","",I2022+6)</f>
        <v/>
      </c>
      <c r="K2022" s="6">
        <f>IF(OR(A2022="",B2022=""),"",DATE(YEAR(B2022),MONTH(B2022),1))</f>
        <v/>
      </c>
      <c r="L2022" s="7">
        <f>IF(COUNTA(A2022,B2022)=0,"",IF(OR(A2022="",B2022=""),"Preencher CPF e entrada",IF(COUNTIFS($A$12:$A$5011,A2022,$B$12:$B$5011,B2022)&gt;1,"CPF + dia duplicado",IF(OR(AND(E2022&lt;&gt;"",E2022&lt;B2022),AND(F2022&lt;&gt;"",F2022&lt;B2022)),"Evento anterior à entrada",IF(AND(F2022&lt;&gt;"",E2022=""),"Conversa sem agendamento",IF(OR(E2022&gt;TODAY(),F2022&gt;TODAY()),"Verificar evento futuro","OK"))))))</f>
        <v/>
      </c>
    </row>
    <row r="2023" spans="9:12">
      <c r="I2023" s="5">
        <f>IF(OR(A2023="",B2023=""),"",B2023-WEEKDAY(B2023,2)+1)</f>
        <v/>
      </c>
      <c r="J2023" s="5">
        <f>IF(I2023="","",I2023+6)</f>
        <v/>
      </c>
      <c r="K2023" s="6">
        <f>IF(OR(A2023="",B2023=""),"",DATE(YEAR(B2023),MONTH(B2023),1))</f>
        <v/>
      </c>
      <c r="L2023" s="7">
        <f>IF(COUNTA(A2023,B2023)=0,"",IF(OR(A2023="",B2023=""),"Preencher CPF e entrada",IF(COUNTIFS($A$12:$A$5011,A2023,$B$12:$B$5011,B2023)&gt;1,"CPF + dia duplicado",IF(OR(AND(E2023&lt;&gt;"",E2023&lt;B2023),AND(F2023&lt;&gt;"",F2023&lt;B2023)),"Evento anterior à entrada",IF(AND(F2023&lt;&gt;"",E2023=""),"Conversa sem agendamento",IF(OR(E2023&gt;TODAY(),F2023&gt;TODAY()),"Verificar evento futuro","OK"))))))</f>
        <v/>
      </c>
    </row>
    <row r="2024" spans="9:12">
      <c r="I2024" s="5">
        <f>IF(OR(A2024="",B2024=""),"",B2024-WEEKDAY(B2024,2)+1)</f>
        <v/>
      </c>
      <c r="J2024" s="5">
        <f>IF(I2024="","",I2024+6)</f>
        <v/>
      </c>
      <c r="K2024" s="6">
        <f>IF(OR(A2024="",B2024=""),"",DATE(YEAR(B2024),MONTH(B2024),1))</f>
        <v/>
      </c>
      <c r="L2024" s="7">
        <f>IF(COUNTA(A2024,B2024)=0,"",IF(OR(A2024="",B2024=""),"Preencher CPF e entrada",IF(COUNTIFS($A$12:$A$5011,A2024,$B$12:$B$5011,B2024)&gt;1,"CPF + dia duplicado",IF(OR(AND(E2024&lt;&gt;"",E2024&lt;B2024),AND(F2024&lt;&gt;"",F2024&lt;B2024)),"Evento anterior à entrada",IF(AND(F2024&lt;&gt;"",E2024=""),"Conversa sem agendamento",IF(OR(E2024&gt;TODAY(),F2024&gt;TODAY()),"Verificar evento futuro","OK"))))))</f>
        <v/>
      </c>
    </row>
    <row r="2025" spans="9:12">
      <c r="I2025" s="5">
        <f>IF(OR(A2025="",B2025=""),"",B2025-WEEKDAY(B2025,2)+1)</f>
        <v/>
      </c>
      <c r="J2025" s="5">
        <f>IF(I2025="","",I2025+6)</f>
        <v/>
      </c>
      <c r="K2025" s="6">
        <f>IF(OR(A2025="",B2025=""),"",DATE(YEAR(B2025),MONTH(B2025),1))</f>
        <v/>
      </c>
      <c r="L2025" s="7">
        <f>IF(COUNTA(A2025,B2025)=0,"",IF(OR(A2025="",B2025=""),"Preencher CPF e entrada",IF(COUNTIFS($A$12:$A$5011,A2025,$B$12:$B$5011,B2025)&gt;1,"CPF + dia duplicado",IF(OR(AND(E2025&lt;&gt;"",E2025&lt;B2025),AND(F2025&lt;&gt;"",F2025&lt;B2025)),"Evento anterior à entrada",IF(AND(F2025&lt;&gt;"",E2025=""),"Conversa sem agendamento",IF(OR(E2025&gt;TODAY(),F2025&gt;TODAY()),"Verificar evento futuro","OK"))))))</f>
        <v/>
      </c>
    </row>
    <row r="2026" spans="9:12">
      <c r="I2026" s="5">
        <f>IF(OR(A2026="",B2026=""),"",B2026-WEEKDAY(B2026,2)+1)</f>
        <v/>
      </c>
      <c r="J2026" s="5">
        <f>IF(I2026="","",I2026+6)</f>
        <v/>
      </c>
      <c r="K2026" s="6">
        <f>IF(OR(A2026="",B2026=""),"",DATE(YEAR(B2026),MONTH(B2026),1))</f>
        <v/>
      </c>
      <c r="L2026" s="7">
        <f>IF(COUNTA(A2026,B2026)=0,"",IF(OR(A2026="",B2026=""),"Preencher CPF e entrada",IF(COUNTIFS($A$12:$A$5011,A2026,$B$12:$B$5011,B2026)&gt;1,"CPF + dia duplicado",IF(OR(AND(E2026&lt;&gt;"",E2026&lt;B2026),AND(F2026&lt;&gt;"",F2026&lt;B2026)),"Evento anterior à entrada",IF(AND(F2026&lt;&gt;"",E2026=""),"Conversa sem agendamento",IF(OR(E2026&gt;TODAY(),F2026&gt;TODAY()),"Verificar evento futuro","OK"))))))</f>
        <v/>
      </c>
    </row>
    <row r="2027" spans="9:12">
      <c r="I2027" s="5">
        <f>IF(OR(A2027="",B2027=""),"",B2027-WEEKDAY(B2027,2)+1)</f>
        <v/>
      </c>
      <c r="J2027" s="5">
        <f>IF(I2027="","",I2027+6)</f>
        <v/>
      </c>
      <c r="K2027" s="6">
        <f>IF(OR(A2027="",B2027=""),"",DATE(YEAR(B2027),MONTH(B2027),1))</f>
        <v/>
      </c>
      <c r="L2027" s="7">
        <f>IF(COUNTA(A2027,B2027)=0,"",IF(OR(A2027="",B2027=""),"Preencher CPF e entrada",IF(COUNTIFS($A$12:$A$5011,A2027,$B$12:$B$5011,B2027)&gt;1,"CPF + dia duplicado",IF(OR(AND(E2027&lt;&gt;"",E2027&lt;B2027),AND(F2027&lt;&gt;"",F2027&lt;B2027)),"Evento anterior à entrada",IF(AND(F2027&lt;&gt;"",E2027=""),"Conversa sem agendamento",IF(OR(E2027&gt;TODAY(),F2027&gt;TODAY()),"Verificar evento futuro","OK"))))))</f>
        <v/>
      </c>
    </row>
    <row r="2028" spans="9:12">
      <c r="I2028" s="5">
        <f>IF(OR(A2028="",B2028=""),"",B2028-WEEKDAY(B2028,2)+1)</f>
        <v/>
      </c>
      <c r="J2028" s="5">
        <f>IF(I2028="","",I2028+6)</f>
        <v/>
      </c>
      <c r="K2028" s="6">
        <f>IF(OR(A2028="",B2028=""),"",DATE(YEAR(B2028),MONTH(B2028),1))</f>
        <v/>
      </c>
      <c r="L2028" s="7">
        <f>IF(COUNTA(A2028,B2028)=0,"",IF(OR(A2028="",B2028=""),"Preencher CPF e entrada",IF(COUNTIFS($A$12:$A$5011,A2028,$B$12:$B$5011,B2028)&gt;1,"CPF + dia duplicado",IF(OR(AND(E2028&lt;&gt;"",E2028&lt;B2028),AND(F2028&lt;&gt;"",F2028&lt;B2028)),"Evento anterior à entrada",IF(AND(F2028&lt;&gt;"",E2028=""),"Conversa sem agendamento",IF(OR(E2028&gt;TODAY(),F2028&gt;TODAY()),"Verificar evento futuro","OK"))))))</f>
        <v/>
      </c>
    </row>
    <row r="2029" spans="9:12">
      <c r="I2029" s="5">
        <f>IF(OR(A2029="",B2029=""),"",B2029-WEEKDAY(B2029,2)+1)</f>
        <v/>
      </c>
      <c r="J2029" s="5">
        <f>IF(I2029="","",I2029+6)</f>
        <v/>
      </c>
      <c r="K2029" s="6">
        <f>IF(OR(A2029="",B2029=""),"",DATE(YEAR(B2029),MONTH(B2029),1))</f>
        <v/>
      </c>
      <c r="L2029" s="7">
        <f>IF(COUNTA(A2029,B2029)=0,"",IF(OR(A2029="",B2029=""),"Preencher CPF e entrada",IF(COUNTIFS($A$12:$A$5011,A2029,$B$12:$B$5011,B2029)&gt;1,"CPF + dia duplicado",IF(OR(AND(E2029&lt;&gt;"",E2029&lt;B2029),AND(F2029&lt;&gt;"",F2029&lt;B2029)),"Evento anterior à entrada",IF(AND(F2029&lt;&gt;"",E2029=""),"Conversa sem agendamento",IF(OR(E2029&gt;TODAY(),F2029&gt;TODAY()),"Verificar evento futuro","OK"))))))</f>
        <v/>
      </c>
    </row>
    <row r="2030" spans="9:12">
      <c r="I2030" s="5">
        <f>IF(OR(A2030="",B2030=""),"",B2030-WEEKDAY(B2030,2)+1)</f>
        <v/>
      </c>
      <c r="J2030" s="5">
        <f>IF(I2030="","",I2030+6)</f>
        <v/>
      </c>
      <c r="K2030" s="6">
        <f>IF(OR(A2030="",B2030=""),"",DATE(YEAR(B2030),MONTH(B2030),1))</f>
        <v/>
      </c>
      <c r="L2030" s="7">
        <f>IF(COUNTA(A2030,B2030)=0,"",IF(OR(A2030="",B2030=""),"Preencher CPF e entrada",IF(COUNTIFS($A$12:$A$5011,A2030,$B$12:$B$5011,B2030)&gt;1,"CPF + dia duplicado",IF(OR(AND(E2030&lt;&gt;"",E2030&lt;B2030),AND(F2030&lt;&gt;"",F2030&lt;B2030)),"Evento anterior à entrada",IF(AND(F2030&lt;&gt;"",E2030=""),"Conversa sem agendamento",IF(OR(E2030&gt;TODAY(),F2030&gt;TODAY()),"Verificar evento futuro","OK"))))))</f>
        <v/>
      </c>
    </row>
    <row r="2031" spans="9:12">
      <c r="I2031" s="5">
        <f>IF(OR(A2031="",B2031=""),"",B2031-WEEKDAY(B2031,2)+1)</f>
        <v/>
      </c>
      <c r="J2031" s="5">
        <f>IF(I2031="","",I2031+6)</f>
        <v/>
      </c>
      <c r="K2031" s="6">
        <f>IF(OR(A2031="",B2031=""),"",DATE(YEAR(B2031),MONTH(B2031),1))</f>
        <v/>
      </c>
      <c r="L2031" s="7">
        <f>IF(COUNTA(A2031,B2031)=0,"",IF(OR(A2031="",B2031=""),"Preencher CPF e entrada",IF(COUNTIFS($A$12:$A$5011,A2031,$B$12:$B$5011,B2031)&gt;1,"CPF + dia duplicado",IF(OR(AND(E2031&lt;&gt;"",E2031&lt;B2031),AND(F2031&lt;&gt;"",F2031&lt;B2031)),"Evento anterior à entrada",IF(AND(F2031&lt;&gt;"",E2031=""),"Conversa sem agendamento",IF(OR(E2031&gt;TODAY(),F2031&gt;TODAY()),"Verificar evento futuro","OK"))))))</f>
        <v/>
      </c>
    </row>
    <row r="2032" spans="9:12">
      <c r="I2032" s="5">
        <f>IF(OR(A2032="",B2032=""),"",B2032-WEEKDAY(B2032,2)+1)</f>
        <v/>
      </c>
      <c r="J2032" s="5">
        <f>IF(I2032="","",I2032+6)</f>
        <v/>
      </c>
      <c r="K2032" s="6">
        <f>IF(OR(A2032="",B2032=""),"",DATE(YEAR(B2032),MONTH(B2032),1))</f>
        <v/>
      </c>
      <c r="L2032" s="7">
        <f>IF(COUNTA(A2032,B2032)=0,"",IF(OR(A2032="",B2032=""),"Preencher CPF e entrada",IF(COUNTIFS($A$12:$A$5011,A2032,$B$12:$B$5011,B2032)&gt;1,"CPF + dia duplicado",IF(OR(AND(E2032&lt;&gt;"",E2032&lt;B2032),AND(F2032&lt;&gt;"",F2032&lt;B2032)),"Evento anterior à entrada",IF(AND(F2032&lt;&gt;"",E2032=""),"Conversa sem agendamento",IF(OR(E2032&gt;TODAY(),F2032&gt;TODAY()),"Verificar evento futuro","OK"))))))</f>
        <v/>
      </c>
    </row>
    <row r="2033" spans="9:12">
      <c r="I2033" s="5">
        <f>IF(OR(A2033="",B2033=""),"",B2033-WEEKDAY(B2033,2)+1)</f>
        <v/>
      </c>
      <c r="J2033" s="5">
        <f>IF(I2033="","",I2033+6)</f>
        <v/>
      </c>
      <c r="K2033" s="6">
        <f>IF(OR(A2033="",B2033=""),"",DATE(YEAR(B2033),MONTH(B2033),1))</f>
        <v/>
      </c>
      <c r="L2033" s="7">
        <f>IF(COUNTA(A2033,B2033)=0,"",IF(OR(A2033="",B2033=""),"Preencher CPF e entrada",IF(COUNTIFS($A$12:$A$5011,A2033,$B$12:$B$5011,B2033)&gt;1,"CPF + dia duplicado",IF(OR(AND(E2033&lt;&gt;"",E2033&lt;B2033),AND(F2033&lt;&gt;"",F2033&lt;B2033)),"Evento anterior à entrada",IF(AND(F2033&lt;&gt;"",E2033=""),"Conversa sem agendamento",IF(OR(E2033&gt;TODAY(),F2033&gt;TODAY()),"Verificar evento futuro","OK"))))))</f>
        <v/>
      </c>
    </row>
    <row r="2034" spans="9:12">
      <c r="I2034" s="5">
        <f>IF(OR(A2034="",B2034=""),"",B2034-WEEKDAY(B2034,2)+1)</f>
        <v/>
      </c>
      <c r="J2034" s="5">
        <f>IF(I2034="","",I2034+6)</f>
        <v/>
      </c>
      <c r="K2034" s="6">
        <f>IF(OR(A2034="",B2034=""),"",DATE(YEAR(B2034),MONTH(B2034),1))</f>
        <v/>
      </c>
      <c r="L2034" s="7">
        <f>IF(COUNTA(A2034,B2034)=0,"",IF(OR(A2034="",B2034=""),"Preencher CPF e entrada",IF(COUNTIFS($A$12:$A$5011,A2034,$B$12:$B$5011,B2034)&gt;1,"CPF + dia duplicado",IF(OR(AND(E2034&lt;&gt;"",E2034&lt;B2034),AND(F2034&lt;&gt;"",F2034&lt;B2034)),"Evento anterior à entrada",IF(AND(F2034&lt;&gt;"",E2034=""),"Conversa sem agendamento",IF(OR(E2034&gt;TODAY(),F2034&gt;TODAY()),"Verificar evento futuro","OK"))))))</f>
        <v/>
      </c>
    </row>
    <row r="2035" spans="9:12">
      <c r="I2035" s="5">
        <f>IF(OR(A2035="",B2035=""),"",B2035-WEEKDAY(B2035,2)+1)</f>
        <v/>
      </c>
      <c r="J2035" s="5">
        <f>IF(I2035="","",I2035+6)</f>
        <v/>
      </c>
      <c r="K2035" s="6">
        <f>IF(OR(A2035="",B2035=""),"",DATE(YEAR(B2035),MONTH(B2035),1))</f>
        <v/>
      </c>
      <c r="L2035" s="7">
        <f>IF(COUNTA(A2035,B2035)=0,"",IF(OR(A2035="",B2035=""),"Preencher CPF e entrada",IF(COUNTIFS($A$12:$A$5011,A2035,$B$12:$B$5011,B2035)&gt;1,"CPF + dia duplicado",IF(OR(AND(E2035&lt;&gt;"",E2035&lt;B2035),AND(F2035&lt;&gt;"",F2035&lt;B2035)),"Evento anterior à entrada",IF(AND(F2035&lt;&gt;"",E2035=""),"Conversa sem agendamento",IF(OR(E2035&gt;TODAY(),F2035&gt;TODAY()),"Verificar evento futuro","OK"))))))</f>
        <v/>
      </c>
    </row>
    <row r="2036" spans="9:12">
      <c r="I2036" s="5">
        <f>IF(OR(A2036="",B2036=""),"",B2036-WEEKDAY(B2036,2)+1)</f>
        <v/>
      </c>
      <c r="J2036" s="5">
        <f>IF(I2036="","",I2036+6)</f>
        <v/>
      </c>
      <c r="K2036" s="6">
        <f>IF(OR(A2036="",B2036=""),"",DATE(YEAR(B2036),MONTH(B2036),1))</f>
        <v/>
      </c>
      <c r="L2036" s="7">
        <f>IF(COUNTA(A2036,B2036)=0,"",IF(OR(A2036="",B2036=""),"Preencher CPF e entrada",IF(COUNTIFS($A$12:$A$5011,A2036,$B$12:$B$5011,B2036)&gt;1,"CPF + dia duplicado",IF(OR(AND(E2036&lt;&gt;"",E2036&lt;B2036),AND(F2036&lt;&gt;"",F2036&lt;B2036)),"Evento anterior à entrada",IF(AND(F2036&lt;&gt;"",E2036=""),"Conversa sem agendamento",IF(OR(E2036&gt;TODAY(),F2036&gt;TODAY()),"Verificar evento futuro","OK"))))))</f>
        <v/>
      </c>
    </row>
    <row r="2037" spans="9:12">
      <c r="I2037" s="5">
        <f>IF(OR(A2037="",B2037=""),"",B2037-WEEKDAY(B2037,2)+1)</f>
        <v/>
      </c>
      <c r="J2037" s="5">
        <f>IF(I2037="","",I2037+6)</f>
        <v/>
      </c>
      <c r="K2037" s="6">
        <f>IF(OR(A2037="",B2037=""),"",DATE(YEAR(B2037),MONTH(B2037),1))</f>
        <v/>
      </c>
      <c r="L2037" s="7">
        <f>IF(COUNTA(A2037,B2037)=0,"",IF(OR(A2037="",B2037=""),"Preencher CPF e entrada",IF(COUNTIFS($A$12:$A$5011,A2037,$B$12:$B$5011,B2037)&gt;1,"CPF + dia duplicado",IF(OR(AND(E2037&lt;&gt;"",E2037&lt;B2037),AND(F2037&lt;&gt;"",F2037&lt;B2037)),"Evento anterior à entrada",IF(AND(F2037&lt;&gt;"",E2037=""),"Conversa sem agendamento",IF(OR(E2037&gt;TODAY(),F2037&gt;TODAY()),"Verificar evento futuro","OK"))))))</f>
        <v/>
      </c>
    </row>
    <row r="2038" spans="9:12">
      <c r="I2038" s="5">
        <f>IF(OR(A2038="",B2038=""),"",B2038-WEEKDAY(B2038,2)+1)</f>
        <v/>
      </c>
      <c r="J2038" s="5">
        <f>IF(I2038="","",I2038+6)</f>
        <v/>
      </c>
      <c r="K2038" s="6">
        <f>IF(OR(A2038="",B2038=""),"",DATE(YEAR(B2038),MONTH(B2038),1))</f>
        <v/>
      </c>
      <c r="L2038" s="7">
        <f>IF(COUNTA(A2038,B2038)=0,"",IF(OR(A2038="",B2038=""),"Preencher CPF e entrada",IF(COUNTIFS($A$12:$A$5011,A2038,$B$12:$B$5011,B2038)&gt;1,"CPF + dia duplicado",IF(OR(AND(E2038&lt;&gt;"",E2038&lt;B2038),AND(F2038&lt;&gt;"",F2038&lt;B2038)),"Evento anterior à entrada",IF(AND(F2038&lt;&gt;"",E2038=""),"Conversa sem agendamento",IF(OR(E2038&gt;TODAY(),F2038&gt;TODAY()),"Verificar evento futuro","OK"))))))</f>
        <v/>
      </c>
    </row>
    <row r="2039" spans="9:12">
      <c r="I2039" s="5">
        <f>IF(OR(A2039="",B2039=""),"",B2039-WEEKDAY(B2039,2)+1)</f>
        <v/>
      </c>
      <c r="J2039" s="5">
        <f>IF(I2039="","",I2039+6)</f>
        <v/>
      </c>
      <c r="K2039" s="6">
        <f>IF(OR(A2039="",B2039=""),"",DATE(YEAR(B2039),MONTH(B2039),1))</f>
        <v/>
      </c>
      <c r="L2039" s="7">
        <f>IF(COUNTA(A2039,B2039)=0,"",IF(OR(A2039="",B2039=""),"Preencher CPF e entrada",IF(COUNTIFS($A$12:$A$5011,A2039,$B$12:$B$5011,B2039)&gt;1,"CPF + dia duplicado",IF(OR(AND(E2039&lt;&gt;"",E2039&lt;B2039),AND(F2039&lt;&gt;"",F2039&lt;B2039)),"Evento anterior à entrada",IF(AND(F2039&lt;&gt;"",E2039=""),"Conversa sem agendamento",IF(OR(E2039&gt;TODAY(),F2039&gt;TODAY()),"Verificar evento futuro","OK"))))))</f>
        <v/>
      </c>
    </row>
    <row r="2040" spans="9:12">
      <c r="I2040" s="5">
        <f>IF(OR(A2040="",B2040=""),"",B2040-WEEKDAY(B2040,2)+1)</f>
        <v/>
      </c>
      <c r="J2040" s="5">
        <f>IF(I2040="","",I2040+6)</f>
        <v/>
      </c>
      <c r="K2040" s="6">
        <f>IF(OR(A2040="",B2040=""),"",DATE(YEAR(B2040),MONTH(B2040),1))</f>
        <v/>
      </c>
      <c r="L2040" s="7">
        <f>IF(COUNTA(A2040,B2040)=0,"",IF(OR(A2040="",B2040=""),"Preencher CPF e entrada",IF(COUNTIFS($A$12:$A$5011,A2040,$B$12:$B$5011,B2040)&gt;1,"CPF + dia duplicado",IF(OR(AND(E2040&lt;&gt;"",E2040&lt;B2040),AND(F2040&lt;&gt;"",F2040&lt;B2040)),"Evento anterior à entrada",IF(AND(F2040&lt;&gt;"",E2040=""),"Conversa sem agendamento",IF(OR(E2040&gt;TODAY(),F2040&gt;TODAY()),"Verificar evento futuro","OK"))))))</f>
        <v/>
      </c>
    </row>
    <row r="2041" spans="9:12">
      <c r="I2041" s="5">
        <f>IF(OR(A2041="",B2041=""),"",B2041-WEEKDAY(B2041,2)+1)</f>
        <v/>
      </c>
      <c r="J2041" s="5">
        <f>IF(I2041="","",I2041+6)</f>
        <v/>
      </c>
      <c r="K2041" s="6">
        <f>IF(OR(A2041="",B2041=""),"",DATE(YEAR(B2041),MONTH(B2041),1))</f>
        <v/>
      </c>
      <c r="L2041" s="7">
        <f>IF(COUNTA(A2041,B2041)=0,"",IF(OR(A2041="",B2041=""),"Preencher CPF e entrada",IF(COUNTIFS($A$12:$A$5011,A2041,$B$12:$B$5011,B2041)&gt;1,"CPF + dia duplicado",IF(OR(AND(E2041&lt;&gt;"",E2041&lt;B2041),AND(F2041&lt;&gt;"",F2041&lt;B2041)),"Evento anterior à entrada",IF(AND(F2041&lt;&gt;"",E2041=""),"Conversa sem agendamento",IF(OR(E2041&gt;TODAY(),F2041&gt;TODAY()),"Verificar evento futuro","OK"))))))</f>
        <v/>
      </c>
    </row>
    <row r="2042" spans="9:12">
      <c r="I2042" s="5">
        <f>IF(OR(A2042="",B2042=""),"",B2042-WEEKDAY(B2042,2)+1)</f>
        <v/>
      </c>
      <c r="J2042" s="5">
        <f>IF(I2042="","",I2042+6)</f>
        <v/>
      </c>
      <c r="K2042" s="6">
        <f>IF(OR(A2042="",B2042=""),"",DATE(YEAR(B2042),MONTH(B2042),1))</f>
        <v/>
      </c>
      <c r="L2042" s="7">
        <f>IF(COUNTA(A2042,B2042)=0,"",IF(OR(A2042="",B2042=""),"Preencher CPF e entrada",IF(COUNTIFS($A$12:$A$5011,A2042,$B$12:$B$5011,B2042)&gt;1,"CPF + dia duplicado",IF(OR(AND(E2042&lt;&gt;"",E2042&lt;B2042),AND(F2042&lt;&gt;"",F2042&lt;B2042)),"Evento anterior à entrada",IF(AND(F2042&lt;&gt;"",E2042=""),"Conversa sem agendamento",IF(OR(E2042&gt;TODAY(),F2042&gt;TODAY()),"Verificar evento futuro","OK"))))))</f>
        <v/>
      </c>
    </row>
    <row r="2043" spans="9:12">
      <c r="I2043" s="5">
        <f>IF(OR(A2043="",B2043=""),"",B2043-WEEKDAY(B2043,2)+1)</f>
        <v/>
      </c>
      <c r="J2043" s="5">
        <f>IF(I2043="","",I2043+6)</f>
        <v/>
      </c>
      <c r="K2043" s="6">
        <f>IF(OR(A2043="",B2043=""),"",DATE(YEAR(B2043),MONTH(B2043),1))</f>
        <v/>
      </c>
      <c r="L2043" s="7">
        <f>IF(COUNTA(A2043,B2043)=0,"",IF(OR(A2043="",B2043=""),"Preencher CPF e entrada",IF(COUNTIFS($A$12:$A$5011,A2043,$B$12:$B$5011,B2043)&gt;1,"CPF + dia duplicado",IF(OR(AND(E2043&lt;&gt;"",E2043&lt;B2043),AND(F2043&lt;&gt;"",F2043&lt;B2043)),"Evento anterior à entrada",IF(AND(F2043&lt;&gt;"",E2043=""),"Conversa sem agendamento",IF(OR(E2043&gt;TODAY(),F2043&gt;TODAY()),"Verificar evento futuro","OK"))))))</f>
        <v/>
      </c>
    </row>
    <row r="2044" spans="9:12">
      <c r="I2044" s="5">
        <f>IF(OR(A2044="",B2044=""),"",B2044-WEEKDAY(B2044,2)+1)</f>
        <v/>
      </c>
      <c r="J2044" s="5">
        <f>IF(I2044="","",I2044+6)</f>
        <v/>
      </c>
      <c r="K2044" s="6">
        <f>IF(OR(A2044="",B2044=""),"",DATE(YEAR(B2044),MONTH(B2044),1))</f>
        <v/>
      </c>
      <c r="L2044" s="7">
        <f>IF(COUNTA(A2044,B2044)=0,"",IF(OR(A2044="",B2044=""),"Preencher CPF e entrada",IF(COUNTIFS($A$12:$A$5011,A2044,$B$12:$B$5011,B2044)&gt;1,"CPF + dia duplicado",IF(OR(AND(E2044&lt;&gt;"",E2044&lt;B2044),AND(F2044&lt;&gt;"",F2044&lt;B2044)),"Evento anterior à entrada",IF(AND(F2044&lt;&gt;"",E2044=""),"Conversa sem agendamento",IF(OR(E2044&gt;TODAY(),F2044&gt;TODAY()),"Verificar evento futuro","OK"))))))</f>
        <v/>
      </c>
    </row>
    <row r="2045" spans="9:12">
      <c r="I2045" s="5">
        <f>IF(OR(A2045="",B2045=""),"",B2045-WEEKDAY(B2045,2)+1)</f>
        <v/>
      </c>
      <c r="J2045" s="5">
        <f>IF(I2045="","",I2045+6)</f>
        <v/>
      </c>
      <c r="K2045" s="6">
        <f>IF(OR(A2045="",B2045=""),"",DATE(YEAR(B2045),MONTH(B2045),1))</f>
        <v/>
      </c>
      <c r="L2045" s="7">
        <f>IF(COUNTA(A2045,B2045)=0,"",IF(OR(A2045="",B2045=""),"Preencher CPF e entrada",IF(COUNTIFS($A$12:$A$5011,A2045,$B$12:$B$5011,B2045)&gt;1,"CPF + dia duplicado",IF(OR(AND(E2045&lt;&gt;"",E2045&lt;B2045),AND(F2045&lt;&gt;"",F2045&lt;B2045)),"Evento anterior à entrada",IF(AND(F2045&lt;&gt;"",E2045=""),"Conversa sem agendamento",IF(OR(E2045&gt;TODAY(),F2045&gt;TODAY()),"Verificar evento futuro","OK"))))))</f>
        <v/>
      </c>
    </row>
    <row r="2046" spans="9:12">
      <c r="I2046" s="5">
        <f>IF(OR(A2046="",B2046=""),"",B2046-WEEKDAY(B2046,2)+1)</f>
        <v/>
      </c>
      <c r="J2046" s="5">
        <f>IF(I2046="","",I2046+6)</f>
        <v/>
      </c>
      <c r="K2046" s="6">
        <f>IF(OR(A2046="",B2046=""),"",DATE(YEAR(B2046),MONTH(B2046),1))</f>
        <v/>
      </c>
      <c r="L2046" s="7">
        <f>IF(COUNTA(A2046,B2046)=0,"",IF(OR(A2046="",B2046=""),"Preencher CPF e entrada",IF(COUNTIFS($A$12:$A$5011,A2046,$B$12:$B$5011,B2046)&gt;1,"CPF + dia duplicado",IF(OR(AND(E2046&lt;&gt;"",E2046&lt;B2046),AND(F2046&lt;&gt;"",F2046&lt;B2046)),"Evento anterior à entrada",IF(AND(F2046&lt;&gt;"",E2046=""),"Conversa sem agendamento",IF(OR(E2046&gt;TODAY(),F2046&gt;TODAY()),"Verificar evento futuro","OK"))))))</f>
        <v/>
      </c>
    </row>
    <row r="2047" spans="9:12">
      <c r="I2047" s="5">
        <f>IF(OR(A2047="",B2047=""),"",B2047-WEEKDAY(B2047,2)+1)</f>
        <v/>
      </c>
      <c r="J2047" s="5">
        <f>IF(I2047="","",I2047+6)</f>
        <v/>
      </c>
      <c r="K2047" s="6">
        <f>IF(OR(A2047="",B2047=""),"",DATE(YEAR(B2047),MONTH(B2047),1))</f>
        <v/>
      </c>
      <c r="L2047" s="7">
        <f>IF(COUNTA(A2047,B2047)=0,"",IF(OR(A2047="",B2047=""),"Preencher CPF e entrada",IF(COUNTIFS($A$12:$A$5011,A2047,$B$12:$B$5011,B2047)&gt;1,"CPF + dia duplicado",IF(OR(AND(E2047&lt;&gt;"",E2047&lt;B2047),AND(F2047&lt;&gt;"",F2047&lt;B2047)),"Evento anterior à entrada",IF(AND(F2047&lt;&gt;"",E2047=""),"Conversa sem agendamento",IF(OR(E2047&gt;TODAY(),F2047&gt;TODAY()),"Verificar evento futuro","OK"))))))</f>
        <v/>
      </c>
    </row>
    <row r="2048" spans="9:12">
      <c r="I2048" s="5">
        <f>IF(OR(A2048="",B2048=""),"",B2048-WEEKDAY(B2048,2)+1)</f>
        <v/>
      </c>
      <c r="J2048" s="5">
        <f>IF(I2048="","",I2048+6)</f>
        <v/>
      </c>
      <c r="K2048" s="6">
        <f>IF(OR(A2048="",B2048=""),"",DATE(YEAR(B2048),MONTH(B2048),1))</f>
        <v/>
      </c>
      <c r="L2048" s="7">
        <f>IF(COUNTA(A2048,B2048)=0,"",IF(OR(A2048="",B2048=""),"Preencher CPF e entrada",IF(COUNTIFS($A$12:$A$5011,A2048,$B$12:$B$5011,B2048)&gt;1,"CPF + dia duplicado",IF(OR(AND(E2048&lt;&gt;"",E2048&lt;B2048),AND(F2048&lt;&gt;"",F2048&lt;B2048)),"Evento anterior à entrada",IF(AND(F2048&lt;&gt;"",E2048=""),"Conversa sem agendamento",IF(OR(E2048&gt;TODAY(),F2048&gt;TODAY()),"Verificar evento futuro","OK"))))))</f>
        <v/>
      </c>
    </row>
    <row r="2049" spans="9:12">
      <c r="I2049" s="5">
        <f>IF(OR(A2049="",B2049=""),"",B2049-WEEKDAY(B2049,2)+1)</f>
        <v/>
      </c>
      <c r="J2049" s="5">
        <f>IF(I2049="","",I2049+6)</f>
        <v/>
      </c>
      <c r="K2049" s="6">
        <f>IF(OR(A2049="",B2049=""),"",DATE(YEAR(B2049),MONTH(B2049),1))</f>
        <v/>
      </c>
      <c r="L2049" s="7">
        <f>IF(COUNTA(A2049,B2049)=0,"",IF(OR(A2049="",B2049=""),"Preencher CPF e entrada",IF(COUNTIFS($A$12:$A$5011,A2049,$B$12:$B$5011,B2049)&gt;1,"CPF + dia duplicado",IF(OR(AND(E2049&lt;&gt;"",E2049&lt;B2049),AND(F2049&lt;&gt;"",F2049&lt;B2049)),"Evento anterior à entrada",IF(AND(F2049&lt;&gt;"",E2049=""),"Conversa sem agendamento",IF(OR(E2049&gt;TODAY(),F2049&gt;TODAY()),"Verificar evento futuro","OK"))))))</f>
        <v/>
      </c>
    </row>
    <row r="2050" spans="9:12">
      <c r="I2050" s="5">
        <f>IF(OR(A2050="",B2050=""),"",B2050-WEEKDAY(B2050,2)+1)</f>
        <v/>
      </c>
      <c r="J2050" s="5">
        <f>IF(I2050="","",I2050+6)</f>
        <v/>
      </c>
      <c r="K2050" s="6">
        <f>IF(OR(A2050="",B2050=""),"",DATE(YEAR(B2050),MONTH(B2050),1))</f>
        <v/>
      </c>
      <c r="L2050" s="7">
        <f>IF(COUNTA(A2050,B2050)=0,"",IF(OR(A2050="",B2050=""),"Preencher CPF e entrada",IF(COUNTIFS($A$12:$A$5011,A2050,$B$12:$B$5011,B2050)&gt;1,"CPF + dia duplicado",IF(OR(AND(E2050&lt;&gt;"",E2050&lt;B2050),AND(F2050&lt;&gt;"",F2050&lt;B2050)),"Evento anterior à entrada",IF(AND(F2050&lt;&gt;"",E2050=""),"Conversa sem agendamento",IF(OR(E2050&gt;TODAY(),F2050&gt;TODAY()),"Verificar evento futuro","OK"))))))</f>
        <v/>
      </c>
    </row>
    <row r="2051" spans="9:12">
      <c r="I2051" s="5">
        <f>IF(OR(A2051="",B2051=""),"",B2051-WEEKDAY(B2051,2)+1)</f>
        <v/>
      </c>
      <c r="J2051" s="5">
        <f>IF(I2051="","",I2051+6)</f>
        <v/>
      </c>
      <c r="K2051" s="6">
        <f>IF(OR(A2051="",B2051=""),"",DATE(YEAR(B2051),MONTH(B2051),1))</f>
        <v/>
      </c>
      <c r="L2051" s="7">
        <f>IF(COUNTA(A2051,B2051)=0,"",IF(OR(A2051="",B2051=""),"Preencher CPF e entrada",IF(COUNTIFS($A$12:$A$5011,A2051,$B$12:$B$5011,B2051)&gt;1,"CPF + dia duplicado",IF(OR(AND(E2051&lt;&gt;"",E2051&lt;B2051),AND(F2051&lt;&gt;"",F2051&lt;B2051)),"Evento anterior à entrada",IF(AND(F2051&lt;&gt;"",E2051=""),"Conversa sem agendamento",IF(OR(E2051&gt;TODAY(),F2051&gt;TODAY()),"Verificar evento futuro","OK"))))))</f>
        <v/>
      </c>
    </row>
    <row r="2052" spans="9:12">
      <c r="I2052" s="5">
        <f>IF(OR(A2052="",B2052=""),"",B2052-WEEKDAY(B2052,2)+1)</f>
        <v/>
      </c>
      <c r="J2052" s="5">
        <f>IF(I2052="","",I2052+6)</f>
        <v/>
      </c>
      <c r="K2052" s="6">
        <f>IF(OR(A2052="",B2052=""),"",DATE(YEAR(B2052),MONTH(B2052),1))</f>
        <v/>
      </c>
      <c r="L2052" s="7">
        <f>IF(COUNTA(A2052,B2052)=0,"",IF(OR(A2052="",B2052=""),"Preencher CPF e entrada",IF(COUNTIFS($A$12:$A$5011,A2052,$B$12:$B$5011,B2052)&gt;1,"CPF + dia duplicado",IF(OR(AND(E2052&lt;&gt;"",E2052&lt;B2052),AND(F2052&lt;&gt;"",F2052&lt;B2052)),"Evento anterior à entrada",IF(AND(F2052&lt;&gt;"",E2052=""),"Conversa sem agendamento",IF(OR(E2052&gt;TODAY(),F2052&gt;TODAY()),"Verificar evento futuro","OK"))))))</f>
        <v/>
      </c>
    </row>
    <row r="2053" spans="9:12">
      <c r="I2053" s="5">
        <f>IF(OR(A2053="",B2053=""),"",B2053-WEEKDAY(B2053,2)+1)</f>
        <v/>
      </c>
      <c r="J2053" s="5">
        <f>IF(I2053="","",I2053+6)</f>
        <v/>
      </c>
      <c r="K2053" s="6">
        <f>IF(OR(A2053="",B2053=""),"",DATE(YEAR(B2053),MONTH(B2053),1))</f>
        <v/>
      </c>
      <c r="L2053" s="7">
        <f>IF(COUNTA(A2053,B2053)=0,"",IF(OR(A2053="",B2053=""),"Preencher CPF e entrada",IF(COUNTIFS($A$12:$A$5011,A2053,$B$12:$B$5011,B2053)&gt;1,"CPF + dia duplicado",IF(OR(AND(E2053&lt;&gt;"",E2053&lt;B2053),AND(F2053&lt;&gt;"",F2053&lt;B2053)),"Evento anterior à entrada",IF(AND(F2053&lt;&gt;"",E2053=""),"Conversa sem agendamento",IF(OR(E2053&gt;TODAY(),F2053&gt;TODAY()),"Verificar evento futuro","OK"))))))</f>
        <v/>
      </c>
    </row>
    <row r="2054" spans="9:12">
      <c r="I2054" s="5">
        <f>IF(OR(A2054="",B2054=""),"",B2054-WEEKDAY(B2054,2)+1)</f>
        <v/>
      </c>
      <c r="J2054" s="5">
        <f>IF(I2054="","",I2054+6)</f>
        <v/>
      </c>
      <c r="K2054" s="6">
        <f>IF(OR(A2054="",B2054=""),"",DATE(YEAR(B2054),MONTH(B2054),1))</f>
        <v/>
      </c>
      <c r="L2054" s="7">
        <f>IF(COUNTA(A2054,B2054)=0,"",IF(OR(A2054="",B2054=""),"Preencher CPF e entrada",IF(COUNTIFS($A$12:$A$5011,A2054,$B$12:$B$5011,B2054)&gt;1,"CPF + dia duplicado",IF(OR(AND(E2054&lt;&gt;"",E2054&lt;B2054),AND(F2054&lt;&gt;"",F2054&lt;B2054)),"Evento anterior à entrada",IF(AND(F2054&lt;&gt;"",E2054=""),"Conversa sem agendamento",IF(OR(E2054&gt;TODAY(),F2054&gt;TODAY()),"Verificar evento futuro","OK"))))))</f>
        <v/>
      </c>
    </row>
    <row r="2055" spans="9:12">
      <c r="I2055" s="5">
        <f>IF(OR(A2055="",B2055=""),"",B2055-WEEKDAY(B2055,2)+1)</f>
        <v/>
      </c>
      <c r="J2055" s="5">
        <f>IF(I2055="","",I2055+6)</f>
        <v/>
      </c>
      <c r="K2055" s="6">
        <f>IF(OR(A2055="",B2055=""),"",DATE(YEAR(B2055),MONTH(B2055),1))</f>
        <v/>
      </c>
      <c r="L2055" s="7">
        <f>IF(COUNTA(A2055,B2055)=0,"",IF(OR(A2055="",B2055=""),"Preencher CPF e entrada",IF(COUNTIFS($A$12:$A$5011,A2055,$B$12:$B$5011,B2055)&gt;1,"CPF + dia duplicado",IF(OR(AND(E2055&lt;&gt;"",E2055&lt;B2055),AND(F2055&lt;&gt;"",F2055&lt;B2055)),"Evento anterior à entrada",IF(AND(F2055&lt;&gt;"",E2055=""),"Conversa sem agendamento",IF(OR(E2055&gt;TODAY(),F2055&gt;TODAY()),"Verificar evento futuro","OK"))))))</f>
        <v/>
      </c>
    </row>
    <row r="2056" spans="9:12">
      <c r="I2056" s="5">
        <f>IF(OR(A2056="",B2056=""),"",B2056-WEEKDAY(B2056,2)+1)</f>
        <v/>
      </c>
      <c r="J2056" s="5">
        <f>IF(I2056="","",I2056+6)</f>
        <v/>
      </c>
      <c r="K2056" s="6">
        <f>IF(OR(A2056="",B2056=""),"",DATE(YEAR(B2056),MONTH(B2056),1))</f>
        <v/>
      </c>
      <c r="L2056" s="7">
        <f>IF(COUNTA(A2056,B2056)=0,"",IF(OR(A2056="",B2056=""),"Preencher CPF e entrada",IF(COUNTIFS($A$12:$A$5011,A2056,$B$12:$B$5011,B2056)&gt;1,"CPF + dia duplicado",IF(OR(AND(E2056&lt;&gt;"",E2056&lt;B2056),AND(F2056&lt;&gt;"",F2056&lt;B2056)),"Evento anterior à entrada",IF(AND(F2056&lt;&gt;"",E2056=""),"Conversa sem agendamento",IF(OR(E2056&gt;TODAY(),F2056&gt;TODAY()),"Verificar evento futuro","OK"))))))</f>
        <v/>
      </c>
    </row>
    <row r="2057" spans="9:12">
      <c r="I2057" s="5">
        <f>IF(OR(A2057="",B2057=""),"",B2057-WEEKDAY(B2057,2)+1)</f>
        <v/>
      </c>
      <c r="J2057" s="5">
        <f>IF(I2057="","",I2057+6)</f>
        <v/>
      </c>
      <c r="K2057" s="6">
        <f>IF(OR(A2057="",B2057=""),"",DATE(YEAR(B2057),MONTH(B2057),1))</f>
        <v/>
      </c>
      <c r="L2057" s="7">
        <f>IF(COUNTA(A2057,B2057)=0,"",IF(OR(A2057="",B2057=""),"Preencher CPF e entrada",IF(COUNTIFS($A$12:$A$5011,A2057,$B$12:$B$5011,B2057)&gt;1,"CPF + dia duplicado",IF(OR(AND(E2057&lt;&gt;"",E2057&lt;B2057),AND(F2057&lt;&gt;"",F2057&lt;B2057)),"Evento anterior à entrada",IF(AND(F2057&lt;&gt;"",E2057=""),"Conversa sem agendamento",IF(OR(E2057&gt;TODAY(),F2057&gt;TODAY()),"Verificar evento futuro","OK"))))))</f>
        <v/>
      </c>
    </row>
    <row r="2058" spans="9:12">
      <c r="I2058" s="5">
        <f>IF(OR(A2058="",B2058=""),"",B2058-WEEKDAY(B2058,2)+1)</f>
        <v/>
      </c>
      <c r="J2058" s="5">
        <f>IF(I2058="","",I2058+6)</f>
        <v/>
      </c>
      <c r="K2058" s="6">
        <f>IF(OR(A2058="",B2058=""),"",DATE(YEAR(B2058),MONTH(B2058),1))</f>
        <v/>
      </c>
      <c r="L2058" s="7">
        <f>IF(COUNTA(A2058,B2058)=0,"",IF(OR(A2058="",B2058=""),"Preencher CPF e entrada",IF(COUNTIFS($A$12:$A$5011,A2058,$B$12:$B$5011,B2058)&gt;1,"CPF + dia duplicado",IF(OR(AND(E2058&lt;&gt;"",E2058&lt;B2058),AND(F2058&lt;&gt;"",F2058&lt;B2058)),"Evento anterior à entrada",IF(AND(F2058&lt;&gt;"",E2058=""),"Conversa sem agendamento",IF(OR(E2058&gt;TODAY(),F2058&gt;TODAY()),"Verificar evento futuro","OK"))))))</f>
        <v/>
      </c>
    </row>
    <row r="2059" spans="9:12">
      <c r="I2059" s="5">
        <f>IF(OR(A2059="",B2059=""),"",B2059-WEEKDAY(B2059,2)+1)</f>
        <v/>
      </c>
      <c r="J2059" s="5">
        <f>IF(I2059="","",I2059+6)</f>
        <v/>
      </c>
      <c r="K2059" s="6">
        <f>IF(OR(A2059="",B2059=""),"",DATE(YEAR(B2059),MONTH(B2059),1))</f>
        <v/>
      </c>
      <c r="L2059" s="7">
        <f>IF(COUNTA(A2059,B2059)=0,"",IF(OR(A2059="",B2059=""),"Preencher CPF e entrada",IF(COUNTIFS($A$12:$A$5011,A2059,$B$12:$B$5011,B2059)&gt;1,"CPF + dia duplicado",IF(OR(AND(E2059&lt;&gt;"",E2059&lt;B2059),AND(F2059&lt;&gt;"",F2059&lt;B2059)),"Evento anterior à entrada",IF(AND(F2059&lt;&gt;"",E2059=""),"Conversa sem agendamento",IF(OR(E2059&gt;TODAY(),F2059&gt;TODAY()),"Verificar evento futuro","OK"))))))</f>
        <v/>
      </c>
    </row>
    <row r="2060" spans="9:12">
      <c r="I2060" s="5">
        <f>IF(OR(A2060="",B2060=""),"",B2060-WEEKDAY(B2060,2)+1)</f>
        <v/>
      </c>
      <c r="J2060" s="5">
        <f>IF(I2060="","",I2060+6)</f>
        <v/>
      </c>
      <c r="K2060" s="6">
        <f>IF(OR(A2060="",B2060=""),"",DATE(YEAR(B2060),MONTH(B2060),1))</f>
        <v/>
      </c>
      <c r="L2060" s="7">
        <f>IF(COUNTA(A2060,B2060)=0,"",IF(OR(A2060="",B2060=""),"Preencher CPF e entrada",IF(COUNTIFS($A$12:$A$5011,A2060,$B$12:$B$5011,B2060)&gt;1,"CPF + dia duplicado",IF(OR(AND(E2060&lt;&gt;"",E2060&lt;B2060),AND(F2060&lt;&gt;"",F2060&lt;B2060)),"Evento anterior à entrada",IF(AND(F2060&lt;&gt;"",E2060=""),"Conversa sem agendamento",IF(OR(E2060&gt;TODAY(),F2060&gt;TODAY()),"Verificar evento futuro","OK"))))))</f>
        <v/>
      </c>
    </row>
    <row r="2061" spans="9:12">
      <c r="I2061" s="5">
        <f>IF(OR(A2061="",B2061=""),"",B2061-WEEKDAY(B2061,2)+1)</f>
        <v/>
      </c>
      <c r="J2061" s="5">
        <f>IF(I2061="","",I2061+6)</f>
        <v/>
      </c>
      <c r="K2061" s="6">
        <f>IF(OR(A2061="",B2061=""),"",DATE(YEAR(B2061),MONTH(B2061),1))</f>
        <v/>
      </c>
      <c r="L2061" s="7">
        <f>IF(COUNTA(A2061,B2061)=0,"",IF(OR(A2061="",B2061=""),"Preencher CPF e entrada",IF(COUNTIFS($A$12:$A$5011,A2061,$B$12:$B$5011,B2061)&gt;1,"CPF + dia duplicado",IF(OR(AND(E2061&lt;&gt;"",E2061&lt;B2061),AND(F2061&lt;&gt;"",F2061&lt;B2061)),"Evento anterior à entrada",IF(AND(F2061&lt;&gt;"",E2061=""),"Conversa sem agendamento",IF(OR(E2061&gt;TODAY(),F2061&gt;TODAY()),"Verificar evento futuro","OK"))))))</f>
        <v/>
      </c>
    </row>
    <row r="2062" spans="9:12">
      <c r="I2062" s="5">
        <f>IF(OR(A2062="",B2062=""),"",B2062-WEEKDAY(B2062,2)+1)</f>
        <v/>
      </c>
      <c r="J2062" s="5">
        <f>IF(I2062="","",I2062+6)</f>
        <v/>
      </c>
      <c r="K2062" s="6">
        <f>IF(OR(A2062="",B2062=""),"",DATE(YEAR(B2062),MONTH(B2062),1))</f>
        <v/>
      </c>
      <c r="L2062" s="7">
        <f>IF(COUNTA(A2062,B2062)=0,"",IF(OR(A2062="",B2062=""),"Preencher CPF e entrada",IF(COUNTIFS($A$12:$A$5011,A2062,$B$12:$B$5011,B2062)&gt;1,"CPF + dia duplicado",IF(OR(AND(E2062&lt;&gt;"",E2062&lt;B2062),AND(F2062&lt;&gt;"",F2062&lt;B2062)),"Evento anterior à entrada",IF(AND(F2062&lt;&gt;"",E2062=""),"Conversa sem agendamento",IF(OR(E2062&gt;TODAY(),F2062&gt;TODAY()),"Verificar evento futuro","OK"))))))</f>
        <v/>
      </c>
    </row>
    <row r="2063" spans="9:12">
      <c r="I2063" s="5">
        <f>IF(OR(A2063="",B2063=""),"",B2063-WEEKDAY(B2063,2)+1)</f>
        <v/>
      </c>
      <c r="J2063" s="5">
        <f>IF(I2063="","",I2063+6)</f>
        <v/>
      </c>
      <c r="K2063" s="6">
        <f>IF(OR(A2063="",B2063=""),"",DATE(YEAR(B2063),MONTH(B2063),1))</f>
        <v/>
      </c>
      <c r="L2063" s="7">
        <f>IF(COUNTA(A2063,B2063)=0,"",IF(OR(A2063="",B2063=""),"Preencher CPF e entrada",IF(COUNTIFS($A$12:$A$5011,A2063,$B$12:$B$5011,B2063)&gt;1,"CPF + dia duplicado",IF(OR(AND(E2063&lt;&gt;"",E2063&lt;B2063),AND(F2063&lt;&gt;"",F2063&lt;B2063)),"Evento anterior à entrada",IF(AND(F2063&lt;&gt;"",E2063=""),"Conversa sem agendamento",IF(OR(E2063&gt;TODAY(),F2063&gt;TODAY()),"Verificar evento futuro","OK"))))))</f>
        <v/>
      </c>
    </row>
    <row r="2064" spans="9:12">
      <c r="I2064" s="5">
        <f>IF(OR(A2064="",B2064=""),"",B2064-WEEKDAY(B2064,2)+1)</f>
        <v/>
      </c>
      <c r="J2064" s="5">
        <f>IF(I2064="","",I2064+6)</f>
        <v/>
      </c>
      <c r="K2064" s="6">
        <f>IF(OR(A2064="",B2064=""),"",DATE(YEAR(B2064),MONTH(B2064),1))</f>
        <v/>
      </c>
      <c r="L2064" s="7">
        <f>IF(COUNTA(A2064,B2064)=0,"",IF(OR(A2064="",B2064=""),"Preencher CPF e entrada",IF(COUNTIFS($A$12:$A$5011,A2064,$B$12:$B$5011,B2064)&gt;1,"CPF + dia duplicado",IF(OR(AND(E2064&lt;&gt;"",E2064&lt;B2064),AND(F2064&lt;&gt;"",F2064&lt;B2064)),"Evento anterior à entrada",IF(AND(F2064&lt;&gt;"",E2064=""),"Conversa sem agendamento",IF(OR(E2064&gt;TODAY(),F2064&gt;TODAY()),"Verificar evento futuro","OK"))))))</f>
        <v/>
      </c>
    </row>
    <row r="2065" spans="9:12">
      <c r="I2065" s="5">
        <f>IF(OR(A2065="",B2065=""),"",B2065-WEEKDAY(B2065,2)+1)</f>
        <v/>
      </c>
      <c r="J2065" s="5">
        <f>IF(I2065="","",I2065+6)</f>
        <v/>
      </c>
      <c r="K2065" s="6">
        <f>IF(OR(A2065="",B2065=""),"",DATE(YEAR(B2065),MONTH(B2065),1))</f>
        <v/>
      </c>
      <c r="L2065" s="7">
        <f>IF(COUNTA(A2065,B2065)=0,"",IF(OR(A2065="",B2065=""),"Preencher CPF e entrada",IF(COUNTIFS($A$12:$A$5011,A2065,$B$12:$B$5011,B2065)&gt;1,"CPF + dia duplicado",IF(OR(AND(E2065&lt;&gt;"",E2065&lt;B2065),AND(F2065&lt;&gt;"",F2065&lt;B2065)),"Evento anterior à entrada",IF(AND(F2065&lt;&gt;"",E2065=""),"Conversa sem agendamento",IF(OR(E2065&gt;TODAY(),F2065&gt;TODAY()),"Verificar evento futuro","OK"))))))</f>
        <v/>
      </c>
    </row>
    <row r="2066" spans="9:12">
      <c r="I2066" s="5">
        <f>IF(OR(A2066="",B2066=""),"",B2066-WEEKDAY(B2066,2)+1)</f>
        <v/>
      </c>
      <c r="J2066" s="5">
        <f>IF(I2066="","",I2066+6)</f>
        <v/>
      </c>
      <c r="K2066" s="6">
        <f>IF(OR(A2066="",B2066=""),"",DATE(YEAR(B2066),MONTH(B2066),1))</f>
        <v/>
      </c>
      <c r="L2066" s="7">
        <f>IF(COUNTA(A2066,B2066)=0,"",IF(OR(A2066="",B2066=""),"Preencher CPF e entrada",IF(COUNTIFS($A$12:$A$5011,A2066,$B$12:$B$5011,B2066)&gt;1,"CPF + dia duplicado",IF(OR(AND(E2066&lt;&gt;"",E2066&lt;B2066),AND(F2066&lt;&gt;"",F2066&lt;B2066)),"Evento anterior à entrada",IF(AND(F2066&lt;&gt;"",E2066=""),"Conversa sem agendamento",IF(OR(E2066&gt;TODAY(),F2066&gt;TODAY()),"Verificar evento futuro","OK"))))))</f>
        <v/>
      </c>
    </row>
    <row r="2067" spans="9:12">
      <c r="I2067" s="5">
        <f>IF(OR(A2067="",B2067=""),"",B2067-WEEKDAY(B2067,2)+1)</f>
        <v/>
      </c>
      <c r="J2067" s="5">
        <f>IF(I2067="","",I2067+6)</f>
        <v/>
      </c>
      <c r="K2067" s="6">
        <f>IF(OR(A2067="",B2067=""),"",DATE(YEAR(B2067),MONTH(B2067),1))</f>
        <v/>
      </c>
      <c r="L2067" s="7">
        <f>IF(COUNTA(A2067,B2067)=0,"",IF(OR(A2067="",B2067=""),"Preencher CPF e entrada",IF(COUNTIFS($A$12:$A$5011,A2067,$B$12:$B$5011,B2067)&gt;1,"CPF + dia duplicado",IF(OR(AND(E2067&lt;&gt;"",E2067&lt;B2067),AND(F2067&lt;&gt;"",F2067&lt;B2067)),"Evento anterior à entrada",IF(AND(F2067&lt;&gt;"",E2067=""),"Conversa sem agendamento",IF(OR(E2067&gt;TODAY(),F2067&gt;TODAY()),"Verificar evento futuro","OK"))))))</f>
        <v/>
      </c>
    </row>
    <row r="2068" spans="9:12">
      <c r="I2068" s="5">
        <f>IF(OR(A2068="",B2068=""),"",B2068-WEEKDAY(B2068,2)+1)</f>
        <v/>
      </c>
      <c r="J2068" s="5">
        <f>IF(I2068="","",I2068+6)</f>
        <v/>
      </c>
      <c r="K2068" s="6">
        <f>IF(OR(A2068="",B2068=""),"",DATE(YEAR(B2068),MONTH(B2068),1))</f>
        <v/>
      </c>
      <c r="L2068" s="7">
        <f>IF(COUNTA(A2068,B2068)=0,"",IF(OR(A2068="",B2068=""),"Preencher CPF e entrada",IF(COUNTIFS($A$12:$A$5011,A2068,$B$12:$B$5011,B2068)&gt;1,"CPF + dia duplicado",IF(OR(AND(E2068&lt;&gt;"",E2068&lt;B2068),AND(F2068&lt;&gt;"",F2068&lt;B2068)),"Evento anterior à entrada",IF(AND(F2068&lt;&gt;"",E2068=""),"Conversa sem agendamento",IF(OR(E2068&gt;TODAY(),F2068&gt;TODAY()),"Verificar evento futuro","OK"))))))</f>
        <v/>
      </c>
    </row>
    <row r="2069" spans="9:12">
      <c r="I2069" s="5">
        <f>IF(OR(A2069="",B2069=""),"",B2069-WEEKDAY(B2069,2)+1)</f>
        <v/>
      </c>
      <c r="J2069" s="5">
        <f>IF(I2069="","",I2069+6)</f>
        <v/>
      </c>
      <c r="K2069" s="6">
        <f>IF(OR(A2069="",B2069=""),"",DATE(YEAR(B2069),MONTH(B2069),1))</f>
        <v/>
      </c>
      <c r="L2069" s="7">
        <f>IF(COUNTA(A2069,B2069)=0,"",IF(OR(A2069="",B2069=""),"Preencher CPF e entrada",IF(COUNTIFS($A$12:$A$5011,A2069,$B$12:$B$5011,B2069)&gt;1,"CPF + dia duplicado",IF(OR(AND(E2069&lt;&gt;"",E2069&lt;B2069),AND(F2069&lt;&gt;"",F2069&lt;B2069)),"Evento anterior à entrada",IF(AND(F2069&lt;&gt;"",E2069=""),"Conversa sem agendamento",IF(OR(E2069&gt;TODAY(),F2069&gt;TODAY()),"Verificar evento futuro","OK"))))))</f>
        <v/>
      </c>
    </row>
    <row r="2070" spans="9:12">
      <c r="I2070" s="5">
        <f>IF(OR(A2070="",B2070=""),"",B2070-WEEKDAY(B2070,2)+1)</f>
        <v/>
      </c>
      <c r="J2070" s="5">
        <f>IF(I2070="","",I2070+6)</f>
        <v/>
      </c>
      <c r="K2070" s="6">
        <f>IF(OR(A2070="",B2070=""),"",DATE(YEAR(B2070),MONTH(B2070),1))</f>
        <v/>
      </c>
      <c r="L2070" s="7">
        <f>IF(COUNTA(A2070,B2070)=0,"",IF(OR(A2070="",B2070=""),"Preencher CPF e entrada",IF(COUNTIFS($A$12:$A$5011,A2070,$B$12:$B$5011,B2070)&gt;1,"CPF + dia duplicado",IF(OR(AND(E2070&lt;&gt;"",E2070&lt;B2070),AND(F2070&lt;&gt;"",F2070&lt;B2070)),"Evento anterior à entrada",IF(AND(F2070&lt;&gt;"",E2070=""),"Conversa sem agendamento",IF(OR(E2070&gt;TODAY(),F2070&gt;TODAY()),"Verificar evento futuro","OK"))))))</f>
        <v/>
      </c>
    </row>
    <row r="2071" spans="9:12">
      <c r="I2071" s="5">
        <f>IF(OR(A2071="",B2071=""),"",B2071-WEEKDAY(B2071,2)+1)</f>
        <v/>
      </c>
      <c r="J2071" s="5">
        <f>IF(I2071="","",I2071+6)</f>
        <v/>
      </c>
      <c r="K2071" s="6">
        <f>IF(OR(A2071="",B2071=""),"",DATE(YEAR(B2071),MONTH(B2071),1))</f>
        <v/>
      </c>
      <c r="L2071" s="7">
        <f>IF(COUNTA(A2071,B2071)=0,"",IF(OR(A2071="",B2071=""),"Preencher CPF e entrada",IF(COUNTIFS($A$12:$A$5011,A2071,$B$12:$B$5011,B2071)&gt;1,"CPF + dia duplicado",IF(OR(AND(E2071&lt;&gt;"",E2071&lt;B2071),AND(F2071&lt;&gt;"",F2071&lt;B2071)),"Evento anterior à entrada",IF(AND(F2071&lt;&gt;"",E2071=""),"Conversa sem agendamento",IF(OR(E2071&gt;TODAY(),F2071&gt;TODAY()),"Verificar evento futuro","OK"))))))</f>
        <v/>
      </c>
    </row>
    <row r="2072" spans="9:12">
      <c r="I2072" s="5">
        <f>IF(OR(A2072="",B2072=""),"",B2072-WEEKDAY(B2072,2)+1)</f>
        <v/>
      </c>
      <c r="J2072" s="5">
        <f>IF(I2072="","",I2072+6)</f>
        <v/>
      </c>
      <c r="K2072" s="6">
        <f>IF(OR(A2072="",B2072=""),"",DATE(YEAR(B2072),MONTH(B2072),1))</f>
        <v/>
      </c>
      <c r="L2072" s="7">
        <f>IF(COUNTA(A2072,B2072)=0,"",IF(OR(A2072="",B2072=""),"Preencher CPF e entrada",IF(COUNTIFS($A$12:$A$5011,A2072,$B$12:$B$5011,B2072)&gt;1,"CPF + dia duplicado",IF(OR(AND(E2072&lt;&gt;"",E2072&lt;B2072),AND(F2072&lt;&gt;"",F2072&lt;B2072)),"Evento anterior à entrada",IF(AND(F2072&lt;&gt;"",E2072=""),"Conversa sem agendamento",IF(OR(E2072&gt;TODAY(),F2072&gt;TODAY()),"Verificar evento futuro","OK"))))))</f>
        <v/>
      </c>
    </row>
    <row r="2073" spans="9:12">
      <c r="I2073" s="5">
        <f>IF(OR(A2073="",B2073=""),"",B2073-WEEKDAY(B2073,2)+1)</f>
        <v/>
      </c>
      <c r="J2073" s="5">
        <f>IF(I2073="","",I2073+6)</f>
        <v/>
      </c>
      <c r="K2073" s="6">
        <f>IF(OR(A2073="",B2073=""),"",DATE(YEAR(B2073),MONTH(B2073),1))</f>
        <v/>
      </c>
      <c r="L2073" s="7">
        <f>IF(COUNTA(A2073,B2073)=0,"",IF(OR(A2073="",B2073=""),"Preencher CPF e entrada",IF(COUNTIFS($A$12:$A$5011,A2073,$B$12:$B$5011,B2073)&gt;1,"CPF + dia duplicado",IF(OR(AND(E2073&lt;&gt;"",E2073&lt;B2073),AND(F2073&lt;&gt;"",F2073&lt;B2073)),"Evento anterior à entrada",IF(AND(F2073&lt;&gt;"",E2073=""),"Conversa sem agendamento",IF(OR(E2073&gt;TODAY(),F2073&gt;TODAY()),"Verificar evento futuro","OK"))))))</f>
        <v/>
      </c>
    </row>
    <row r="2074" spans="9:12">
      <c r="I2074" s="5">
        <f>IF(OR(A2074="",B2074=""),"",B2074-WEEKDAY(B2074,2)+1)</f>
        <v/>
      </c>
      <c r="J2074" s="5">
        <f>IF(I2074="","",I2074+6)</f>
        <v/>
      </c>
      <c r="K2074" s="6">
        <f>IF(OR(A2074="",B2074=""),"",DATE(YEAR(B2074),MONTH(B2074),1))</f>
        <v/>
      </c>
      <c r="L2074" s="7">
        <f>IF(COUNTA(A2074,B2074)=0,"",IF(OR(A2074="",B2074=""),"Preencher CPF e entrada",IF(COUNTIFS($A$12:$A$5011,A2074,$B$12:$B$5011,B2074)&gt;1,"CPF + dia duplicado",IF(OR(AND(E2074&lt;&gt;"",E2074&lt;B2074),AND(F2074&lt;&gt;"",F2074&lt;B2074)),"Evento anterior à entrada",IF(AND(F2074&lt;&gt;"",E2074=""),"Conversa sem agendamento",IF(OR(E2074&gt;TODAY(),F2074&gt;TODAY()),"Verificar evento futuro","OK"))))))</f>
        <v/>
      </c>
    </row>
    <row r="2075" spans="9:12">
      <c r="I2075" s="5">
        <f>IF(OR(A2075="",B2075=""),"",B2075-WEEKDAY(B2075,2)+1)</f>
        <v/>
      </c>
      <c r="J2075" s="5">
        <f>IF(I2075="","",I2075+6)</f>
        <v/>
      </c>
      <c r="K2075" s="6">
        <f>IF(OR(A2075="",B2075=""),"",DATE(YEAR(B2075),MONTH(B2075),1))</f>
        <v/>
      </c>
      <c r="L2075" s="7">
        <f>IF(COUNTA(A2075,B2075)=0,"",IF(OR(A2075="",B2075=""),"Preencher CPF e entrada",IF(COUNTIFS($A$12:$A$5011,A2075,$B$12:$B$5011,B2075)&gt;1,"CPF + dia duplicado",IF(OR(AND(E2075&lt;&gt;"",E2075&lt;B2075),AND(F2075&lt;&gt;"",F2075&lt;B2075)),"Evento anterior à entrada",IF(AND(F2075&lt;&gt;"",E2075=""),"Conversa sem agendamento",IF(OR(E2075&gt;TODAY(),F2075&gt;TODAY()),"Verificar evento futuro","OK"))))))</f>
        <v/>
      </c>
    </row>
    <row r="2076" spans="9:12">
      <c r="I2076" s="5">
        <f>IF(OR(A2076="",B2076=""),"",B2076-WEEKDAY(B2076,2)+1)</f>
        <v/>
      </c>
      <c r="J2076" s="5">
        <f>IF(I2076="","",I2076+6)</f>
        <v/>
      </c>
      <c r="K2076" s="6">
        <f>IF(OR(A2076="",B2076=""),"",DATE(YEAR(B2076),MONTH(B2076),1))</f>
        <v/>
      </c>
      <c r="L2076" s="7">
        <f>IF(COUNTA(A2076,B2076)=0,"",IF(OR(A2076="",B2076=""),"Preencher CPF e entrada",IF(COUNTIFS($A$12:$A$5011,A2076,$B$12:$B$5011,B2076)&gt;1,"CPF + dia duplicado",IF(OR(AND(E2076&lt;&gt;"",E2076&lt;B2076),AND(F2076&lt;&gt;"",F2076&lt;B2076)),"Evento anterior à entrada",IF(AND(F2076&lt;&gt;"",E2076=""),"Conversa sem agendamento",IF(OR(E2076&gt;TODAY(),F2076&gt;TODAY()),"Verificar evento futuro","OK"))))))</f>
        <v/>
      </c>
    </row>
    <row r="2077" spans="9:12">
      <c r="I2077" s="5">
        <f>IF(OR(A2077="",B2077=""),"",B2077-WEEKDAY(B2077,2)+1)</f>
        <v/>
      </c>
      <c r="J2077" s="5">
        <f>IF(I2077="","",I2077+6)</f>
        <v/>
      </c>
      <c r="K2077" s="6">
        <f>IF(OR(A2077="",B2077=""),"",DATE(YEAR(B2077),MONTH(B2077),1))</f>
        <v/>
      </c>
      <c r="L2077" s="7">
        <f>IF(COUNTA(A2077,B2077)=0,"",IF(OR(A2077="",B2077=""),"Preencher CPF e entrada",IF(COUNTIFS($A$12:$A$5011,A2077,$B$12:$B$5011,B2077)&gt;1,"CPF + dia duplicado",IF(OR(AND(E2077&lt;&gt;"",E2077&lt;B2077),AND(F2077&lt;&gt;"",F2077&lt;B2077)),"Evento anterior à entrada",IF(AND(F2077&lt;&gt;"",E2077=""),"Conversa sem agendamento",IF(OR(E2077&gt;TODAY(),F2077&gt;TODAY()),"Verificar evento futuro","OK"))))))</f>
        <v/>
      </c>
    </row>
    <row r="2078" spans="9:12">
      <c r="I2078" s="5">
        <f>IF(OR(A2078="",B2078=""),"",B2078-WEEKDAY(B2078,2)+1)</f>
        <v/>
      </c>
      <c r="J2078" s="5">
        <f>IF(I2078="","",I2078+6)</f>
        <v/>
      </c>
      <c r="K2078" s="6">
        <f>IF(OR(A2078="",B2078=""),"",DATE(YEAR(B2078),MONTH(B2078),1))</f>
        <v/>
      </c>
      <c r="L2078" s="7">
        <f>IF(COUNTA(A2078,B2078)=0,"",IF(OR(A2078="",B2078=""),"Preencher CPF e entrada",IF(COUNTIFS($A$12:$A$5011,A2078,$B$12:$B$5011,B2078)&gt;1,"CPF + dia duplicado",IF(OR(AND(E2078&lt;&gt;"",E2078&lt;B2078),AND(F2078&lt;&gt;"",F2078&lt;B2078)),"Evento anterior à entrada",IF(AND(F2078&lt;&gt;"",E2078=""),"Conversa sem agendamento",IF(OR(E2078&gt;TODAY(),F2078&gt;TODAY()),"Verificar evento futuro","OK"))))))</f>
        <v/>
      </c>
    </row>
    <row r="2079" spans="9:12">
      <c r="I2079" s="5">
        <f>IF(OR(A2079="",B2079=""),"",B2079-WEEKDAY(B2079,2)+1)</f>
        <v/>
      </c>
      <c r="J2079" s="5">
        <f>IF(I2079="","",I2079+6)</f>
        <v/>
      </c>
      <c r="K2079" s="6">
        <f>IF(OR(A2079="",B2079=""),"",DATE(YEAR(B2079),MONTH(B2079),1))</f>
        <v/>
      </c>
      <c r="L2079" s="7">
        <f>IF(COUNTA(A2079,B2079)=0,"",IF(OR(A2079="",B2079=""),"Preencher CPF e entrada",IF(COUNTIFS($A$12:$A$5011,A2079,$B$12:$B$5011,B2079)&gt;1,"CPF + dia duplicado",IF(OR(AND(E2079&lt;&gt;"",E2079&lt;B2079),AND(F2079&lt;&gt;"",F2079&lt;B2079)),"Evento anterior à entrada",IF(AND(F2079&lt;&gt;"",E2079=""),"Conversa sem agendamento",IF(OR(E2079&gt;TODAY(),F2079&gt;TODAY()),"Verificar evento futuro","OK"))))))</f>
        <v/>
      </c>
    </row>
    <row r="2080" spans="9:12">
      <c r="I2080" s="5">
        <f>IF(OR(A2080="",B2080=""),"",B2080-WEEKDAY(B2080,2)+1)</f>
        <v/>
      </c>
      <c r="J2080" s="5">
        <f>IF(I2080="","",I2080+6)</f>
        <v/>
      </c>
      <c r="K2080" s="6">
        <f>IF(OR(A2080="",B2080=""),"",DATE(YEAR(B2080),MONTH(B2080),1))</f>
        <v/>
      </c>
      <c r="L2080" s="7">
        <f>IF(COUNTA(A2080,B2080)=0,"",IF(OR(A2080="",B2080=""),"Preencher CPF e entrada",IF(COUNTIFS($A$12:$A$5011,A2080,$B$12:$B$5011,B2080)&gt;1,"CPF + dia duplicado",IF(OR(AND(E2080&lt;&gt;"",E2080&lt;B2080),AND(F2080&lt;&gt;"",F2080&lt;B2080)),"Evento anterior à entrada",IF(AND(F2080&lt;&gt;"",E2080=""),"Conversa sem agendamento",IF(OR(E2080&gt;TODAY(),F2080&gt;TODAY()),"Verificar evento futuro","OK"))))))</f>
        <v/>
      </c>
    </row>
    <row r="2081" spans="9:12">
      <c r="I2081" s="5">
        <f>IF(OR(A2081="",B2081=""),"",B2081-WEEKDAY(B2081,2)+1)</f>
        <v/>
      </c>
      <c r="J2081" s="5">
        <f>IF(I2081="","",I2081+6)</f>
        <v/>
      </c>
      <c r="K2081" s="6">
        <f>IF(OR(A2081="",B2081=""),"",DATE(YEAR(B2081),MONTH(B2081),1))</f>
        <v/>
      </c>
      <c r="L2081" s="7">
        <f>IF(COUNTA(A2081,B2081)=0,"",IF(OR(A2081="",B2081=""),"Preencher CPF e entrada",IF(COUNTIFS($A$12:$A$5011,A2081,$B$12:$B$5011,B2081)&gt;1,"CPF + dia duplicado",IF(OR(AND(E2081&lt;&gt;"",E2081&lt;B2081),AND(F2081&lt;&gt;"",F2081&lt;B2081)),"Evento anterior à entrada",IF(AND(F2081&lt;&gt;"",E2081=""),"Conversa sem agendamento",IF(OR(E2081&gt;TODAY(),F2081&gt;TODAY()),"Verificar evento futuro","OK"))))))</f>
        <v/>
      </c>
    </row>
    <row r="2082" spans="9:12">
      <c r="I2082" s="5">
        <f>IF(OR(A2082="",B2082=""),"",B2082-WEEKDAY(B2082,2)+1)</f>
        <v/>
      </c>
      <c r="J2082" s="5">
        <f>IF(I2082="","",I2082+6)</f>
        <v/>
      </c>
      <c r="K2082" s="6">
        <f>IF(OR(A2082="",B2082=""),"",DATE(YEAR(B2082),MONTH(B2082),1))</f>
        <v/>
      </c>
      <c r="L2082" s="7">
        <f>IF(COUNTA(A2082,B2082)=0,"",IF(OR(A2082="",B2082=""),"Preencher CPF e entrada",IF(COUNTIFS($A$12:$A$5011,A2082,$B$12:$B$5011,B2082)&gt;1,"CPF + dia duplicado",IF(OR(AND(E2082&lt;&gt;"",E2082&lt;B2082),AND(F2082&lt;&gt;"",F2082&lt;B2082)),"Evento anterior à entrada",IF(AND(F2082&lt;&gt;"",E2082=""),"Conversa sem agendamento",IF(OR(E2082&gt;TODAY(),F2082&gt;TODAY()),"Verificar evento futuro","OK"))))))</f>
        <v/>
      </c>
    </row>
    <row r="2083" spans="9:12">
      <c r="I2083" s="5">
        <f>IF(OR(A2083="",B2083=""),"",B2083-WEEKDAY(B2083,2)+1)</f>
        <v/>
      </c>
      <c r="J2083" s="5">
        <f>IF(I2083="","",I2083+6)</f>
        <v/>
      </c>
      <c r="K2083" s="6">
        <f>IF(OR(A2083="",B2083=""),"",DATE(YEAR(B2083),MONTH(B2083),1))</f>
        <v/>
      </c>
      <c r="L2083" s="7">
        <f>IF(COUNTA(A2083,B2083)=0,"",IF(OR(A2083="",B2083=""),"Preencher CPF e entrada",IF(COUNTIFS($A$12:$A$5011,A2083,$B$12:$B$5011,B2083)&gt;1,"CPF + dia duplicado",IF(OR(AND(E2083&lt;&gt;"",E2083&lt;B2083),AND(F2083&lt;&gt;"",F2083&lt;B2083)),"Evento anterior à entrada",IF(AND(F2083&lt;&gt;"",E2083=""),"Conversa sem agendamento",IF(OR(E2083&gt;TODAY(),F2083&gt;TODAY()),"Verificar evento futuro","OK"))))))</f>
        <v/>
      </c>
    </row>
    <row r="2084" spans="9:12">
      <c r="I2084" s="5">
        <f>IF(OR(A2084="",B2084=""),"",B2084-WEEKDAY(B2084,2)+1)</f>
        <v/>
      </c>
      <c r="J2084" s="5">
        <f>IF(I2084="","",I2084+6)</f>
        <v/>
      </c>
      <c r="K2084" s="6">
        <f>IF(OR(A2084="",B2084=""),"",DATE(YEAR(B2084),MONTH(B2084),1))</f>
        <v/>
      </c>
      <c r="L2084" s="7">
        <f>IF(COUNTA(A2084,B2084)=0,"",IF(OR(A2084="",B2084=""),"Preencher CPF e entrada",IF(COUNTIFS($A$12:$A$5011,A2084,$B$12:$B$5011,B2084)&gt;1,"CPF + dia duplicado",IF(OR(AND(E2084&lt;&gt;"",E2084&lt;B2084),AND(F2084&lt;&gt;"",F2084&lt;B2084)),"Evento anterior à entrada",IF(AND(F2084&lt;&gt;"",E2084=""),"Conversa sem agendamento",IF(OR(E2084&gt;TODAY(),F2084&gt;TODAY()),"Verificar evento futuro","OK"))))))</f>
        <v/>
      </c>
    </row>
    <row r="2085" spans="9:12">
      <c r="I2085" s="5">
        <f>IF(OR(A2085="",B2085=""),"",B2085-WEEKDAY(B2085,2)+1)</f>
        <v/>
      </c>
      <c r="J2085" s="5">
        <f>IF(I2085="","",I2085+6)</f>
        <v/>
      </c>
      <c r="K2085" s="6">
        <f>IF(OR(A2085="",B2085=""),"",DATE(YEAR(B2085),MONTH(B2085),1))</f>
        <v/>
      </c>
      <c r="L2085" s="7">
        <f>IF(COUNTA(A2085,B2085)=0,"",IF(OR(A2085="",B2085=""),"Preencher CPF e entrada",IF(COUNTIFS($A$12:$A$5011,A2085,$B$12:$B$5011,B2085)&gt;1,"CPF + dia duplicado",IF(OR(AND(E2085&lt;&gt;"",E2085&lt;B2085),AND(F2085&lt;&gt;"",F2085&lt;B2085)),"Evento anterior à entrada",IF(AND(F2085&lt;&gt;"",E2085=""),"Conversa sem agendamento",IF(OR(E2085&gt;TODAY(),F2085&gt;TODAY()),"Verificar evento futuro","OK"))))))</f>
        <v/>
      </c>
    </row>
    <row r="2086" spans="9:12">
      <c r="I2086" s="5">
        <f>IF(OR(A2086="",B2086=""),"",B2086-WEEKDAY(B2086,2)+1)</f>
        <v/>
      </c>
      <c r="J2086" s="5">
        <f>IF(I2086="","",I2086+6)</f>
        <v/>
      </c>
      <c r="K2086" s="6">
        <f>IF(OR(A2086="",B2086=""),"",DATE(YEAR(B2086),MONTH(B2086),1))</f>
        <v/>
      </c>
      <c r="L2086" s="7">
        <f>IF(COUNTA(A2086,B2086)=0,"",IF(OR(A2086="",B2086=""),"Preencher CPF e entrada",IF(COUNTIFS($A$12:$A$5011,A2086,$B$12:$B$5011,B2086)&gt;1,"CPF + dia duplicado",IF(OR(AND(E2086&lt;&gt;"",E2086&lt;B2086),AND(F2086&lt;&gt;"",F2086&lt;B2086)),"Evento anterior à entrada",IF(AND(F2086&lt;&gt;"",E2086=""),"Conversa sem agendamento",IF(OR(E2086&gt;TODAY(),F2086&gt;TODAY()),"Verificar evento futuro","OK"))))))</f>
        <v/>
      </c>
    </row>
    <row r="2087" spans="9:12">
      <c r="I2087" s="5">
        <f>IF(OR(A2087="",B2087=""),"",B2087-WEEKDAY(B2087,2)+1)</f>
        <v/>
      </c>
      <c r="J2087" s="5">
        <f>IF(I2087="","",I2087+6)</f>
        <v/>
      </c>
      <c r="K2087" s="6">
        <f>IF(OR(A2087="",B2087=""),"",DATE(YEAR(B2087),MONTH(B2087),1))</f>
        <v/>
      </c>
      <c r="L2087" s="7">
        <f>IF(COUNTA(A2087,B2087)=0,"",IF(OR(A2087="",B2087=""),"Preencher CPF e entrada",IF(COUNTIFS($A$12:$A$5011,A2087,$B$12:$B$5011,B2087)&gt;1,"CPF + dia duplicado",IF(OR(AND(E2087&lt;&gt;"",E2087&lt;B2087),AND(F2087&lt;&gt;"",F2087&lt;B2087)),"Evento anterior à entrada",IF(AND(F2087&lt;&gt;"",E2087=""),"Conversa sem agendamento",IF(OR(E2087&gt;TODAY(),F2087&gt;TODAY()),"Verificar evento futuro","OK"))))))</f>
        <v/>
      </c>
    </row>
    <row r="2088" spans="9:12">
      <c r="I2088" s="5">
        <f>IF(OR(A2088="",B2088=""),"",B2088-WEEKDAY(B2088,2)+1)</f>
        <v/>
      </c>
      <c r="J2088" s="5">
        <f>IF(I2088="","",I2088+6)</f>
        <v/>
      </c>
      <c r="K2088" s="6">
        <f>IF(OR(A2088="",B2088=""),"",DATE(YEAR(B2088),MONTH(B2088),1))</f>
        <v/>
      </c>
      <c r="L2088" s="7">
        <f>IF(COUNTA(A2088,B2088)=0,"",IF(OR(A2088="",B2088=""),"Preencher CPF e entrada",IF(COUNTIFS($A$12:$A$5011,A2088,$B$12:$B$5011,B2088)&gt;1,"CPF + dia duplicado",IF(OR(AND(E2088&lt;&gt;"",E2088&lt;B2088),AND(F2088&lt;&gt;"",F2088&lt;B2088)),"Evento anterior à entrada",IF(AND(F2088&lt;&gt;"",E2088=""),"Conversa sem agendamento",IF(OR(E2088&gt;TODAY(),F2088&gt;TODAY()),"Verificar evento futuro","OK"))))))</f>
        <v/>
      </c>
    </row>
    <row r="2089" spans="9:12">
      <c r="I2089" s="5">
        <f>IF(OR(A2089="",B2089=""),"",B2089-WEEKDAY(B2089,2)+1)</f>
        <v/>
      </c>
      <c r="J2089" s="5">
        <f>IF(I2089="","",I2089+6)</f>
        <v/>
      </c>
      <c r="K2089" s="6">
        <f>IF(OR(A2089="",B2089=""),"",DATE(YEAR(B2089),MONTH(B2089),1))</f>
        <v/>
      </c>
      <c r="L2089" s="7">
        <f>IF(COUNTA(A2089,B2089)=0,"",IF(OR(A2089="",B2089=""),"Preencher CPF e entrada",IF(COUNTIFS($A$12:$A$5011,A2089,$B$12:$B$5011,B2089)&gt;1,"CPF + dia duplicado",IF(OR(AND(E2089&lt;&gt;"",E2089&lt;B2089),AND(F2089&lt;&gt;"",F2089&lt;B2089)),"Evento anterior à entrada",IF(AND(F2089&lt;&gt;"",E2089=""),"Conversa sem agendamento",IF(OR(E2089&gt;TODAY(),F2089&gt;TODAY()),"Verificar evento futuro","OK"))))))</f>
        <v/>
      </c>
    </row>
    <row r="2090" spans="9:12">
      <c r="I2090" s="5">
        <f>IF(OR(A2090="",B2090=""),"",B2090-WEEKDAY(B2090,2)+1)</f>
        <v/>
      </c>
      <c r="J2090" s="5">
        <f>IF(I2090="","",I2090+6)</f>
        <v/>
      </c>
      <c r="K2090" s="6">
        <f>IF(OR(A2090="",B2090=""),"",DATE(YEAR(B2090),MONTH(B2090),1))</f>
        <v/>
      </c>
      <c r="L2090" s="7">
        <f>IF(COUNTA(A2090,B2090)=0,"",IF(OR(A2090="",B2090=""),"Preencher CPF e entrada",IF(COUNTIFS($A$12:$A$5011,A2090,$B$12:$B$5011,B2090)&gt;1,"CPF + dia duplicado",IF(OR(AND(E2090&lt;&gt;"",E2090&lt;B2090),AND(F2090&lt;&gt;"",F2090&lt;B2090)),"Evento anterior à entrada",IF(AND(F2090&lt;&gt;"",E2090=""),"Conversa sem agendamento",IF(OR(E2090&gt;TODAY(),F2090&gt;TODAY()),"Verificar evento futuro","OK"))))))</f>
        <v/>
      </c>
    </row>
    <row r="2091" spans="9:12">
      <c r="I2091" s="5">
        <f>IF(OR(A2091="",B2091=""),"",B2091-WEEKDAY(B2091,2)+1)</f>
        <v/>
      </c>
      <c r="J2091" s="5">
        <f>IF(I2091="","",I2091+6)</f>
        <v/>
      </c>
      <c r="K2091" s="6">
        <f>IF(OR(A2091="",B2091=""),"",DATE(YEAR(B2091),MONTH(B2091),1))</f>
        <v/>
      </c>
      <c r="L2091" s="7">
        <f>IF(COUNTA(A2091,B2091)=0,"",IF(OR(A2091="",B2091=""),"Preencher CPF e entrada",IF(COUNTIFS($A$12:$A$5011,A2091,$B$12:$B$5011,B2091)&gt;1,"CPF + dia duplicado",IF(OR(AND(E2091&lt;&gt;"",E2091&lt;B2091),AND(F2091&lt;&gt;"",F2091&lt;B2091)),"Evento anterior à entrada",IF(AND(F2091&lt;&gt;"",E2091=""),"Conversa sem agendamento",IF(OR(E2091&gt;TODAY(),F2091&gt;TODAY()),"Verificar evento futuro","OK"))))))</f>
        <v/>
      </c>
    </row>
    <row r="2092" spans="9:12">
      <c r="I2092" s="5">
        <f>IF(OR(A2092="",B2092=""),"",B2092-WEEKDAY(B2092,2)+1)</f>
        <v/>
      </c>
      <c r="J2092" s="5">
        <f>IF(I2092="","",I2092+6)</f>
        <v/>
      </c>
      <c r="K2092" s="6">
        <f>IF(OR(A2092="",B2092=""),"",DATE(YEAR(B2092),MONTH(B2092),1))</f>
        <v/>
      </c>
      <c r="L2092" s="7">
        <f>IF(COUNTA(A2092,B2092)=0,"",IF(OR(A2092="",B2092=""),"Preencher CPF e entrada",IF(COUNTIFS($A$12:$A$5011,A2092,$B$12:$B$5011,B2092)&gt;1,"CPF + dia duplicado",IF(OR(AND(E2092&lt;&gt;"",E2092&lt;B2092),AND(F2092&lt;&gt;"",F2092&lt;B2092)),"Evento anterior à entrada",IF(AND(F2092&lt;&gt;"",E2092=""),"Conversa sem agendamento",IF(OR(E2092&gt;TODAY(),F2092&gt;TODAY()),"Verificar evento futuro","OK"))))))</f>
        <v/>
      </c>
    </row>
    <row r="2093" spans="9:12">
      <c r="I2093" s="5">
        <f>IF(OR(A2093="",B2093=""),"",B2093-WEEKDAY(B2093,2)+1)</f>
        <v/>
      </c>
      <c r="J2093" s="5">
        <f>IF(I2093="","",I2093+6)</f>
        <v/>
      </c>
      <c r="K2093" s="6">
        <f>IF(OR(A2093="",B2093=""),"",DATE(YEAR(B2093),MONTH(B2093),1))</f>
        <v/>
      </c>
      <c r="L2093" s="7">
        <f>IF(COUNTA(A2093,B2093)=0,"",IF(OR(A2093="",B2093=""),"Preencher CPF e entrada",IF(COUNTIFS($A$12:$A$5011,A2093,$B$12:$B$5011,B2093)&gt;1,"CPF + dia duplicado",IF(OR(AND(E2093&lt;&gt;"",E2093&lt;B2093),AND(F2093&lt;&gt;"",F2093&lt;B2093)),"Evento anterior à entrada",IF(AND(F2093&lt;&gt;"",E2093=""),"Conversa sem agendamento",IF(OR(E2093&gt;TODAY(),F2093&gt;TODAY()),"Verificar evento futuro","OK"))))))</f>
        <v/>
      </c>
    </row>
    <row r="2094" spans="9:12">
      <c r="I2094" s="5">
        <f>IF(OR(A2094="",B2094=""),"",B2094-WEEKDAY(B2094,2)+1)</f>
        <v/>
      </c>
      <c r="J2094" s="5">
        <f>IF(I2094="","",I2094+6)</f>
        <v/>
      </c>
      <c r="K2094" s="6">
        <f>IF(OR(A2094="",B2094=""),"",DATE(YEAR(B2094),MONTH(B2094),1))</f>
        <v/>
      </c>
      <c r="L2094" s="7">
        <f>IF(COUNTA(A2094,B2094)=0,"",IF(OR(A2094="",B2094=""),"Preencher CPF e entrada",IF(COUNTIFS($A$12:$A$5011,A2094,$B$12:$B$5011,B2094)&gt;1,"CPF + dia duplicado",IF(OR(AND(E2094&lt;&gt;"",E2094&lt;B2094),AND(F2094&lt;&gt;"",F2094&lt;B2094)),"Evento anterior à entrada",IF(AND(F2094&lt;&gt;"",E2094=""),"Conversa sem agendamento",IF(OR(E2094&gt;TODAY(),F2094&gt;TODAY()),"Verificar evento futuro","OK"))))))</f>
        <v/>
      </c>
    </row>
    <row r="2095" spans="9:12">
      <c r="I2095" s="5">
        <f>IF(OR(A2095="",B2095=""),"",B2095-WEEKDAY(B2095,2)+1)</f>
        <v/>
      </c>
      <c r="J2095" s="5">
        <f>IF(I2095="","",I2095+6)</f>
        <v/>
      </c>
      <c r="K2095" s="6">
        <f>IF(OR(A2095="",B2095=""),"",DATE(YEAR(B2095),MONTH(B2095),1))</f>
        <v/>
      </c>
      <c r="L2095" s="7">
        <f>IF(COUNTA(A2095,B2095)=0,"",IF(OR(A2095="",B2095=""),"Preencher CPF e entrada",IF(COUNTIFS($A$12:$A$5011,A2095,$B$12:$B$5011,B2095)&gt;1,"CPF + dia duplicado",IF(OR(AND(E2095&lt;&gt;"",E2095&lt;B2095),AND(F2095&lt;&gt;"",F2095&lt;B2095)),"Evento anterior à entrada",IF(AND(F2095&lt;&gt;"",E2095=""),"Conversa sem agendamento",IF(OR(E2095&gt;TODAY(),F2095&gt;TODAY()),"Verificar evento futuro","OK"))))))</f>
        <v/>
      </c>
    </row>
    <row r="2096" spans="9:12">
      <c r="I2096" s="5">
        <f>IF(OR(A2096="",B2096=""),"",B2096-WEEKDAY(B2096,2)+1)</f>
        <v/>
      </c>
      <c r="J2096" s="5">
        <f>IF(I2096="","",I2096+6)</f>
        <v/>
      </c>
      <c r="K2096" s="6">
        <f>IF(OR(A2096="",B2096=""),"",DATE(YEAR(B2096),MONTH(B2096),1))</f>
        <v/>
      </c>
      <c r="L2096" s="7">
        <f>IF(COUNTA(A2096,B2096)=0,"",IF(OR(A2096="",B2096=""),"Preencher CPF e entrada",IF(COUNTIFS($A$12:$A$5011,A2096,$B$12:$B$5011,B2096)&gt;1,"CPF + dia duplicado",IF(OR(AND(E2096&lt;&gt;"",E2096&lt;B2096),AND(F2096&lt;&gt;"",F2096&lt;B2096)),"Evento anterior à entrada",IF(AND(F2096&lt;&gt;"",E2096=""),"Conversa sem agendamento",IF(OR(E2096&gt;TODAY(),F2096&gt;TODAY()),"Verificar evento futuro","OK"))))))</f>
        <v/>
      </c>
    </row>
    <row r="2097" spans="9:12">
      <c r="I2097" s="5">
        <f>IF(OR(A2097="",B2097=""),"",B2097-WEEKDAY(B2097,2)+1)</f>
        <v/>
      </c>
      <c r="J2097" s="5">
        <f>IF(I2097="","",I2097+6)</f>
        <v/>
      </c>
      <c r="K2097" s="6">
        <f>IF(OR(A2097="",B2097=""),"",DATE(YEAR(B2097),MONTH(B2097),1))</f>
        <v/>
      </c>
      <c r="L2097" s="7">
        <f>IF(COUNTA(A2097,B2097)=0,"",IF(OR(A2097="",B2097=""),"Preencher CPF e entrada",IF(COUNTIFS($A$12:$A$5011,A2097,$B$12:$B$5011,B2097)&gt;1,"CPF + dia duplicado",IF(OR(AND(E2097&lt;&gt;"",E2097&lt;B2097),AND(F2097&lt;&gt;"",F2097&lt;B2097)),"Evento anterior à entrada",IF(AND(F2097&lt;&gt;"",E2097=""),"Conversa sem agendamento",IF(OR(E2097&gt;TODAY(),F2097&gt;TODAY()),"Verificar evento futuro","OK"))))))</f>
        <v/>
      </c>
    </row>
    <row r="2098" spans="9:12">
      <c r="I2098" s="5">
        <f>IF(OR(A2098="",B2098=""),"",B2098-WEEKDAY(B2098,2)+1)</f>
        <v/>
      </c>
      <c r="J2098" s="5">
        <f>IF(I2098="","",I2098+6)</f>
        <v/>
      </c>
      <c r="K2098" s="6">
        <f>IF(OR(A2098="",B2098=""),"",DATE(YEAR(B2098),MONTH(B2098),1))</f>
        <v/>
      </c>
      <c r="L2098" s="7">
        <f>IF(COUNTA(A2098,B2098)=0,"",IF(OR(A2098="",B2098=""),"Preencher CPF e entrada",IF(COUNTIFS($A$12:$A$5011,A2098,$B$12:$B$5011,B2098)&gt;1,"CPF + dia duplicado",IF(OR(AND(E2098&lt;&gt;"",E2098&lt;B2098),AND(F2098&lt;&gt;"",F2098&lt;B2098)),"Evento anterior à entrada",IF(AND(F2098&lt;&gt;"",E2098=""),"Conversa sem agendamento",IF(OR(E2098&gt;TODAY(),F2098&gt;TODAY()),"Verificar evento futuro","OK"))))))</f>
        <v/>
      </c>
    </row>
    <row r="2099" spans="9:12">
      <c r="I2099" s="5">
        <f>IF(OR(A2099="",B2099=""),"",B2099-WEEKDAY(B2099,2)+1)</f>
        <v/>
      </c>
      <c r="J2099" s="5">
        <f>IF(I2099="","",I2099+6)</f>
        <v/>
      </c>
      <c r="K2099" s="6">
        <f>IF(OR(A2099="",B2099=""),"",DATE(YEAR(B2099),MONTH(B2099),1))</f>
        <v/>
      </c>
      <c r="L2099" s="7">
        <f>IF(COUNTA(A2099,B2099)=0,"",IF(OR(A2099="",B2099=""),"Preencher CPF e entrada",IF(COUNTIFS($A$12:$A$5011,A2099,$B$12:$B$5011,B2099)&gt;1,"CPF + dia duplicado",IF(OR(AND(E2099&lt;&gt;"",E2099&lt;B2099),AND(F2099&lt;&gt;"",F2099&lt;B2099)),"Evento anterior à entrada",IF(AND(F2099&lt;&gt;"",E2099=""),"Conversa sem agendamento",IF(OR(E2099&gt;TODAY(),F2099&gt;TODAY()),"Verificar evento futuro","OK"))))))</f>
        <v/>
      </c>
    </row>
    <row r="2100" spans="9:12">
      <c r="I2100" s="5">
        <f>IF(OR(A2100="",B2100=""),"",B2100-WEEKDAY(B2100,2)+1)</f>
        <v/>
      </c>
      <c r="J2100" s="5">
        <f>IF(I2100="","",I2100+6)</f>
        <v/>
      </c>
      <c r="K2100" s="6">
        <f>IF(OR(A2100="",B2100=""),"",DATE(YEAR(B2100),MONTH(B2100),1))</f>
        <v/>
      </c>
      <c r="L2100" s="7">
        <f>IF(COUNTA(A2100,B2100)=0,"",IF(OR(A2100="",B2100=""),"Preencher CPF e entrada",IF(COUNTIFS($A$12:$A$5011,A2100,$B$12:$B$5011,B2100)&gt;1,"CPF + dia duplicado",IF(OR(AND(E2100&lt;&gt;"",E2100&lt;B2100),AND(F2100&lt;&gt;"",F2100&lt;B2100)),"Evento anterior à entrada",IF(AND(F2100&lt;&gt;"",E2100=""),"Conversa sem agendamento",IF(OR(E2100&gt;TODAY(),F2100&gt;TODAY()),"Verificar evento futuro","OK"))))))</f>
        <v/>
      </c>
    </row>
    <row r="2101" spans="9:12">
      <c r="I2101" s="5">
        <f>IF(OR(A2101="",B2101=""),"",B2101-WEEKDAY(B2101,2)+1)</f>
        <v/>
      </c>
      <c r="J2101" s="5">
        <f>IF(I2101="","",I2101+6)</f>
        <v/>
      </c>
      <c r="K2101" s="6">
        <f>IF(OR(A2101="",B2101=""),"",DATE(YEAR(B2101),MONTH(B2101),1))</f>
        <v/>
      </c>
      <c r="L2101" s="7">
        <f>IF(COUNTA(A2101,B2101)=0,"",IF(OR(A2101="",B2101=""),"Preencher CPF e entrada",IF(COUNTIFS($A$12:$A$5011,A2101,$B$12:$B$5011,B2101)&gt;1,"CPF + dia duplicado",IF(OR(AND(E2101&lt;&gt;"",E2101&lt;B2101),AND(F2101&lt;&gt;"",F2101&lt;B2101)),"Evento anterior à entrada",IF(AND(F2101&lt;&gt;"",E2101=""),"Conversa sem agendamento",IF(OR(E2101&gt;TODAY(),F2101&gt;TODAY()),"Verificar evento futuro","OK"))))))</f>
        <v/>
      </c>
    </row>
    <row r="2102" spans="9:12">
      <c r="I2102" s="5">
        <f>IF(OR(A2102="",B2102=""),"",B2102-WEEKDAY(B2102,2)+1)</f>
        <v/>
      </c>
      <c r="J2102" s="5">
        <f>IF(I2102="","",I2102+6)</f>
        <v/>
      </c>
      <c r="K2102" s="6">
        <f>IF(OR(A2102="",B2102=""),"",DATE(YEAR(B2102),MONTH(B2102),1))</f>
        <v/>
      </c>
      <c r="L2102" s="7">
        <f>IF(COUNTA(A2102,B2102)=0,"",IF(OR(A2102="",B2102=""),"Preencher CPF e entrada",IF(COUNTIFS($A$12:$A$5011,A2102,$B$12:$B$5011,B2102)&gt;1,"CPF + dia duplicado",IF(OR(AND(E2102&lt;&gt;"",E2102&lt;B2102),AND(F2102&lt;&gt;"",F2102&lt;B2102)),"Evento anterior à entrada",IF(AND(F2102&lt;&gt;"",E2102=""),"Conversa sem agendamento",IF(OR(E2102&gt;TODAY(),F2102&gt;TODAY()),"Verificar evento futuro","OK"))))))</f>
        <v/>
      </c>
    </row>
    <row r="2103" spans="9:12">
      <c r="I2103" s="5">
        <f>IF(OR(A2103="",B2103=""),"",B2103-WEEKDAY(B2103,2)+1)</f>
        <v/>
      </c>
      <c r="J2103" s="5">
        <f>IF(I2103="","",I2103+6)</f>
        <v/>
      </c>
      <c r="K2103" s="6">
        <f>IF(OR(A2103="",B2103=""),"",DATE(YEAR(B2103),MONTH(B2103),1))</f>
        <v/>
      </c>
      <c r="L2103" s="7">
        <f>IF(COUNTA(A2103,B2103)=0,"",IF(OR(A2103="",B2103=""),"Preencher CPF e entrada",IF(COUNTIFS($A$12:$A$5011,A2103,$B$12:$B$5011,B2103)&gt;1,"CPF + dia duplicado",IF(OR(AND(E2103&lt;&gt;"",E2103&lt;B2103),AND(F2103&lt;&gt;"",F2103&lt;B2103)),"Evento anterior à entrada",IF(AND(F2103&lt;&gt;"",E2103=""),"Conversa sem agendamento",IF(OR(E2103&gt;TODAY(),F2103&gt;TODAY()),"Verificar evento futuro","OK"))))))</f>
        <v/>
      </c>
    </row>
    <row r="2104" spans="9:12">
      <c r="I2104" s="5">
        <f>IF(OR(A2104="",B2104=""),"",B2104-WEEKDAY(B2104,2)+1)</f>
        <v/>
      </c>
      <c r="J2104" s="5">
        <f>IF(I2104="","",I2104+6)</f>
        <v/>
      </c>
      <c r="K2104" s="6">
        <f>IF(OR(A2104="",B2104=""),"",DATE(YEAR(B2104),MONTH(B2104),1))</f>
        <v/>
      </c>
      <c r="L2104" s="7">
        <f>IF(COUNTA(A2104,B2104)=0,"",IF(OR(A2104="",B2104=""),"Preencher CPF e entrada",IF(COUNTIFS($A$12:$A$5011,A2104,$B$12:$B$5011,B2104)&gt;1,"CPF + dia duplicado",IF(OR(AND(E2104&lt;&gt;"",E2104&lt;B2104),AND(F2104&lt;&gt;"",F2104&lt;B2104)),"Evento anterior à entrada",IF(AND(F2104&lt;&gt;"",E2104=""),"Conversa sem agendamento",IF(OR(E2104&gt;TODAY(),F2104&gt;TODAY()),"Verificar evento futuro","OK"))))))</f>
        <v/>
      </c>
    </row>
    <row r="2105" spans="9:12">
      <c r="I2105" s="5">
        <f>IF(OR(A2105="",B2105=""),"",B2105-WEEKDAY(B2105,2)+1)</f>
        <v/>
      </c>
      <c r="J2105" s="5">
        <f>IF(I2105="","",I2105+6)</f>
        <v/>
      </c>
      <c r="K2105" s="6">
        <f>IF(OR(A2105="",B2105=""),"",DATE(YEAR(B2105),MONTH(B2105),1))</f>
        <v/>
      </c>
      <c r="L2105" s="7">
        <f>IF(COUNTA(A2105,B2105)=0,"",IF(OR(A2105="",B2105=""),"Preencher CPF e entrada",IF(COUNTIFS($A$12:$A$5011,A2105,$B$12:$B$5011,B2105)&gt;1,"CPF + dia duplicado",IF(OR(AND(E2105&lt;&gt;"",E2105&lt;B2105),AND(F2105&lt;&gt;"",F2105&lt;B2105)),"Evento anterior à entrada",IF(AND(F2105&lt;&gt;"",E2105=""),"Conversa sem agendamento",IF(OR(E2105&gt;TODAY(),F2105&gt;TODAY()),"Verificar evento futuro","OK"))))))</f>
        <v/>
      </c>
    </row>
    <row r="2106" spans="9:12">
      <c r="I2106" s="5">
        <f>IF(OR(A2106="",B2106=""),"",B2106-WEEKDAY(B2106,2)+1)</f>
        <v/>
      </c>
      <c r="J2106" s="5">
        <f>IF(I2106="","",I2106+6)</f>
        <v/>
      </c>
      <c r="K2106" s="6">
        <f>IF(OR(A2106="",B2106=""),"",DATE(YEAR(B2106),MONTH(B2106),1))</f>
        <v/>
      </c>
      <c r="L2106" s="7">
        <f>IF(COUNTA(A2106,B2106)=0,"",IF(OR(A2106="",B2106=""),"Preencher CPF e entrada",IF(COUNTIFS($A$12:$A$5011,A2106,$B$12:$B$5011,B2106)&gt;1,"CPF + dia duplicado",IF(OR(AND(E2106&lt;&gt;"",E2106&lt;B2106),AND(F2106&lt;&gt;"",F2106&lt;B2106)),"Evento anterior à entrada",IF(AND(F2106&lt;&gt;"",E2106=""),"Conversa sem agendamento",IF(OR(E2106&gt;TODAY(),F2106&gt;TODAY()),"Verificar evento futuro","OK"))))))</f>
        <v/>
      </c>
    </row>
    <row r="2107" spans="9:12">
      <c r="I2107" s="5">
        <f>IF(OR(A2107="",B2107=""),"",B2107-WEEKDAY(B2107,2)+1)</f>
        <v/>
      </c>
      <c r="J2107" s="5">
        <f>IF(I2107="","",I2107+6)</f>
        <v/>
      </c>
      <c r="K2107" s="6">
        <f>IF(OR(A2107="",B2107=""),"",DATE(YEAR(B2107),MONTH(B2107),1))</f>
        <v/>
      </c>
      <c r="L2107" s="7">
        <f>IF(COUNTA(A2107,B2107)=0,"",IF(OR(A2107="",B2107=""),"Preencher CPF e entrada",IF(COUNTIFS($A$12:$A$5011,A2107,$B$12:$B$5011,B2107)&gt;1,"CPF + dia duplicado",IF(OR(AND(E2107&lt;&gt;"",E2107&lt;B2107),AND(F2107&lt;&gt;"",F2107&lt;B2107)),"Evento anterior à entrada",IF(AND(F2107&lt;&gt;"",E2107=""),"Conversa sem agendamento",IF(OR(E2107&gt;TODAY(),F2107&gt;TODAY()),"Verificar evento futuro","OK"))))))</f>
        <v/>
      </c>
    </row>
    <row r="2108" spans="9:12">
      <c r="I2108" s="5">
        <f>IF(OR(A2108="",B2108=""),"",B2108-WEEKDAY(B2108,2)+1)</f>
        <v/>
      </c>
      <c r="J2108" s="5">
        <f>IF(I2108="","",I2108+6)</f>
        <v/>
      </c>
      <c r="K2108" s="6">
        <f>IF(OR(A2108="",B2108=""),"",DATE(YEAR(B2108),MONTH(B2108),1))</f>
        <v/>
      </c>
      <c r="L2108" s="7">
        <f>IF(COUNTA(A2108,B2108)=0,"",IF(OR(A2108="",B2108=""),"Preencher CPF e entrada",IF(COUNTIFS($A$12:$A$5011,A2108,$B$12:$B$5011,B2108)&gt;1,"CPF + dia duplicado",IF(OR(AND(E2108&lt;&gt;"",E2108&lt;B2108),AND(F2108&lt;&gt;"",F2108&lt;B2108)),"Evento anterior à entrada",IF(AND(F2108&lt;&gt;"",E2108=""),"Conversa sem agendamento",IF(OR(E2108&gt;TODAY(),F2108&gt;TODAY()),"Verificar evento futuro","OK"))))))</f>
        <v/>
      </c>
    </row>
    <row r="2109" spans="9:12">
      <c r="I2109" s="5">
        <f>IF(OR(A2109="",B2109=""),"",B2109-WEEKDAY(B2109,2)+1)</f>
        <v/>
      </c>
      <c r="J2109" s="5">
        <f>IF(I2109="","",I2109+6)</f>
        <v/>
      </c>
      <c r="K2109" s="6">
        <f>IF(OR(A2109="",B2109=""),"",DATE(YEAR(B2109),MONTH(B2109),1))</f>
        <v/>
      </c>
      <c r="L2109" s="7">
        <f>IF(COUNTA(A2109,B2109)=0,"",IF(OR(A2109="",B2109=""),"Preencher CPF e entrada",IF(COUNTIFS($A$12:$A$5011,A2109,$B$12:$B$5011,B2109)&gt;1,"CPF + dia duplicado",IF(OR(AND(E2109&lt;&gt;"",E2109&lt;B2109),AND(F2109&lt;&gt;"",F2109&lt;B2109)),"Evento anterior à entrada",IF(AND(F2109&lt;&gt;"",E2109=""),"Conversa sem agendamento",IF(OR(E2109&gt;TODAY(),F2109&gt;TODAY()),"Verificar evento futuro","OK"))))))</f>
        <v/>
      </c>
    </row>
    <row r="2110" spans="9:12">
      <c r="I2110" s="5">
        <f>IF(OR(A2110="",B2110=""),"",B2110-WEEKDAY(B2110,2)+1)</f>
        <v/>
      </c>
      <c r="J2110" s="5">
        <f>IF(I2110="","",I2110+6)</f>
        <v/>
      </c>
      <c r="K2110" s="6">
        <f>IF(OR(A2110="",B2110=""),"",DATE(YEAR(B2110),MONTH(B2110),1))</f>
        <v/>
      </c>
      <c r="L2110" s="7">
        <f>IF(COUNTA(A2110,B2110)=0,"",IF(OR(A2110="",B2110=""),"Preencher CPF e entrada",IF(COUNTIFS($A$12:$A$5011,A2110,$B$12:$B$5011,B2110)&gt;1,"CPF + dia duplicado",IF(OR(AND(E2110&lt;&gt;"",E2110&lt;B2110),AND(F2110&lt;&gt;"",F2110&lt;B2110)),"Evento anterior à entrada",IF(AND(F2110&lt;&gt;"",E2110=""),"Conversa sem agendamento",IF(OR(E2110&gt;TODAY(),F2110&gt;TODAY()),"Verificar evento futuro","OK"))))))</f>
        <v/>
      </c>
    </row>
    <row r="2111" spans="9:12">
      <c r="I2111" s="5">
        <f>IF(OR(A2111="",B2111=""),"",B2111-WEEKDAY(B2111,2)+1)</f>
        <v/>
      </c>
      <c r="J2111" s="5">
        <f>IF(I2111="","",I2111+6)</f>
        <v/>
      </c>
      <c r="K2111" s="6">
        <f>IF(OR(A2111="",B2111=""),"",DATE(YEAR(B2111),MONTH(B2111),1))</f>
        <v/>
      </c>
      <c r="L2111" s="7">
        <f>IF(COUNTA(A2111,B2111)=0,"",IF(OR(A2111="",B2111=""),"Preencher CPF e entrada",IF(COUNTIFS($A$12:$A$5011,A2111,$B$12:$B$5011,B2111)&gt;1,"CPF + dia duplicado",IF(OR(AND(E2111&lt;&gt;"",E2111&lt;B2111),AND(F2111&lt;&gt;"",F2111&lt;B2111)),"Evento anterior à entrada",IF(AND(F2111&lt;&gt;"",E2111=""),"Conversa sem agendamento",IF(OR(E2111&gt;TODAY(),F2111&gt;TODAY()),"Verificar evento futuro","OK"))))))</f>
        <v/>
      </c>
    </row>
    <row r="2112" spans="9:12">
      <c r="I2112" s="5">
        <f>IF(OR(A2112="",B2112=""),"",B2112-WEEKDAY(B2112,2)+1)</f>
        <v/>
      </c>
      <c r="J2112" s="5">
        <f>IF(I2112="","",I2112+6)</f>
        <v/>
      </c>
      <c r="K2112" s="6">
        <f>IF(OR(A2112="",B2112=""),"",DATE(YEAR(B2112),MONTH(B2112),1))</f>
        <v/>
      </c>
      <c r="L2112" s="7">
        <f>IF(COUNTA(A2112,B2112)=0,"",IF(OR(A2112="",B2112=""),"Preencher CPF e entrada",IF(COUNTIFS($A$12:$A$5011,A2112,$B$12:$B$5011,B2112)&gt;1,"CPF + dia duplicado",IF(OR(AND(E2112&lt;&gt;"",E2112&lt;B2112),AND(F2112&lt;&gt;"",F2112&lt;B2112)),"Evento anterior à entrada",IF(AND(F2112&lt;&gt;"",E2112=""),"Conversa sem agendamento",IF(OR(E2112&gt;TODAY(),F2112&gt;TODAY()),"Verificar evento futuro","OK"))))))</f>
        <v/>
      </c>
    </row>
    <row r="2113" spans="9:12">
      <c r="I2113" s="5">
        <f>IF(OR(A2113="",B2113=""),"",B2113-WEEKDAY(B2113,2)+1)</f>
        <v/>
      </c>
      <c r="J2113" s="5">
        <f>IF(I2113="","",I2113+6)</f>
        <v/>
      </c>
      <c r="K2113" s="6">
        <f>IF(OR(A2113="",B2113=""),"",DATE(YEAR(B2113),MONTH(B2113),1))</f>
        <v/>
      </c>
      <c r="L2113" s="7">
        <f>IF(COUNTA(A2113,B2113)=0,"",IF(OR(A2113="",B2113=""),"Preencher CPF e entrada",IF(COUNTIFS($A$12:$A$5011,A2113,$B$12:$B$5011,B2113)&gt;1,"CPF + dia duplicado",IF(OR(AND(E2113&lt;&gt;"",E2113&lt;B2113),AND(F2113&lt;&gt;"",F2113&lt;B2113)),"Evento anterior à entrada",IF(AND(F2113&lt;&gt;"",E2113=""),"Conversa sem agendamento",IF(OR(E2113&gt;TODAY(),F2113&gt;TODAY()),"Verificar evento futuro","OK"))))))</f>
        <v/>
      </c>
    </row>
    <row r="2114" spans="9:12">
      <c r="I2114" s="5">
        <f>IF(OR(A2114="",B2114=""),"",B2114-WEEKDAY(B2114,2)+1)</f>
        <v/>
      </c>
      <c r="J2114" s="5">
        <f>IF(I2114="","",I2114+6)</f>
        <v/>
      </c>
      <c r="K2114" s="6">
        <f>IF(OR(A2114="",B2114=""),"",DATE(YEAR(B2114),MONTH(B2114),1))</f>
        <v/>
      </c>
      <c r="L2114" s="7">
        <f>IF(COUNTA(A2114,B2114)=0,"",IF(OR(A2114="",B2114=""),"Preencher CPF e entrada",IF(COUNTIFS($A$12:$A$5011,A2114,$B$12:$B$5011,B2114)&gt;1,"CPF + dia duplicado",IF(OR(AND(E2114&lt;&gt;"",E2114&lt;B2114),AND(F2114&lt;&gt;"",F2114&lt;B2114)),"Evento anterior à entrada",IF(AND(F2114&lt;&gt;"",E2114=""),"Conversa sem agendamento",IF(OR(E2114&gt;TODAY(),F2114&gt;TODAY()),"Verificar evento futuro","OK"))))))</f>
        <v/>
      </c>
    </row>
    <row r="2115" spans="9:12">
      <c r="I2115" s="5">
        <f>IF(OR(A2115="",B2115=""),"",B2115-WEEKDAY(B2115,2)+1)</f>
        <v/>
      </c>
      <c r="J2115" s="5">
        <f>IF(I2115="","",I2115+6)</f>
        <v/>
      </c>
      <c r="K2115" s="6">
        <f>IF(OR(A2115="",B2115=""),"",DATE(YEAR(B2115),MONTH(B2115),1))</f>
        <v/>
      </c>
      <c r="L2115" s="7">
        <f>IF(COUNTA(A2115,B2115)=0,"",IF(OR(A2115="",B2115=""),"Preencher CPF e entrada",IF(COUNTIFS($A$12:$A$5011,A2115,$B$12:$B$5011,B2115)&gt;1,"CPF + dia duplicado",IF(OR(AND(E2115&lt;&gt;"",E2115&lt;B2115),AND(F2115&lt;&gt;"",F2115&lt;B2115)),"Evento anterior à entrada",IF(AND(F2115&lt;&gt;"",E2115=""),"Conversa sem agendamento",IF(OR(E2115&gt;TODAY(),F2115&gt;TODAY()),"Verificar evento futuro","OK"))))))</f>
        <v/>
      </c>
    </row>
    <row r="2116" spans="9:12">
      <c r="I2116" s="5">
        <f>IF(OR(A2116="",B2116=""),"",B2116-WEEKDAY(B2116,2)+1)</f>
        <v/>
      </c>
      <c r="J2116" s="5">
        <f>IF(I2116="","",I2116+6)</f>
        <v/>
      </c>
      <c r="K2116" s="6">
        <f>IF(OR(A2116="",B2116=""),"",DATE(YEAR(B2116),MONTH(B2116),1))</f>
        <v/>
      </c>
      <c r="L2116" s="7">
        <f>IF(COUNTA(A2116,B2116)=0,"",IF(OR(A2116="",B2116=""),"Preencher CPF e entrada",IF(COUNTIFS($A$12:$A$5011,A2116,$B$12:$B$5011,B2116)&gt;1,"CPF + dia duplicado",IF(OR(AND(E2116&lt;&gt;"",E2116&lt;B2116),AND(F2116&lt;&gt;"",F2116&lt;B2116)),"Evento anterior à entrada",IF(AND(F2116&lt;&gt;"",E2116=""),"Conversa sem agendamento",IF(OR(E2116&gt;TODAY(),F2116&gt;TODAY()),"Verificar evento futuro","OK"))))))</f>
        <v/>
      </c>
    </row>
    <row r="2117" spans="9:12">
      <c r="I2117" s="5">
        <f>IF(OR(A2117="",B2117=""),"",B2117-WEEKDAY(B2117,2)+1)</f>
        <v/>
      </c>
      <c r="J2117" s="5">
        <f>IF(I2117="","",I2117+6)</f>
        <v/>
      </c>
      <c r="K2117" s="6">
        <f>IF(OR(A2117="",B2117=""),"",DATE(YEAR(B2117),MONTH(B2117),1))</f>
        <v/>
      </c>
      <c r="L2117" s="7">
        <f>IF(COUNTA(A2117,B2117)=0,"",IF(OR(A2117="",B2117=""),"Preencher CPF e entrada",IF(COUNTIFS($A$12:$A$5011,A2117,$B$12:$B$5011,B2117)&gt;1,"CPF + dia duplicado",IF(OR(AND(E2117&lt;&gt;"",E2117&lt;B2117),AND(F2117&lt;&gt;"",F2117&lt;B2117)),"Evento anterior à entrada",IF(AND(F2117&lt;&gt;"",E2117=""),"Conversa sem agendamento",IF(OR(E2117&gt;TODAY(),F2117&gt;TODAY()),"Verificar evento futuro","OK"))))))</f>
        <v/>
      </c>
    </row>
    <row r="2118" spans="9:12">
      <c r="I2118" s="5">
        <f>IF(OR(A2118="",B2118=""),"",B2118-WEEKDAY(B2118,2)+1)</f>
        <v/>
      </c>
      <c r="J2118" s="5">
        <f>IF(I2118="","",I2118+6)</f>
        <v/>
      </c>
      <c r="K2118" s="6">
        <f>IF(OR(A2118="",B2118=""),"",DATE(YEAR(B2118),MONTH(B2118),1))</f>
        <v/>
      </c>
      <c r="L2118" s="7">
        <f>IF(COUNTA(A2118,B2118)=0,"",IF(OR(A2118="",B2118=""),"Preencher CPF e entrada",IF(COUNTIFS($A$12:$A$5011,A2118,$B$12:$B$5011,B2118)&gt;1,"CPF + dia duplicado",IF(OR(AND(E2118&lt;&gt;"",E2118&lt;B2118),AND(F2118&lt;&gt;"",F2118&lt;B2118)),"Evento anterior à entrada",IF(AND(F2118&lt;&gt;"",E2118=""),"Conversa sem agendamento",IF(OR(E2118&gt;TODAY(),F2118&gt;TODAY()),"Verificar evento futuro","OK"))))))</f>
        <v/>
      </c>
    </row>
    <row r="2119" spans="9:12">
      <c r="I2119" s="5">
        <f>IF(OR(A2119="",B2119=""),"",B2119-WEEKDAY(B2119,2)+1)</f>
        <v/>
      </c>
      <c r="J2119" s="5">
        <f>IF(I2119="","",I2119+6)</f>
        <v/>
      </c>
      <c r="K2119" s="6">
        <f>IF(OR(A2119="",B2119=""),"",DATE(YEAR(B2119),MONTH(B2119),1))</f>
        <v/>
      </c>
      <c r="L2119" s="7">
        <f>IF(COUNTA(A2119,B2119)=0,"",IF(OR(A2119="",B2119=""),"Preencher CPF e entrada",IF(COUNTIFS($A$12:$A$5011,A2119,$B$12:$B$5011,B2119)&gt;1,"CPF + dia duplicado",IF(OR(AND(E2119&lt;&gt;"",E2119&lt;B2119),AND(F2119&lt;&gt;"",F2119&lt;B2119)),"Evento anterior à entrada",IF(AND(F2119&lt;&gt;"",E2119=""),"Conversa sem agendamento",IF(OR(E2119&gt;TODAY(),F2119&gt;TODAY()),"Verificar evento futuro","OK"))))))</f>
        <v/>
      </c>
    </row>
    <row r="2120" spans="9:12">
      <c r="I2120" s="5">
        <f>IF(OR(A2120="",B2120=""),"",B2120-WEEKDAY(B2120,2)+1)</f>
        <v/>
      </c>
      <c r="J2120" s="5">
        <f>IF(I2120="","",I2120+6)</f>
        <v/>
      </c>
      <c r="K2120" s="6">
        <f>IF(OR(A2120="",B2120=""),"",DATE(YEAR(B2120),MONTH(B2120),1))</f>
        <v/>
      </c>
      <c r="L2120" s="7">
        <f>IF(COUNTA(A2120,B2120)=0,"",IF(OR(A2120="",B2120=""),"Preencher CPF e entrada",IF(COUNTIFS($A$12:$A$5011,A2120,$B$12:$B$5011,B2120)&gt;1,"CPF + dia duplicado",IF(OR(AND(E2120&lt;&gt;"",E2120&lt;B2120),AND(F2120&lt;&gt;"",F2120&lt;B2120)),"Evento anterior à entrada",IF(AND(F2120&lt;&gt;"",E2120=""),"Conversa sem agendamento",IF(OR(E2120&gt;TODAY(),F2120&gt;TODAY()),"Verificar evento futuro","OK"))))))</f>
        <v/>
      </c>
    </row>
    <row r="2121" spans="9:12">
      <c r="I2121" s="5">
        <f>IF(OR(A2121="",B2121=""),"",B2121-WEEKDAY(B2121,2)+1)</f>
        <v/>
      </c>
      <c r="J2121" s="5">
        <f>IF(I2121="","",I2121+6)</f>
        <v/>
      </c>
      <c r="K2121" s="6">
        <f>IF(OR(A2121="",B2121=""),"",DATE(YEAR(B2121),MONTH(B2121),1))</f>
        <v/>
      </c>
      <c r="L2121" s="7">
        <f>IF(COUNTA(A2121,B2121)=0,"",IF(OR(A2121="",B2121=""),"Preencher CPF e entrada",IF(COUNTIFS($A$12:$A$5011,A2121,$B$12:$B$5011,B2121)&gt;1,"CPF + dia duplicado",IF(OR(AND(E2121&lt;&gt;"",E2121&lt;B2121),AND(F2121&lt;&gt;"",F2121&lt;B2121)),"Evento anterior à entrada",IF(AND(F2121&lt;&gt;"",E2121=""),"Conversa sem agendamento",IF(OR(E2121&gt;TODAY(),F2121&gt;TODAY()),"Verificar evento futuro","OK"))))))</f>
        <v/>
      </c>
    </row>
    <row r="2122" spans="9:12">
      <c r="I2122" s="5">
        <f>IF(OR(A2122="",B2122=""),"",B2122-WEEKDAY(B2122,2)+1)</f>
        <v/>
      </c>
      <c r="J2122" s="5">
        <f>IF(I2122="","",I2122+6)</f>
        <v/>
      </c>
      <c r="K2122" s="6">
        <f>IF(OR(A2122="",B2122=""),"",DATE(YEAR(B2122),MONTH(B2122),1))</f>
        <v/>
      </c>
      <c r="L2122" s="7">
        <f>IF(COUNTA(A2122,B2122)=0,"",IF(OR(A2122="",B2122=""),"Preencher CPF e entrada",IF(COUNTIFS($A$12:$A$5011,A2122,$B$12:$B$5011,B2122)&gt;1,"CPF + dia duplicado",IF(OR(AND(E2122&lt;&gt;"",E2122&lt;B2122),AND(F2122&lt;&gt;"",F2122&lt;B2122)),"Evento anterior à entrada",IF(AND(F2122&lt;&gt;"",E2122=""),"Conversa sem agendamento",IF(OR(E2122&gt;TODAY(),F2122&gt;TODAY()),"Verificar evento futuro","OK"))))))</f>
        <v/>
      </c>
    </row>
    <row r="2123" spans="9:12">
      <c r="I2123" s="5">
        <f>IF(OR(A2123="",B2123=""),"",B2123-WEEKDAY(B2123,2)+1)</f>
        <v/>
      </c>
      <c r="J2123" s="5">
        <f>IF(I2123="","",I2123+6)</f>
        <v/>
      </c>
      <c r="K2123" s="6">
        <f>IF(OR(A2123="",B2123=""),"",DATE(YEAR(B2123),MONTH(B2123),1))</f>
        <v/>
      </c>
      <c r="L2123" s="7">
        <f>IF(COUNTA(A2123,B2123)=0,"",IF(OR(A2123="",B2123=""),"Preencher CPF e entrada",IF(COUNTIFS($A$12:$A$5011,A2123,$B$12:$B$5011,B2123)&gt;1,"CPF + dia duplicado",IF(OR(AND(E2123&lt;&gt;"",E2123&lt;B2123),AND(F2123&lt;&gt;"",F2123&lt;B2123)),"Evento anterior à entrada",IF(AND(F2123&lt;&gt;"",E2123=""),"Conversa sem agendamento",IF(OR(E2123&gt;TODAY(),F2123&gt;TODAY()),"Verificar evento futuro","OK"))))))</f>
        <v/>
      </c>
    </row>
    <row r="2124" spans="9:12">
      <c r="I2124" s="5">
        <f>IF(OR(A2124="",B2124=""),"",B2124-WEEKDAY(B2124,2)+1)</f>
        <v/>
      </c>
      <c r="J2124" s="5">
        <f>IF(I2124="","",I2124+6)</f>
        <v/>
      </c>
      <c r="K2124" s="6">
        <f>IF(OR(A2124="",B2124=""),"",DATE(YEAR(B2124),MONTH(B2124),1))</f>
        <v/>
      </c>
      <c r="L2124" s="7">
        <f>IF(COUNTA(A2124,B2124)=0,"",IF(OR(A2124="",B2124=""),"Preencher CPF e entrada",IF(COUNTIFS($A$12:$A$5011,A2124,$B$12:$B$5011,B2124)&gt;1,"CPF + dia duplicado",IF(OR(AND(E2124&lt;&gt;"",E2124&lt;B2124),AND(F2124&lt;&gt;"",F2124&lt;B2124)),"Evento anterior à entrada",IF(AND(F2124&lt;&gt;"",E2124=""),"Conversa sem agendamento",IF(OR(E2124&gt;TODAY(),F2124&gt;TODAY()),"Verificar evento futuro","OK"))))))</f>
        <v/>
      </c>
    </row>
    <row r="2125" spans="9:12">
      <c r="I2125" s="5">
        <f>IF(OR(A2125="",B2125=""),"",B2125-WEEKDAY(B2125,2)+1)</f>
        <v/>
      </c>
      <c r="J2125" s="5">
        <f>IF(I2125="","",I2125+6)</f>
        <v/>
      </c>
      <c r="K2125" s="6">
        <f>IF(OR(A2125="",B2125=""),"",DATE(YEAR(B2125),MONTH(B2125),1))</f>
        <v/>
      </c>
      <c r="L2125" s="7">
        <f>IF(COUNTA(A2125,B2125)=0,"",IF(OR(A2125="",B2125=""),"Preencher CPF e entrada",IF(COUNTIFS($A$12:$A$5011,A2125,$B$12:$B$5011,B2125)&gt;1,"CPF + dia duplicado",IF(OR(AND(E2125&lt;&gt;"",E2125&lt;B2125),AND(F2125&lt;&gt;"",F2125&lt;B2125)),"Evento anterior à entrada",IF(AND(F2125&lt;&gt;"",E2125=""),"Conversa sem agendamento",IF(OR(E2125&gt;TODAY(),F2125&gt;TODAY()),"Verificar evento futuro","OK"))))))</f>
        <v/>
      </c>
    </row>
    <row r="2126" spans="9:12">
      <c r="I2126" s="5">
        <f>IF(OR(A2126="",B2126=""),"",B2126-WEEKDAY(B2126,2)+1)</f>
        <v/>
      </c>
      <c r="J2126" s="5">
        <f>IF(I2126="","",I2126+6)</f>
        <v/>
      </c>
      <c r="K2126" s="6">
        <f>IF(OR(A2126="",B2126=""),"",DATE(YEAR(B2126),MONTH(B2126),1))</f>
        <v/>
      </c>
      <c r="L2126" s="7">
        <f>IF(COUNTA(A2126,B2126)=0,"",IF(OR(A2126="",B2126=""),"Preencher CPF e entrada",IF(COUNTIFS($A$12:$A$5011,A2126,$B$12:$B$5011,B2126)&gt;1,"CPF + dia duplicado",IF(OR(AND(E2126&lt;&gt;"",E2126&lt;B2126),AND(F2126&lt;&gt;"",F2126&lt;B2126)),"Evento anterior à entrada",IF(AND(F2126&lt;&gt;"",E2126=""),"Conversa sem agendamento",IF(OR(E2126&gt;TODAY(),F2126&gt;TODAY()),"Verificar evento futuro","OK"))))))</f>
        <v/>
      </c>
    </row>
    <row r="2127" spans="9:12">
      <c r="I2127" s="5">
        <f>IF(OR(A2127="",B2127=""),"",B2127-WEEKDAY(B2127,2)+1)</f>
        <v/>
      </c>
      <c r="J2127" s="5">
        <f>IF(I2127="","",I2127+6)</f>
        <v/>
      </c>
      <c r="K2127" s="6">
        <f>IF(OR(A2127="",B2127=""),"",DATE(YEAR(B2127),MONTH(B2127),1))</f>
        <v/>
      </c>
      <c r="L2127" s="7">
        <f>IF(COUNTA(A2127,B2127)=0,"",IF(OR(A2127="",B2127=""),"Preencher CPF e entrada",IF(COUNTIFS($A$12:$A$5011,A2127,$B$12:$B$5011,B2127)&gt;1,"CPF + dia duplicado",IF(OR(AND(E2127&lt;&gt;"",E2127&lt;B2127),AND(F2127&lt;&gt;"",F2127&lt;B2127)),"Evento anterior à entrada",IF(AND(F2127&lt;&gt;"",E2127=""),"Conversa sem agendamento",IF(OR(E2127&gt;TODAY(),F2127&gt;TODAY()),"Verificar evento futuro","OK"))))))</f>
        <v/>
      </c>
    </row>
    <row r="2128" spans="9:12">
      <c r="I2128" s="5">
        <f>IF(OR(A2128="",B2128=""),"",B2128-WEEKDAY(B2128,2)+1)</f>
        <v/>
      </c>
      <c r="J2128" s="5">
        <f>IF(I2128="","",I2128+6)</f>
        <v/>
      </c>
      <c r="K2128" s="6">
        <f>IF(OR(A2128="",B2128=""),"",DATE(YEAR(B2128),MONTH(B2128),1))</f>
        <v/>
      </c>
      <c r="L2128" s="7">
        <f>IF(COUNTA(A2128,B2128)=0,"",IF(OR(A2128="",B2128=""),"Preencher CPF e entrada",IF(COUNTIFS($A$12:$A$5011,A2128,$B$12:$B$5011,B2128)&gt;1,"CPF + dia duplicado",IF(OR(AND(E2128&lt;&gt;"",E2128&lt;B2128),AND(F2128&lt;&gt;"",F2128&lt;B2128)),"Evento anterior à entrada",IF(AND(F2128&lt;&gt;"",E2128=""),"Conversa sem agendamento",IF(OR(E2128&gt;TODAY(),F2128&gt;TODAY()),"Verificar evento futuro","OK"))))))</f>
        <v/>
      </c>
    </row>
    <row r="2129" spans="9:12">
      <c r="I2129" s="5">
        <f>IF(OR(A2129="",B2129=""),"",B2129-WEEKDAY(B2129,2)+1)</f>
        <v/>
      </c>
      <c r="J2129" s="5">
        <f>IF(I2129="","",I2129+6)</f>
        <v/>
      </c>
      <c r="K2129" s="6">
        <f>IF(OR(A2129="",B2129=""),"",DATE(YEAR(B2129),MONTH(B2129),1))</f>
        <v/>
      </c>
      <c r="L2129" s="7">
        <f>IF(COUNTA(A2129,B2129)=0,"",IF(OR(A2129="",B2129=""),"Preencher CPF e entrada",IF(COUNTIFS($A$12:$A$5011,A2129,$B$12:$B$5011,B2129)&gt;1,"CPF + dia duplicado",IF(OR(AND(E2129&lt;&gt;"",E2129&lt;B2129),AND(F2129&lt;&gt;"",F2129&lt;B2129)),"Evento anterior à entrada",IF(AND(F2129&lt;&gt;"",E2129=""),"Conversa sem agendamento",IF(OR(E2129&gt;TODAY(),F2129&gt;TODAY()),"Verificar evento futuro","OK"))))))</f>
        <v/>
      </c>
    </row>
    <row r="2130" spans="9:12">
      <c r="I2130" s="5">
        <f>IF(OR(A2130="",B2130=""),"",B2130-WEEKDAY(B2130,2)+1)</f>
        <v/>
      </c>
      <c r="J2130" s="5">
        <f>IF(I2130="","",I2130+6)</f>
        <v/>
      </c>
      <c r="K2130" s="6">
        <f>IF(OR(A2130="",B2130=""),"",DATE(YEAR(B2130),MONTH(B2130),1))</f>
        <v/>
      </c>
      <c r="L2130" s="7">
        <f>IF(COUNTA(A2130,B2130)=0,"",IF(OR(A2130="",B2130=""),"Preencher CPF e entrada",IF(COUNTIFS($A$12:$A$5011,A2130,$B$12:$B$5011,B2130)&gt;1,"CPF + dia duplicado",IF(OR(AND(E2130&lt;&gt;"",E2130&lt;B2130),AND(F2130&lt;&gt;"",F2130&lt;B2130)),"Evento anterior à entrada",IF(AND(F2130&lt;&gt;"",E2130=""),"Conversa sem agendamento",IF(OR(E2130&gt;TODAY(),F2130&gt;TODAY()),"Verificar evento futuro","OK"))))))</f>
        <v/>
      </c>
    </row>
    <row r="2131" spans="9:12">
      <c r="I2131" s="5">
        <f>IF(OR(A2131="",B2131=""),"",B2131-WEEKDAY(B2131,2)+1)</f>
        <v/>
      </c>
      <c r="J2131" s="5">
        <f>IF(I2131="","",I2131+6)</f>
        <v/>
      </c>
      <c r="K2131" s="6">
        <f>IF(OR(A2131="",B2131=""),"",DATE(YEAR(B2131),MONTH(B2131),1))</f>
        <v/>
      </c>
      <c r="L2131" s="7">
        <f>IF(COUNTA(A2131,B2131)=0,"",IF(OR(A2131="",B2131=""),"Preencher CPF e entrada",IF(COUNTIFS($A$12:$A$5011,A2131,$B$12:$B$5011,B2131)&gt;1,"CPF + dia duplicado",IF(OR(AND(E2131&lt;&gt;"",E2131&lt;B2131),AND(F2131&lt;&gt;"",F2131&lt;B2131)),"Evento anterior à entrada",IF(AND(F2131&lt;&gt;"",E2131=""),"Conversa sem agendamento",IF(OR(E2131&gt;TODAY(),F2131&gt;TODAY()),"Verificar evento futuro","OK"))))))</f>
        <v/>
      </c>
    </row>
    <row r="2132" spans="9:12">
      <c r="I2132" s="5">
        <f>IF(OR(A2132="",B2132=""),"",B2132-WEEKDAY(B2132,2)+1)</f>
        <v/>
      </c>
      <c r="J2132" s="5">
        <f>IF(I2132="","",I2132+6)</f>
        <v/>
      </c>
      <c r="K2132" s="6">
        <f>IF(OR(A2132="",B2132=""),"",DATE(YEAR(B2132),MONTH(B2132),1))</f>
        <v/>
      </c>
      <c r="L2132" s="7">
        <f>IF(COUNTA(A2132,B2132)=0,"",IF(OR(A2132="",B2132=""),"Preencher CPF e entrada",IF(COUNTIFS($A$12:$A$5011,A2132,$B$12:$B$5011,B2132)&gt;1,"CPF + dia duplicado",IF(OR(AND(E2132&lt;&gt;"",E2132&lt;B2132),AND(F2132&lt;&gt;"",F2132&lt;B2132)),"Evento anterior à entrada",IF(AND(F2132&lt;&gt;"",E2132=""),"Conversa sem agendamento",IF(OR(E2132&gt;TODAY(),F2132&gt;TODAY()),"Verificar evento futuro","OK"))))))</f>
        <v/>
      </c>
    </row>
    <row r="2133" spans="9:12">
      <c r="I2133" s="5">
        <f>IF(OR(A2133="",B2133=""),"",B2133-WEEKDAY(B2133,2)+1)</f>
        <v/>
      </c>
      <c r="J2133" s="5">
        <f>IF(I2133="","",I2133+6)</f>
        <v/>
      </c>
      <c r="K2133" s="6">
        <f>IF(OR(A2133="",B2133=""),"",DATE(YEAR(B2133),MONTH(B2133),1))</f>
        <v/>
      </c>
      <c r="L2133" s="7">
        <f>IF(COUNTA(A2133,B2133)=0,"",IF(OR(A2133="",B2133=""),"Preencher CPF e entrada",IF(COUNTIFS($A$12:$A$5011,A2133,$B$12:$B$5011,B2133)&gt;1,"CPF + dia duplicado",IF(OR(AND(E2133&lt;&gt;"",E2133&lt;B2133),AND(F2133&lt;&gt;"",F2133&lt;B2133)),"Evento anterior à entrada",IF(AND(F2133&lt;&gt;"",E2133=""),"Conversa sem agendamento",IF(OR(E2133&gt;TODAY(),F2133&gt;TODAY()),"Verificar evento futuro","OK"))))))</f>
        <v/>
      </c>
    </row>
    <row r="2134" spans="9:12">
      <c r="I2134" s="5">
        <f>IF(OR(A2134="",B2134=""),"",B2134-WEEKDAY(B2134,2)+1)</f>
        <v/>
      </c>
      <c r="J2134" s="5">
        <f>IF(I2134="","",I2134+6)</f>
        <v/>
      </c>
      <c r="K2134" s="6">
        <f>IF(OR(A2134="",B2134=""),"",DATE(YEAR(B2134),MONTH(B2134),1))</f>
        <v/>
      </c>
      <c r="L2134" s="7">
        <f>IF(COUNTA(A2134,B2134)=0,"",IF(OR(A2134="",B2134=""),"Preencher CPF e entrada",IF(COUNTIFS($A$12:$A$5011,A2134,$B$12:$B$5011,B2134)&gt;1,"CPF + dia duplicado",IF(OR(AND(E2134&lt;&gt;"",E2134&lt;B2134),AND(F2134&lt;&gt;"",F2134&lt;B2134)),"Evento anterior à entrada",IF(AND(F2134&lt;&gt;"",E2134=""),"Conversa sem agendamento",IF(OR(E2134&gt;TODAY(),F2134&gt;TODAY()),"Verificar evento futuro","OK"))))))</f>
        <v/>
      </c>
    </row>
    <row r="2135" spans="9:12">
      <c r="I2135" s="5">
        <f>IF(OR(A2135="",B2135=""),"",B2135-WEEKDAY(B2135,2)+1)</f>
        <v/>
      </c>
      <c r="J2135" s="5">
        <f>IF(I2135="","",I2135+6)</f>
        <v/>
      </c>
      <c r="K2135" s="6">
        <f>IF(OR(A2135="",B2135=""),"",DATE(YEAR(B2135),MONTH(B2135),1))</f>
        <v/>
      </c>
      <c r="L2135" s="7">
        <f>IF(COUNTA(A2135,B2135)=0,"",IF(OR(A2135="",B2135=""),"Preencher CPF e entrada",IF(COUNTIFS($A$12:$A$5011,A2135,$B$12:$B$5011,B2135)&gt;1,"CPF + dia duplicado",IF(OR(AND(E2135&lt;&gt;"",E2135&lt;B2135),AND(F2135&lt;&gt;"",F2135&lt;B2135)),"Evento anterior à entrada",IF(AND(F2135&lt;&gt;"",E2135=""),"Conversa sem agendamento",IF(OR(E2135&gt;TODAY(),F2135&gt;TODAY()),"Verificar evento futuro","OK"))))))</f>
        <v/>
      </c>
    </row>
    <row r="2136" spans="9:12">
      <c r="I2136" s="5">
        <f>IF(OR(A2136="",B2136=""),"",B2136-WEEKDAY(B2136,2)+1)</f>
        <v/>
      </c>
      <c r="J2136" s="5">
        <f>IF(I2136="","",I2136+6)</f>
        <v/>
      </c>
      <c r="K2136" s="6">
        <f>IF(OR(A2136="",B2136=""),"",DATE(YEAR(B2136),MONTH(B2136),1))</f>
        <v/>
      </c>
      <c r="L2136" s="7">
        <f>IF(COUNTA(A2136,B2136)=0,"",IF(OR(A2136="",B2136=""),"Preencher CPF e entrada",IF(COUNTIFS($A$12:$A$5011,A2136,$B$12:$B$5011,B2136)&gt;1,"CPF + dia duplicado",IF(OR(AND(E2136&lt;&gt;"",E2136&lt;B2136),AND(F2136&lt;&gt;"",F2136&lt;B2136)),"Evento anterior à entrada",IF(AND(F2136&lt;&gt;"",E2136=""),"Conversa sem agendamento",IF(OR(E2136&gt;TODAY(),F2136&gt;TODAY()),"Verificar evento futuro","OK"))))))</f>
        <v/>
      </c>
    </row>
    <row r="2137" spans="9:12">
      <c r="I2137" s="5">
        <f>IF(OR(A2137="",B2137=""),"",B2137-WEEKDAY(B2137,2)+1)</f>
        <v/>
      </c>
      <c r="J2137" s="5">
        <f>IF(I2137="","",I2137+6)</f>
        <v/>
      </c>
      <c r="K2137" s="6">
        <f>IF(OR(A2137="",B2137=""),"",DATE(YEAR(B2137),MONTH(B2137),1))</f>
        <v/>
      </c>
      <c r="L2137" s="7">
        <f>IF(COUNTA(A2137,B2137)=0,"",IF(OR(A2137="",B2137=""),"Preencher CPF e entrada",IF(COUNTIFS($A$12:$A$5011,A2137,$B$12:$B$5011,B2137)&gt;1,"CPF + dia duplicado",IF(OR(AND(E2137&lt;&gt;"",E2137&lt;B2137),AND(F2137&lt;&gt;"",F2137&lt;B2137)),"Evento anterior à entrada",IF(AND(F2137&lt;&gt;"",E2137=""),"Conversa sem agendamento",IF(OR(E2137&gt;TODAY(),F2137&gt;TODAY()),"Verificar evento futuro","OK"))))))</f>
        <v/>
      </c>
    </row>
    <row r="2138" spans="9:12">
      <c r="I2138" s="5">
        <f>IF(OR(A2138="",B2138=""),"",B2138-WEEKDAY(B2138,2)+1)</f>
        <v/>
      </c>
      <c r="J2138" s="5">
        <f>IF(I2138="","",I2138+6)</f>
        <v/>
      </c>
      <c r="K2138" s="6">
        <f>IF(OR(A2138="",B2138=""),"",DATE(YEAR(B2138),MONTH(B2138),1))</f>
        <v/>
      </c>
      <c r="L2138" s="7">
        <f>IF(COUNTA(A2138,B2138)=0,"",IF(OR(A2138="",B2138=""),"Preencher CPF e entrada",IF(COUNTIFS($A$12:$A$5011,A2138,$B$12:$B$5011,B2138)&gt;1,"CPF + dia duplicado",IF(OR(AND(E2138&lt;&gt;"",E2138&lt;B2138),AND(F2138&lt;&gt;"",F2138&lt;B2138)),"Evento anterior à entrada",IF(AND(F2138&lt;&gt;"",E2138=""),"Conversa sem agendamento",IF(OR(E2138&gt;TODAY(),F2138&gt;TODAY()),"Verificar evento futuro","OK"))))))</f>
        <v/>
      </c>
    </row>
    <row r="2139" spans="9:12">
      <c r="I2139" s="5">
        <f>IF(OR(A2139="",B2139=""),"",B2139-WEEKDAY(B2139,2)+1)</f>
        <v/>
      </c>
      <c r="J2139" s="5">
        <f>IF(I2139="","",I2139+6)</f>
        <v/>
      </c>
      <c r="K2139" s="6">
        <f>IF(OR(A2139="",B2139=""),"",DATE(YEAR(B2139),MONTH(B2139),1))</f>
        <v/>
      </c>
      <c r="L2139" s="7">
        <f>IF(COUNTA(A2139,B2139)=0,"",IF(OR(A2139="",B2139=""),"Preencher CPF e entrada",IF(COUNTIFS($A$12:$A$5011,A2139,$B$12:$B$5011,B2139)&gt;1,"CPF + dia duplicado",IF(OR(AND(E2139&lt;&gt;"",E2139&lt;B2139),AND(F2139&lt;&gt;"",F2139&lt;B2139)),"Evento anterior à entrada",IF(AND(F2139&lt;&gt;"",E2139=""),"Conversa sem agendamento",IF(OR(E2139&gt;TODAY(),F2139&gt;TODAY()),"Verificar evento futuro","OK"))))))</f>
        <v/>
      </c>
    </row>
    <row r="2140" spans="9:12">
      <c r="I2140" s="5">
        <f>IF(OR(A2140="",B2140=""),"",B2140-WEEKDAY(B2140,2)+1)</f>
        <v/>
      </c>
      <c r="J2140" s="5">
        <f>IF(I2140="","",I2140+6)</f>
        <v/>
      </c>
      <c r="K2140" s="6">
        <f>IF(OR(A2140="",B2140=""),"",DATE(YEAR(B2140),MONTH(B2140),1))</f>
        <v/>
      </c>
      <c r="L2140" s="7">
        <f>IF(COUNTA(A2140,B2140)=0,"",IF(OR(A2140="",B2140=""),"Preencher CPF e entrada",IF(COUNTIFS($A$12:$A$5011,A2140,$B$12:$B$5011,B2140)&gt;1,"CPF + dia duplicado",IF(OR(AND(E2140&lt;&gt;"",E2140&lt;B2140),AND(F2140&lt;&gt;"",F2140&lt;B2140)),"Evento anterior à entrada",IF(AND(F2140&lt;&gt;"",E2140=""),"Conversa sem agendamento",IF(OR(E2140&gt;TODAY(),F2140&gt;TODAY()),"Verificar evento futuro","OK"))))))</f>
        <v/>
      </c>
    </row>
    <row r="2141" spans="9:12">
      <c r="I2141" s="5">
        <f>IF(OR(A2141="",B2141=""),"",B2141-WEEKDAY(B2141,2)+1)</f>
        <v/>
      </c>
      <c r="J2141" s="5">
        <f>IF(I2141="","",I2141+6)</f>
        <v/>
      </c>
      <c r="K2141" s="6">
        <f>IF(OR(A2141="",B2141=""),"",DATE(YEAR(B2141),MONTH(B2141),1))</f>
        <v/>
      </c>
      <c r="L2141" s="7">
        <f>IF(COUNTA(A2141,B2141)=0,"",IF(OR(A2141="",B2141=""),"Preencher CPF e entrada",IF(COUNTIFS($A$12:$A$5011,A2141,$B$12:$B$5011,B2141)&gt;1,"CPF + dia duplicado",IF(OR(AND(E2141&lt;&gt;"",E2141&lt;B2141),AND(F2141&lt;&gt;"",F2141&lt;B2141)),"Evento anterior à entrada",IF(AND(F2141&lt;&gt;"",E2141=""),"Conversa sem agendamento",IF(OR(E2141&gt;TODAY(),F2141&gt;TODAY()),"Verificar evento futuro","OK"))))))</f>
        <v/>
      </c>
    </row>
    <row r="2142" spans="9:12">
      <c r="I2142" s="5">
        <f>IF(OR(A2142="",B2142=""),"",B2142-WEEKDAY(B2142,2)+1)</f>
        <v/>
      </c>
      <c r="J2142" s="5">
        <f>IF(I2142="","",I2142+6)</f>
        <v/>
      </c>
      <c r="K2142" s="6">
        <f>IF(OR(A2142="",B2142=""),"",DATE(YEAR(B2142),MONTH(B2142),1))</f>
        <v/>
      </c>
      <c r="L2142" s="7">
        <f>IF(COUNTA(A2142,B2142)=0,"",IF(OR(A2142="",B2142=""),"Preencher CPF e entrada",IF(COUNTIFS($A$12:$A$5011,A2142,$B$12:$B$5011,B2142)&gt;1,"CPF + dia duplicado",IF(OR(AND(E2142&lt;&gt;"",E2142&lt;B2142),AND(F2142&lt;&gt;"",F2142&lt;B2142)),"Evento anterior à entrada",IF(AND(F2142&lt;&gt;"",E2142=""),"Conversa sem agendamento",IF(OR(E2142&gt;TODAY(),F2142&gt;TODAY()),"Verificar evento futuro","OK"))))))</f>
        <v/>
      </c>
    </row>
    <row r="2143" spans="9:12">
      <c r="I2143" s="5">
        <f>IF(OR(A2143="",B2143=""),"",B2143-WEEKDAY(B2143,2)+1)</f>
        <v/>
      </c>
      <c r="J2143" s="5">
        <f>IF(I2143="","",I2143+6)</f>
        <v/>
      </c>
      <c r="K2143" s="6">
        <f>IF(OR(A2143="",B2143=""),"",DATE(YEAR(B2143),MONTH(B2143),1))</f>
        <v/>
      </c>
      <c r="L2143" s="7">
        <f>IF(COUNTA(A2143,B2143)=0,"",IF(OR(A2143="",B2143=""),"Preencher CPF e entrada",IF(COUNTIFS($A$12:$A$5011,A2143,$B$12:$B$5011,B2143)&gt;1,"CPF + dia duplicado",IF(OR(AND(E2143&lt;&gt;"",E2143&lt;B2143),AND(F2143&lt;&gt;"",F2143&lt;B2143)),"Evento anterior à entrada",IF(AND(F2143&lt;&gt;"",E2143=""),"Conversa sem agendamento",IF(OR(E2143&gt;TODAY(),F2143&gt;TODAY()),"Verificar evento futuro","OK"))))))</f>
        <v/>
      </c>
    </row>
    <row r="2144" spans="9:12">
      <c r="I2144" s="5">
        <f>IF(OR(A2144="",B2144=""),"",B2144-WEEKDAY(B2144,2)+1)</f>
        <v/>
      </c>
      <c r="J2144" s="5">
        <f>IF(I2144="","",I2144+6)</f>
        <v/>
      </c>
      <c r="K2144" s="6">
        <f>IF(OR(A2144="",B2144=""),"",DATE(YEAR(B2144),MONTH(B2144),1))</f>
        <v/>
      </c>
      <c r="L2144" s="7">
        <f>IF(COUNTA(A2144,B2144)=0,"",IF(OR(A2144="",B2144=""),"Preencher CPF e entrada",IF(COUNTIFS($A$12:$A$5011,A2144,$B$12:$B$5011,B2144)&gt;1,"CPF + dia duplicado",IF(OR(AND(E2144&lt;&gt;"",E2144&lt;B2144),AND(F2144&lt;&gt;"",F2144&lt;B2144)),"Evento anterior à entrada",IF(AND(F2144&lt;&gt;"",E2144=""),"Conversa sem agendamento",IF(OR(E2144&gt;TODAY(),F2144&gt;TODAY()),"Verificar evento futuro","OK"))))))</f>
        <v/>
      </c>
    </row>
    <row r="2145" spans="9:12">
      <c r="I2145" s="5">
        <f>IF(OR(A2145="",B2145=""),"",B2145-WEEKDAY(B2145,2)+1)</f>
        <v/>
      </c>
      <c r="J2145" s="5">
        <f>IF(I2145="","",I2145+6)</f>
        <v/>
      </c>
      <c r="K2145" s="6">
        <f>IF(OR(A2145="",B2145=""),"",DATE(YEAR(B2145),MONTH(B2145),1))</f>
        <v/>
      </c>
      <c r="L2145" s="7">
        <f>IF(COUNTA(A2145,B2145)=0,"",IF(OR(A2145="",B2145=""),"Preencher CPF e entrada",IF(COUNTIFS($A$12:$A$5011,A2145,$B$12:$B$5011,B2145)&gt;1,"CPF + dia duplicado",IF(OR(AND(E2145&lt;&gt;"",E2145&lt;B2145),AND(F2145&lt;&gt;"",F2145&lt;B2145)),"Evento anterior à entrada",IF(AND(F2145&lt;&gt;"",E2145=""),"Conversa sem agendamento",IF(OR(E2145&gt;TODAY(),F2145&gt;TODAY()),"Verificar evento futuro","OK"))))))</f>
        <v/>
      </c>
    </row>
    <row r="2146" spans="9:12">
      <c r="I2146" s="5">
        <f>IF(OR(A2146="",B2146=""),"",B2146-WEEKDAY(B2146,2)+1)</f>
        <v/>
      </c>
      <c r="J2146" s="5">
        <f>IF(I2146="","",I2146+6)</f>
        <v/>
      </c>
      <c r="K2146" s="6">
        <f>IF(OR(A2146="",B2146=""),"",DATE(YEAR(B2146),MONTH(B2146),1))</f>
        <v/>
      </c>
      <c r="L2146" s="7">
        <f>IF(COUNTA(A2146,B2146)=0,"",IF(OR(A2146="",B2146=""),"Preencher CPF e entrada",IF(COUNTIFS($A$12:$A$5011,A2146,$B$12:$B$5011,B2146)&gt;1,"CPF + dia duplicado",IF(OR(AND(E2146&lt;&gt;"",E2146&lt;B2146),AND(F2146&lt;&gt;"",F2146&lt;B2146)),"Evento anterior à entrada",IF(AND(F2146&lt;&gt;"",E2146=""),"Conversa sem agendamento",IF(OR(E2146&gt;TODAY(),F2146&gt;TODAY()),"Verificar evento futuro","OK"))))))</f>
        <v/>
      </c>
    </row>
    <row r="2147" spans="9:12">
      <c r="I2147" s="5">
        <f>IF(OR(A2147="",B2147=""),"",B2147-WEEKDAY(B2147,2)+1)</f>
        <v/>
      </c>
      <c r="J2147" s="5">
        <f>IF(I2147="","",I2147+6)</f>
        <v/>
      </c>
      <c r="K2147" s="6">
        <f>IF(OR(A2147="",B2147=""),"",DATE(YEAR(B2147),MONTH(B2147),1))</f>
        <v/>
      </c>
      <c r="L2147" s="7">
        <f>IF(COUNTA(A2147,B2147)=0,"",IF(OR(A2147="",B2147=""),"Preencher CPF e entrada",IF(COUNTIFS($A$12:$A$5011,A2147,$B$12:$B$5011,B2147)&gt;1,"CPF + dia duplicado",IF(OR(AND(E2147&lt;&gt;"",E2147&lt;B2147),AND(F2147&lt;&gt;"",F2147&lt;B2147)),"Evento anterior à entrada",IF(AND(F2147&lt;&gt;"",E2147=""),"Conversa sem agendamento",IF(OR(E2147&gt;TODAY(),F2147&gt;TODAY()),"Verificar evento futuro","OK"))))))</f>
        <v/>
      </c>
    </row>
    <row r="2148" spans="9:12">
      <c r="I2148" s="5">
        <f>IF(OR(A2148="",B2148=""),"",B2148-WEEKDAY(B2148,2)+1)</f>
        <v/>
      </c>
      <c r="J2148" s="5">
        <f>IF(I2148="","",I2148+6)</f>
        <v/>
      </c>
      <c r="K2148" s="6">
        <f>IF(OR(A2148="",B2148=""),"",DATE(YEAR(B2148),MONTH(B2148),1))</f>
        <v/>
      </c>
      <c r="L2148" s="7">
        <f>IF(COUNTA(A2148,B2148)=0,"",IF(OR(A2148="",B2148=""),"Preencher CPF e entrada",IF(COUNTIFS($A$12:$A$5011,A2148,$B$12:$B$5011,B2148)&gt;1,"CPF + dia duplicado",IF(OR(AND(E2148&lt;&gt;"",E2148&lt;B2148),AND(F2148&lt;&gt;"",F2148&lt;B2148)),"Evento anterior à entrada",IF(AND(F2148&lt;&gt;"",E2148=""),"Conversa sem agendamento",IF(OR(E2148&gt;TODAY(),F2148&gt;TODAY()),"Verificar evento futuro","OK"))))))</f>
        <v/>
      </c>
    </row>
    <row r="2149" spans="9:12">
      <c r="I2149" s="5">
        <f>IF(OR(A2149="",B2149=""),"",B2149-WEEKDAY(B2149,2)+1)</f>
        <v/>
      </c>
      <c r="J2149" s="5">
        <f>IF(I2149="","",I2149+6)</f>
        <v/>
      </c>
      <c r="K2149" s="6">
        <f>IF(OR(A2149="",B2149=""),"",DATE(YEAR(B2149),MONTH(B2149),1))</f>
        <v/>
      </c>
      <c r="L2149" s="7">
        <f>IF(COUNTA(A2149,B2149)=0,"",IF(OR(A2149="",B2149=""),"Preencher CPF e entrada",IF(COUNTIFS($A$12:$A$5011,A2149,$B$12:$B$5011,B2149)&gt;1,"CPF + dia duplicado",IF(OR(AND(E2149&lt;&gt;"",E2149&lt;B2149),AND(F2149&lt;&gt;"",F2149&lt;B2149)),"Evento anterior à entrada",IF(AND(F2149&lt;&gt;"",E2149=""),"Conversa sem agendamento",IF(OR(E2149&gt;TODAY(),F2149&gt;TODAY()),"Verificar evento futuro","OK"))))))</f>
        <v/>
      </c>
    </row>
    <row r="2150" spans="9:12">
      <c r="I2150" s="5">
        <f>IF(OR(A2150="",B2150=""),"",B2150-WEEKDAY(B2150,2)+1)</f>
        <v/>
      </c>
      <c r="J2150" s="5">
        <f>IF(I2150="","",I2150+6)</f>
        <v/>
      </c>
      <c r="K2150" s="6">
        <f>IF(OR(A2150="",B2150=""),"",DATE(YEAR(B2150),MONTH(B2150),1))</f>
        <v/>
      </c>
      <c r="L2150" s="7">
        <f>IF(COUNTA(A2150,B2150)=0,"",IF(OR(A2150="",B2150=""),"Preencher CPF e entrada",IF(COUNTIFS($A$12:$A$5011,A2150,$B$12:$B$5011,B2150)&gt;1,"CPF + dia duplicado",IF(OR(AND(E2150&lt;&gt;"",E2150&lt;B2150),AND(F2150&lt;&gt;"",F2150&lt;B2150)),"Evento anterior à entrada",IF(AND(F2150&lt;&gt;"",E2150=""),"Conversa sem agendamento",IF(OR(E2150&gt;TODAY(),F2150&gt;TODAY()),"Verificar evento futuro","OK"))))))</f>
        <v/>
      </c>
    </row>
    <row r="2151" spans="9:12">
      <c r="I2151" s="5">
        <f>IF(OR(A2151="",B2151=""),"",B2151-WEEKDAY(B2151,2)+1)</f>
        <v/>
      </c>
      <c r="J2151" s="5">
        <f>IF(I2151="","",I2151+6)</f>
        <v/>
      </c>
      <c r="K2151" s="6">
        <f>IF(OR(A2151="",B2151=""),"",DATE(YEAR(B2151),MONTH(B2151),1))</f>
        <v/>
      </c>
      <c r="L2151" s="7">
        <f>IF(COUNTA(A2151,B2151)=0,"",IF(OR(A2151="",B2151=""),"Preencher CPF e entrada",IF(COUNTIFS($A$12:$A$5011,A2151,$B$12:$B$5011,B2151)&gt;1,"CPF + dia duplicado",IF(OR(AND(E2151&lt;&gt;"",E2151&lt;B2151),AND(F2151&lt;&gt;"",F2151&lt;B2151)),"Evento anterior à entrada",IF(AND(F2151&lt;&gt;"",E2151=""),"Conversa sem agendamento",IF(OR(E2151&gt;TODAY(),F2151&gt;TODAY()),"Verificar evento futuro","OK"))))))</f>
        <v/>
      </c>
    </row>
    <row r="2152" spans="9:12">
      <c r="I2152" s="5">
        <f>IF(OR(A2152="",B2152=""),"",B2152-WEEKDAY(B2152,2)+1)</f>
        <v/>
      </c>
      <c r="J2152" s="5">
        <f>IF(I2152="","",I2152+6)</f>
        <v/>
      </c>
      <c r="K2152" s="6">
        <f>IF(OR(A2152="",B2152=""),"",DATE(YEAR(B2152),MONTH(B2152),1))</f>
        <v/>
      </c>
      <c r="L2152" s="7">
        <f>IF(COUNTA(A2152,B2152)=0,"",IF(OR(A2152="",B2152=""),"Preencher CPF e entrada",IF(COUNTIFS($A$12:$A$5011,A2152,$B$12:$B$5011,B2152)&gt;1,"CPF + dia duplicado",IF(OR(AND(E2152&lt;&gt;"",E2152&lt;B2152),AND(F2152&lt;&gt;"",F2152&lt;B2152)),"Evento anterior à entrada",IF(AND(F2152&lt;&gt;"",E2152=""),"Conversa sem agendamento",IF(OR(E2152&gt;TODAY(),F2152&gt;TODAY()),"Verificar evento futuro","OK"))))))</f>
        <v/>
      </c>
    </row>
    <row r="2153" spans="9:12">
      <c r="I2153" s="5">
        <f>IF(OR(A2153="",B2153=""),"",B2153-WEEKDAY(B2153,2)+1)</f>
        <v/>
      </c>
      <c r="J2153" s="5">
        <f>IF(I2153="","",I2153+6)</f>
        <v/>
      </c>
      <c r="K2153" s="6">
        <f>IF(OR(A2153="",B2153=""),"",DATE(YEAR(B2153),MONTH(B2153),1))</f>
        <v/>
      </c>
      <c r="L2153" s="7">
        <f>IF(COUNTA(A2153,B2153)=0,"",IF(OR(A2153="",B2153=""),"Preencher CPF e entrada",IF(COUNTIFS($A$12:$A$5011,A2153,$B$12:$B$5011,B2153)&gt;1,"CPF + dia duplicado",IF(OR(AND(E2153&lt;&gt;"",E2153&lt;B2153),AND(F2153&lt;&gt;"",F2153&lt;B2153)),"Evento anterior à entrada",IF(AND(F2153&lt;&gt;"",E2153=""),"Conversa sem agendamento",IF(OR(E2153&gt;TODAY(),F2153&gt;TODAY()),"Verificar evento futuro","OK"))))))</f>
        <v/>
      </c>
    </row>
    <row r="2154" spans="9:12">
      <c r="I2154" s="5">
        <f>IF(OR(A2154="",B2154=""),"",B2154-WEEKDAY(B2154,2)+1)</f>
        <v/>
      </c>
      <c r="J2154" s="5">
        <f>IF(I2154="","",I2154+6)</f>
        <v/>
      </c>
      <c r="K2154" s="6">
        <f>IF(OR(A2154="",B2154=""),"",DATE(YEAR(B2154),MONTH(B2154),1))</f>
        <v/>
      </c>
      <c r="L2154" s="7">
        <f>IF(COUNTA(A2154,B2154)=0,"",IF(OR(A2154="",B2154=""),"Preencher CPF e entrada",IF(COUNTIFS($A$12:$A$5011,A2154,$B$12:$B$5011,B2154)&gt;1,"CPF + dia duplicado",IF(OR(AND(E2154&lt;&gt;"",E2154&lt;B2154),AND(F2154&lt;&gt;"",F2154&lt;B2154)),"Evento anterior à entrada",IF(AND(F2154&lt;&gt;"",E2154=""),"Conversa sem agendamento",IF(OR(E2154&gt;TODAY(),F2154&gt;TODAY()),"Verificar evento futuro","OK"))))))</f>
        <v/>
      </c>
    </row>
    <row r="2155" spans="9:12">
      <c r="I2155" s="5">
        <f>IF(OR(A2155="",B2155=""),"",B2155-WEEKDAY(B2155,2)+1)</f>
        <v/>
      </c>
      <c r="J2155" s="5">
        <f>IF(I2155="","",I2155+6)</f>
        <v/>
      </c>
      <c r="K2155" s="6">
        <f>IF(OR(A2155="",B2155=""),"",DATE(YEAR(B2155),MONTH(B2155),1))</f>
        <v/>
      </c>
      <c r="L2155" s="7">
        <f>IF(COUNTA(A2155,B2155)=0,"",IF(OR(A2155="",B2155=""),"Preencher CPF e entrada",IF(COUNTIFS($A$12:$A$5011,A2155,$B$12:$B$5011,B2155)&gt;1,"CPF + dia duplicado",IF(OR(AND(E2155&lt;&gt;"",E2155&lt;B2155),AND(F2155&lt;&gt;"",F2155&lt;B2155)),"Evento anterior à entrada",IF(AND(F2155&lt;&gt;"",E2155=""),"Conversa sem agendamento",IF(OR(E2155&gt;TODAY(),F2155&gt;TODAY()),"Verificar evento futuro","OK"))))))</f>
        <v/>
      </c>
    </row>
    <row r="2156" spans="9:12">
      <c r="I2156" s="5">
        <f>IF(OR(A2156="",B2156=""),"",B2156-WEEKDAY(B2156,2)+1)</f>
        <v/>
      </c>
      <c r="J2156" s="5">
        <f>IF(I2156="","",I2156+6)</f>
        <v/>
      </c>
      <c r="K2156" s="6">
        <f>IF(OR(A2156="",B2156=""),"",DATE(YEAR(B2156),MONTH(B2156),1))</f>
        <v/>
      </c>
      <c r="L2156" s="7">
        <f>IF(COUNTA(A2156,B2156)=0,"",IF(OR(A2156="",B2156=""),"Preencher CPF e entrada",IF(COUNTIFS($A$12:$A$5011,A2156,$B$12:$B$5011,B2156)&gt;1,"CPF + dia duplicado",IF(OR(AND(E2156&lt;&gt;"",E2156&lt;B2156),AND(F2156&lt;&gt;"",F2156&lt;B2156)),"Evento anterior à entrada",IF(AND(F2156&lt;&gt;"",E2156=""),"Conversa sem agendamento",IF(OR(E2156&gt;TODAY(),F2156&gt;TODAY()),"Verificar evento futuro","OK"))))))</f>
        <v/>
      </c>
    </row>
    <row r="2157" spans="9:12">
      <c r="I2157" s="5">
        <f>IF(OR(A2157="",B2157=""),"",B2157-WEEKDAY(B2157,2)+1)</f>
        <v/>
      </c>
      <c r="J2157" s="5">
        <f>IF(I2157="","",I2157+6)</f>
        <v/>
      </c>
      <c r="K2157" s="6">
        <f>IF(OR(A2157="",B2157=""),"",DATE(YEAR(B2157),MONTH(B2157),1))</f>
        <v/>
      </c>
      <c r="L2157" s="7">
        <f>IF(COUNTA(A2157,B2157)=0,"",IF(OR(A2157="",B2157=""),"Preencher CPF e entrada",IF(COUNTIFS($A$12:$A$5011,A2157,$B$12:$B$5011,B2157)&gt;1,"CPF + dia duplicado",IF(OR(AND(E2157&lt;&gt;"",E2157&lt;B2157),AND(F2157&lt;&gt;"",F2157&lt;B2157)),"Evento anterior à entrada",IF(AND(F2157&lt;&gt;"",E2157=""),"Conversa sem agendamento",IF(OR(E2157&gt;TODAY(),F2157&gt;TODAY()),"Verificar evento futuro","OK"))))))</f>
        <v/>
      </c>
    </row>
    <row r="2158" spans="9:12">
      <c r="I2158" s="5">
        <f>IF(OR(A2158="",B2158=""),"",B2158-WEEKDAY(B2158,2)+1)</f>
        <v/>
      </c>
      <c r="J2158" s="5">
        <f>IF(I2158="","",I2158+6)</f>
        <v/>
      </c>
      <c r="K2158" s="6">
        <f>IF(OR(A2158="",B2158=""),"",DATE(YEAR(B2158),MONTH(B2158),1))</f>
        <v/>
      </c>
      <c r="L2158" s="7">
        <f>IF(COUNTA(A2158,B2158)=0,"",IF(OR(A2158="",B2158=""),"Preencher CPF e entrada",IF(COUNTIFS($A$12:$A$5011,A2158,$B$12:$B$5011,B2158)&gt;1,"CPF + dia duplicado",IF(OR(AND(E2158&lt;&gt;"",E2158&lt;B2158),AND(F2158&lt;&gt;"",F2158&lt;B2158)),"Evento anterior à entrada",IF(AND(F2158&lt;&gt;"",E2158=""),"Conversa sem agendamento",IF(OR(E2158&gt;TODAY(),F2158&gt;TODAY()),"Verificar evento futuro","OK"))))))</f>
        <v/>
      </c>
    </row>
    <row r="2159" spans="9:12">
      <c r="I2159" s="5">
        <f>IF(OR(A2159="",B2159=""),"",B2159-WEEKDAY(B2159,2)+1)</f>
        <v/>
      </c>
      <c r="J2159" s="5">
        <f>IF(I2159="","",I2159+6)</f>
        <v/>
      </c>
      <c r="K2159" s="6">
        <f>IF(OR(A2159="",B2159=""),"",DATE(YEAR(B2159),MONTH(B2159),1))</f>
        <v/>
      </c>
      <c r="L2159" s="7">
        <f>IF(COUNTA(A2159,B2159)=0,"",IF(OR(A2159="",B2159=""),"Preencher CPF e entrada",IF(COUNTIFS($A$12:$A$5011,A2159,$B$12:$B$5011,B2159)&gt;1,"CPF + dia duplicado",IF(OR(AND(E2159&lt;&gt;"",E2159&lt;B2159),AND(F2159&lt;&gt;"",F2159&lt;B2159)),"Evento anterior à entrada",IF(AND(F2159&lt;&gt;"",E2159=""),"Conversa sem agendamento",IF(OR(E2159&gt;TODAY(),F2159&gt;TODAY()),"Verificar evento futuro","OK"))))))</f>
        <v/>
      </c>
    </row>
    <row r="2160" spans="9:12">
      <c r="I2160" s="5">
        <f>IF(OR(A2160="",B2160=""),"",B2160-WEEKDAY(B2160,2)+1)</f>
        <v/>
      </c>
      <c r="J2160" s="5">
        <f>IF(I2160="","",I2160+6)</f>
        <v/>
      </c>
      <c r="K2160" s="6">
        <f>IF(OR(A2160="",B2160=""),"",DATE(YEAR(B2160),MONTH(B2160),1))</f>
        <v/>
      </c>
      <c r="L2160" s="7">
        <f>IF(COUNTA(A2160,B2160)=0,"",IF(OR(A2160="",B2160=""),"Preencher CPF e entrada",IF(COUNTIFS($A$12:$A$5011,A2160,$B$12:$B$5011,B2160)&gt;1,"CPF + dia duplicado",IF(OR(AND(E2160&lt;&gt;"",E2160&lt;B2160),AND(F2160&lt;&gt;"",F2160&lt;B2160)),"Evento anterior à entrada",IF(AND(F2160&lt;&gt;"",E2160=""),"Conversa sem agendamento",IF(OR(E2160&gt;TODAY(),F2160&gt;TODAY()),"Verificar evento futuro","OK"))))))</f>
        <v/>
      </c>
    </row>
    <row r="2161" spans="9:12">
      <c r="I2161" s="5">
        <f>IF(OR(A2161="",B2161=""),"",B2161-WEEKDAY(B2161,2)+1)</f>
        <v/>
      </c>
      <c r="J2161" s="5">
        <f>IF(I2161="","",I2161+6)</f>
        <v/>
      </c>
      <c r="K2161" s="6">
        <f>IF(OR(A2161="",B2161=""),"",DATE(YEAR(B2161),MONTH(B2161),1))</f>
        <v/>
      </c>
      <c r="L2161" s="7">
        <f>IF(COUNTA(A2161,B2161)=0,"",IF(OR(A2161="",B2161=""),"Preencher CPF e entrada",IF(COUNTIFS($A$12:$A$5011,A2161,$B$12:$B$5011,B2161)&gt;1,"CPF + dia duplicado",IF(OR(AND(E2161&lt;&gt;"",E2161&lt;B2161),AND(F2161&lt;&gt;"",F2161&lt;B2161)),"Evento anterior à entrada",IF(AND(F2161&lt;&gt;"",E2161=""),"Conversa sem agendamento",IF(OR(E2161&gt;TODAY(),F2161&gt;TODAY()),"Verificar evento futuro","OK"))))))</f>
        <v/>
      </c>
    </row>
    <row r="2162" spans="9:12">
      <c r="I2162" s="5">
        <f>IF(OR(A2162="",B2162=""),"",B2162-WEEKDAY(B2162,2)+1)</f>
        <v/>
      </c>
      <c r="J2162" s="5">
        <f>IF(I2162="","",I2162+6)</f>
        <v/>
      </c>
      <c r="K2162" s="6">
        <f>IF(OR(A2162="",B2162=""),"",DATE(YEAR(B2162),MONTH(B2162),1))</f>
        <v/>
      </c>
      <c r="L2162" s="7">
        <f>IF(COUNTA(A2162,B2162)=0,"",IF(OR(A2162="",B2162=""),"Preencher CPF e entrada",IF(COUNTIFS($A$12:$A$5011,A2162,$B$12:$B$5011,B2162)&gt;1,"CPF + dia duplicado",IF(OR(AND(E2162&lt;&gt;"",E2162&lt;B2162),AND(F2162&lt;&gt;"",F2162&lt;B2162)),"Evento anterior à entrada",IF(AND(F2162&lt;&gt;"",E2162=""),"Conversa sem agendamento",IF(OR(E2162&gt;TODAY(),F2162&gt;TODAY()),"Verificar evento futuro","OK"))))))</f>
        <v/>
      </c>
    </row>
    <row r="2163" spans="9:12">
      <c r="I2163" s="5">
        <f>IF(OR(A2163="",B2163=""),"",B2163-WEEKDAY(B2163,2)+1)</f>
        <v/>
      </c>
      <c r="J2163" s="5">
        <f>IF(I2163="","",I2163+6)</f>
        <v/>
      </c>
      <c r="K2163" s="6">
        <f>IF(OR(A2163="",B2163=""),"",DATE(YEAR(B2163),MONTH(B2163),1))</f>
        <v/>
      </c>
      <c r="L2163" s="7">
        <f>IF(COUNTA(A2163,B2163)=0,"",IF(OR(A2163="",B2163=""),"Preencher CPF e entrada",IF(COUNTIFS($A$12:$A$5011,A2163,$B$12:$B$5011,B2163)&gt;1,"CPF + dia duplicado",IF(OR(AND(E2163&lt;&gt;"",E2163&lt;B2163),AND(F2163&lt;&gt;"",F2163&lt;B2163)),"Evento anterior à entrada",IF(AND(F2163&lt;&gt;"",E2163=""),"Conversa sem agendamento",IF(OR(E2163&gt;TODAY(),F2163&gt;TODAY()),"Verificar evento futuro","OK"))))))</f>
        <v/>
      </c>
    </row>
    <row r="2164" spans="9:12">
      <c r="I2164" s="5">
        <f>IF(OR(A2164="",B2164=""),"",B2164-WEEKDAY(B2164,2)+1)</f>
        <v/>
      </c>
      <c r="J2164" s="5">
        <f>IF(I2164="","",I2164+6)</f>
        <v/>
      </c>
      <c r="K2164" s="6">
        <f>IF(OR(A2164="",B2164=""),"",DATE(YEAR(B2164),MONTH(B2164),1))</f>
        <v/>
      </c>
      <c r="L2164" s="7">
        <f>IF(COUNTA(A2164,B2164)=0,"",IF(OR(A2164="",B2164=""),"Preencher CPF e entrada",IF(COUNTIFS($A$12:$A$5011,A2164,$B$12:$B$5011,B2164)&gt;1,"CPF + dia duplicado",IF(OR(AND(E2164&lt;&gt;"",E2164&lt;B2164),AND(F2164&lt;&gt;"",F2164&lt;B2164)),"Evento anterior à entrada",IF(AND(F2164&lt;&gt;"",E2164=""),"Conversa sem agendamento",IF(OR(E2164&gt;TODAY(),F2164&gt;TODAY()),"Verificar evento futuro","OK"))))))</f>
        <v/>
      </c>
    </row>
    <row r="2165" spans="9:12">
      <c r="I2165" s="5">
        <f>IF(OR(A2165="",B2165=""),"",B2165-WEEKDAY(B2165,2)+1)</f>
        <v/>
      </c>
      <c r="J2165" s="5">
        <f>IF(I2165="","",I2165+6)</f>
        <v/>
      </c>
      <c r="K2165" s="6">
        <f>IF(OR(A2165="",B2165=""),"",DATE(YEAR(B2165),MONTH(B2165),1))</f>
        <v/>
      </c>
      <c r="L2165" s="7">
        <f>IF(COUNTA(A2165,B2165)=0,"",IF(OR(A2165="",B2165=""),"Preencher CPF e entrada",IF(COUNTIFS($A$12:$A$5011,A2165,$B$12:$B$5011,B2165)&gt;1,"CPF + dia duplicado",IF(OR(AND(E2165&lt;&gt;"",E2165&lt;B2165),AND(F2165&lt;&gt;"",F2165&lt;B2165)),"Evento anterior à entrada",IF(AND(F2165&lt;&gt;"",E2165=""),"Conversa sem agendamento",IF(OR(E2165&gt;TODAY(),F2165&gt;TODAY()),"Verificar evento futuro","OK"))))))</f>
        <v/>
      </c>
    </row>
    <row r="2166" spans="9:12">
      <c r="I2166" s="5">
        <f>IF(OR(A2166="",B2166=""),"",B2166-WEEKDAY(B2166,2)+1)</f>
        <v/>
      </c>
      <c r="J2166" s="5">
        <f>IF(I2166="","",I2166+6)</f>
        <v/>
      </c>
      <c r="K2166" s="6">
        <f>IF(OR(A2166="",B2166=""),"",DATE(YEAR(B2166),MONTH(B2166),1))</f>
        <v/>
      </c>
      <c r="L2166" s="7">
        <f>IF(COUNTA(A2166,B2166)=0,"",IF(OR(A2166="",B2166=""),"Preencher CPF e entrada",IF(COUNTIFS($A$12:$A$5011,A2166,$B$12:$B$5011,B2166)&gt;1,"CPF + dia duplicado",IF(OR(AND(E2166&lt;&gt;"",E2166&lt;B2166),AND(F2166&lt;&gt;"",F2166&lt;B2166)),"Evento anterior à entrada",IF(AND(F2166&lt;&gt;"",E2166=""),"Conversa sem agendamento",IF(OR(E2166&gt;TODAY(),F2166&gt;TODAY()),"Verificar evento futuro","OK"))))))</f>
        <v/>
      </c>
    </row>
    <row r="2167" spans="9:12">
      <c r="I2167" s="5">
        <f>IF(OR(A2167="",B2167=""),"",B2167-WEEKDAY(B2167,2)+1)</f>
        <v/>
      </c>
      <c r="J2167" s="5">
        <f>IF(I2167="","",I2167+6)</f>
        <v/>
      </c>
      <c r="K2167" s="6">
        <f>IF(OR(A2167="",B2167=""),"",DATE(YEAR(B2167),MONTH(B2167),1))</f>
        <v/>
      </c>
      <c r="L2167" s="7">
        <f>IF(COUNTA(A2167,B2167)=0,"",IF(OR(A2167="",B2167=""),"Preencher CPF e entrada",IF(COUNTIFS($A$12:$A$5011,A2167,$B$12:$B$5011,B2167)&gt;1,"CPF + dia duplicado",IF(OR(AND(E2167&lt;&gt;"",E2167&lt;B2167),AND(F2167&lt;&gt;"",F2167&lt;B2167)),"Evento anterior à entrada",IF(AND(F2167&lt;&gt;"",E2167=""),"Conversa sem agendamento",IF(OR(E2167&gt;TODAY(),F2167&gt;TODAY()),"Verificar evento futuro","OK"))))))</f>
        <v/>
      </c>
    </row>
    <row r="2168" spans="9:12">
      <c r="I2168" s="5">
        <f>IF(OR(A2168="",B2168=""),"",B2168-WEEKDAY(B2168,2)+1)</f>
        <v/>
      </c>
      <c r="J2168" s="5">
        <f>IF(I2168="","",I2168+6)</f>
        <v/>
      </c>
      <c r="K2168" s="6">
        <f>IF(OR(A2168="",B2168=""),"",DATE(YEAR(B2168),MONTH(B2168),1))</f>
        <v/>
      </c>
      <c r="L2168" s="7">
        <f>IF(COUNTA(A2168,B2168)=0,"",IF(OR(A2168="",B2168=""),"Preencher CPF e entrada",IF(COUNTIFS($A$12:$A$5011,A2168,$B$12:$B$5011,B2168)&gt;1,"CPF + dia duplicado",IF(OR(AND(E2168&lt;&gt;"",E2168&lt;B2168),AND(F2168&lt;&gt;"",F2168&lt;B2168)),"Evento anterior à entrada",IF(AND(F2168&lt;&gt;"",E2168=""),"Conversa sem agendamento",IF(OR(E2168&gt;TODAY(),F2168&gt;TODAY()),"Verificar evento futuro","OK"))))))</f>
        <v/>
      </c>
    </row>
    <row r="2169" spans="9:12">
      <c r="I2169" s="5">
        <f>IF(OR(A2169="",B2169=""),"",B2169-WEEKDAY(B2169,2)+1)</f>
        <v/>
      </c>
      <c r="J2169" s="5">
        <f>IF(I2169="","",I2169+6)</f>
        <v/>
      </c>
      <c r="K2169" s="6">
        <f>IF(OR(A2169="",B2169=""),"",DATE(YEAR(B2169),MONTH(B2169),1))</f>
        <v/>
      </c>
      <c r="L2169" s="7">
        <f>IF(COUNTA(A2169,B2169)=0,"",IF(OR(A2169="",B2169=""),"Preencher CPF e entrada",IF(COUNTIFS($A$12:$A$5011,A2169,$B$12:$B$5011,B2169)&gt;1,"CPF + dia duplicado",IF(OR(AND(E2169&lt;&gt;"",E2169&lt;B2169),AND(F2169&lt;&gt;"",F2169&lt;B2169)),"Evento anterior à entrada",IF(AND(F2169&lt;&gt;"",E2169=""),"Conversa sem agendamento",IF(OR(E2169&gt;TODAY(),F2169&gt;TODAY()),"Verificar evento futuro","OK"))))))</f>
        <v/>
      </c>
    </row>
    <row r="2170" spans="9:12">
      <c r="I2170" s="5">
        <f>IF(OR(A2170="",B2170=""),"",B2170-WEEKDAY(B2170,2)+1)</f>
        <v/>
      </c>
      <c r="J2170" s="5">
        <f>IF(I2170="","",I2170+6)</f>
        <v/>
      </c>
      <c r="K2170" s="6">
        <f>IF(OR(A2170="",B2170=""),"",DATE(YEAR(B2170),MONTH(B2170),1))</f>
        <v/>
      </c>
      <c r="L2170" s="7">
        <f>IF(COUNTA(A2170,B2170)=0,"",IF(OR(A2170="",B2170=""),"Preencher CPF e entrada",IF(COUNTIFS($A$12:$A$5011,A2170,$B$12:$B$5011,B2170)&gt;1,"CPF + dia duplicado",IF(OR(AND(E2170&lt;&gt;"",E2170&lt;B2170),AND(F2170&lt;&gt;"",F2170&lt;B2170)),"Evento anterior à entrada",IF(AND(F2170&lt;&gt;"",E2170=""),"Conversa sem agendamento",IF(OR(E2170&gt;TODAY(),F2170&gt;TODAY()),"Verificar evento futuro","OK"))))))</f>
        <v/>
      </c>
    </row>
    <row r="2171" spans="9:12">
      <c r="I2171" s="5">
        <f>IF(OR(A2171="",B2171=""),"",B2171-WEEKDAY(B2171,2)+1)</f>
        <v/>
      </c>
      <c r="J2171" s="5">
        <f>IF(I2171="","",I2171+6)</f>
        <v/>
      </c>
      <c r="K2171" s="6">
        <f>IF(OR(A2171="",B2171=""),"",DATE(YEAR(B2171),MONTH(B2171),1))</f>
        <v/>
      </c>
      <c r="L2171" s="7">
        <f>IF(COUNTA(A2171,B2171)=0,"",IF(OR(A2171="",B2171=""),"Preencher CPF e entrada",IF(COUNTIFS($A$12:$A$5011,A2171,$B$12:$B$5011,B2171)&gt;1,"CPF + dia duplicado",IF(OR(AND(E2171&lt;&gt;"",E2171&lt;B2171),AND(F2171&lt;&gt;"",F2171&lt;B2171)),"Evento anterior à entrada",IF(AND(F2171&lt;&gt;"",E2171=""),"Conversa sem agendamento",IF(OR(E2171&gt;TODAY(),F2171&gt;TODAY()),"Verificar evento futuro","OK"))))))</f>
        <v/>
      </c>
    </row>
    <row r="2172" spans="9:12">
      <c r="I2172" s="5">
        <f>IF(OR(A2172="",B2172=""),"",B2172-WEEKDAY(B2172,2)+1)</f>
        <v/>
      </c>
      <c r="J2172" s="5">
        <f>IF(I2172="","",I2172+6)</f>
        <v/>
      </c>
      <c r="K2172" s="6">
        <f>IF(OR(A2172="",B2172=""),"",DATE(YEAR(B2172),MONTH(B2172),1))</f>
        <v/>
      </c>
      <c r="L2172" s="7">
        <f>IF(COUNTA(A2172,B2172)=0,"",IF(OR(A2172="",B2172=""),"Preencher CPF e entrada",IF(COUNTIFS($A$12:$A$5011,A2172,$B$12:$B$5011,B2172)&gt;1,"CPF + dia duplicado",IF(OR(AND(E2172&lt;&gt;"",E2172&lt;B2172),AND(F2172&lt;&gt;"",F2172&lt;B2172)),"Evento anterior à entrada",IF(AND(F2172&lt;&gt;"",E2172=""),"Conversa sem agendamento",IF(OR(E2172&gt;TODAY(),F2172&gt;TODAY()),"Verificar evento futuro","OK"))))))</f>
        <v/>
      </c>
    </row>
    <row r="2173" spans="9:12">
      <c r="I2173" s="5">
        <f>IF(OR(A2173="",B2173=""),"",B2173-WEEKDAY(B2173,2)+1)</f>
        <v/>
      </c>
      <c r="J2173" s="5">
        <f>IF(I2173="","",I2173+6)</f>
        <v/>
      </c>
      <c r="K2173" s="6">
        <f>IF(OR(A2173="",B2173=""),"",DATE(YEAR(B2173),MONTH(B2173),1))</f>
        <v/>
      </c>
      <c r="L2173" s="7">
        <f>IF(COUNTA(A2173,B2173)=0,"",IF(OR(A2173="",B2173=""),"Preencher CPF e entrada",IF(COUNTIFS($A$12:$A$5011,A2173,$B$12:$B$5011,B2173)&gt;1,"CPF + dia duplicado",IF(OR(AND(E2173&lt;&gt;"",E2173&lt;B2173),AND(F2173&lt;&gt;"",F2173&lt;B2173)),"Evento anterior à entrada",IF(AND(F2173&lt;&gt;"",E2173=""),"Conversa sem agendamento",IF(OR(E2173&gt;TODAY(),F2173&gt;TODAY()),"Verificar evento futuro","OK"))))))</f>
        <v/>
      </c>
    </row>
    <row r="2174" spans="9:12">
      <c r="I2174" s="5">
        <f>IF(OR(A2174="",B2174=""),"",B2174-WEEKDAY(B2174,2)+1)</f>
        <v/>
      </c>
      <c r="J2174" s="5">
        <f>IF(I2174="","",I2174+6)</f>
        <v/>
      </c>
      <c r="K2174" s="6">
        <f>IF(OR(A2174="",B2174=""),"",DATE(YEAR(B2174),MONTH(B2174),1))</f>
        <v/>
      </c>
      <c r="L2174" s="7">
        <f>IF(COUNTA(A2174,B2174)=0,"",IF(OR(A2174="",B2174=""),"Preencher CPF e entrada",IF(COUNTIFS($A$12:$A$5011,A2174,$B$12:$B$5011,B2174)&gt;1,"CPF + dia duplicado",IF(OR(AND(E2174&lt;&gt;"",E2174&lt;B2174),AND(F2174&lt;&gt;"",F2174&lt;B2174)),"Evento anterior à entrada",IF(AND(F2174&lt;&gt;"",E2174=""),"Conversa sem agendamento",IF(OR(E2174&gt;TODAY(),F2174&gt;TODAY()),"Verificar evento futuro","OK"))))))</f>
        <v/>
      </c>
    </row>
    <row r="2175" spans="9:12">
      <c r="I2175" s="5">
        <f>IF(OR(A2175="",B2175=""),"",B2175-WEEKDAY(B2175,2)+1)</f>
        <v/>
      </c>
      <c r="J2175" s="5">
        <f>IF(I2175="","",I2175+6)</f>
        <v/>
      </c>
      <c r="K2175" s="6">
        <f>IF(OR(A2175="",B2175=""),"",DATE(YEAR(B2175),MONTH(B2175),1))</f>
        <v/>
      </c>
      <c r="L2175" s="7">
        <f>IF(COUNTA(A2175,B2175)=0,"",IF(OR(A2175="",B2175=""),"Preencher CPF e entrada",IF(COUNTIFS($A$12:$A$5011,A2175,$B$12:$B$5011,B2175)&gt;1,"CPF + dia duplicado",IF(OR(AND(E2175&lt;&gt;"",E2175&lt;B2175),AND(F2175&lt;&gt;"",F2175&lt;B2175)),"Evento anterior à entrada",IF(AND(F2175&lt;&gt;"",E2175=""),"Conversa sem agendamento",IF(OR(E2175&gt;TODAY(),F2175&gt;TODAY()),"Verificar evento futuro","OK"))))))</f>
        <v/>
      </c>
    </row>
    <row r="2176" spans="9:12">
      <c r="I2176" s="5">
        <f>IF(OR(A2176="",B2176=""),"",B2176-WEEKDAY(B2176,2)+1)</f>
        <v/>
      </c>
      <c r="J2176" s="5">
        <f>IF(I2176="","",I2176+6)</f>
        <v/>
      </c>
      <c r="K2176" s="6">
        <f>IF(OR(A2176="",B2176=""),"",DATE(YEAR(B2176),MONTH(B2176),1))</f>
        <v/>
      </c>
      <c r="L2176" s="7">
        <f>IF(COUNTA(A2176,B2176)=0,"",IF(OR(A2176="",B2176=""),"Preencher CPF e entrada",IF(COUNTIFS($A$12:$A$5011,A2176,$B$12:$B$5011,B2176)&gt;1,"CPF + dia duplicado",IF(OR(AND(E2176&lt;&gt;"",E2176&lt;B2176),AND(F2176&lt;&gt;"",F2176&lt;B2176)),"Evento anterior à entrada",IF(AND(F2176&lt;&gt;"",E2176=""),"Conversa sem agendamento",IF(OR(E2176&gt;TODAY(),F2176&gt;TODAY()),"Verificar evento futuro","OK"))))))</f>
        <v/>
      </c>
    </row>
    <row r="2177" spans="9:12">
      <c r="I2177" s="5">
        <f>IF(OR(A2177="",B2177=""),"",B2177-WEEKDAY(B2177,2)+1)</f>
        <v/>
      </c>
      <c r="J2177" s="5">
        <f>IF(I2177="","",I2177+6)</f>
        <v/>
      </c>
      <c r="K2177" s="6">
        <f>IF(OR(A2177="",B2177=""),"",DATE(YEAR(B2177),MONTH(B2177),1))</f>
        <v/>
      </c>
      <c r="L2177" s="7">
        <f>IF(COUNTA(A2177,B2177)=0,"",IF(OR(A2177="",B2177=""),"Preencher CPF e entrada",IF(COUNTIFS($A$12:$A$5011,A2177,$B$12:$B$5011,B2177)&gt;1,"CPF + dia duplicado",IF(OR(AND(E2177&lt;&gt;"",E2177&lt;B2177),AND(F2177&lt;&gt;"",F2177&lt;B2177)),"Evento anterior à entrada",IF(AND(F2177&lt;&gt;"",E2177=""),"Conversa sem agendamento",IF(OR(E2177&gt;TODAY(),F2177&gt;TODAY()),"Verificar evento futuro","OK"))))))</f>
        <v/>
      </c>
    </row>
    <row r="2178" spans="9:12">
      <c r="I2178" s="5">
        <f>IF(OR(A2178="",B2178=""),"",B2178-WEEKDAY(B2178,2)+1)</f>
        <v/>
      </c>
      <c r="J2178" s="5">
        <f>IF(I2178="","",I2178+6)</f>
        <v/>
      </c>
      <c r="K2178" s="6">
        <f>IF(OR(A2178="",B2178=""),"",DATE(YEAR(B2178),MONTH(B2178),1))</f>
        <v/>
      </c>
      <c r="L2178" s="7">
        <f>IF(COUNTA(A2178,B2178)=0,"",IF(OR(A2178="",B2178=""),"Preencher CPF e entrada",IF(COUNTIFS($A$12:$A$5011,A2178,$B$12:$B$5011,B2178)&gt;1,"CPF + dia duplicado",IF(OR(AND(E2178&lt;&gt;"",E2178&lt;B2178),AND(F2178&lt;&gt;"",F2178&lt;B2178)),"Evento anterior à entrada",IF(AND(F2178&lt;&gt;"",E2178=""),"Conversa sem agendamento",IF(OR(E2178&gt;TODAY(),F2178&gt;TODAY()),"Verificar evento futuro","OK"))))))</f>
        <v/>
      </c>
    </row>
    <row r="2179" spans="9:12">
      <c r="I2179" s="5">
        <f>IF(OR(A2179="",B2179=""),"",B2179-WEEKDAY(B2179,2)+1)</f>
        <v/>
      </c>
      <c r="J2179" s="5">
        <f>IF(I2179="","",I2179+6)</f>
        <v/>
      </c>
      <c r="K2179" s="6">
        <f>IF(OR(A2179="",B2179=""),"",DATE(YEAR(B2179),MONTH(B2179),1))</f>
        <v/>
      </c>
      <c r="L2179" s="7">
        <f>IF(COUNTA(A2179,B2179)=0,"",IF(OR(A2179="",B2179=""),"Preencher CPF e entrada",IF(COUNTIFS($A$12:$A$5011,A2179,$B$12:$B$5011,B2179)&gt;1,"CPF + dia duplicado",IF(OR(AND(E2179&lt;&gt;"",E2179&lt;B2179),AND(F2179&lt;&gt;"",F2179&lt;B2179)),"Evento anterior à entrada",IF(AND(F2179&lt;&gt;"",E2179=""),"Conversa sem agendamento",IF(OR(E2179&gt;TODAY(),F2179&gt;TODAY()),"Verificar evento futuro","OK"))))))</f>
        <v/>
      </c>
    </row>
    <row r="2180" spans="9:12">
      <c r="I2180" s="5">
        <f>IF(OR(A2180="",B2180=""),"",B2180-WEEKDAY(B2180,2)+1)</f>
        <v/>
      </c>
      <c r="J2180" s="5">
        <f>IF(I2180="","",I2180+6)</f>
        <v/>
      </c>
      <c r="K2180" s="6">
        <f>IF(OR(A2180="",B2180=""),"",DATE(YEAR(B2180),MONTH(B2180),1))</f>
        <v/>
      </c>
      <c r="L2180" s="7">
        <f>IF(COUNTA(A2180,B2180)=0,"",IF(OR(A2180="",B2180=""),"Preencher CPF e entrada",IF(COUNTIFS($A$12:$A$5011,A2180,$B$12:$B$5011,B2180)&gt;1,"CPF + dia duplicado",IF(OR(AND(E2180&lt;&gt;"",E2180&lt;B2180),AND(F2180&lt;&gt;"",F2180&lt;B2180)),"Evento anterior à entrada",IF(AND(F2180&lt;&gt;"",E2180=""),"Conversa sem agendamento",IF(OR(E2180&gt;TODAY(),F2180&gt;TODAY()),"Verificar evento futuro","OK"))))))</f>
        <v/>
      </c>
    </row>
    <row r="2181" spans="9:12">
      <c r="I2181" s="5">
        <f>IF(OR(A2181="",B2181=""),"",B2181-WEEKDAY(B2181,2)+1)</f>
        <v/>
      </c>
      <c r="J2181" s="5">
        <f>IF(I2181="","",I2181+6)</f>
        <v/>
      </c>
      <c r="K2181" s="6">
        <f>IF(OR(A2181="",B2181=""),"",DATE(YEAR(B2181),MONTH(B2181),1))</f>
        <v/>
      </c>
      <c r="L2181" s="7">
        <f>IF(COUNTA(A2181,B2181)=0,"",IF(OR(A2181="",B2181=""),"Preencher CPF e entrada",IF(COUNTIFS($A$12:$A$5011,A2181,$B$12:$B$5011,B2181)&gt;1,"CPF + dia duplicado",IF(OR(AND(E2181&lt;&gt;"",E2181&lt;B2181),AND(F2181&lt;&gt;"",F2181&lt;B2181)),"Evento anterior à entrada",IF(AND(F2181&lt;&gt;"",E2181=""),"Conversa sem agendamento",IF(OR(E2181&gt;TODAY(),F2181&gt;TODAY()),"Verificar evento futuro","OK"))))))</f>
        <v/>
      </c>
    </row>
    <row r="2182" spans="9:12">
      <c r="I2182" s="5">
        <f>IF(OR(A2182="",B2182=""),"",B2182-WEEKDAY(B2182,2)+1)</f>
        <v/>
      </c>
      <c r="J2182" s="5">
        <f>IF(I2182="","",I2182+6)</f>
        <v/>
      </c>
      <c r="K2182" s="6">
        <f>IF(OR(A2182="",B2182=""),"",DATE(YEAR(B2182),MONTH(B2182),1))</f>
        <v/>
      </c>
      <c r="L2182" s="7">
        <f>IF(COUNTA(A2182,B2182)=0,"",IF(OR(A2182="",B2182=""),"Preencher CPF e entrada",IF(COUNTIFS($A$12:$A$5011,A2182,$B$12:$B$5011,B2182)&gt;1,"CPF + dia duplicado",IF(OR(AND(E2182&lt;&gt;"",E2182&lt;B2182),AND(F2182&lt;&gt;"",F2182&lt;B2182)),"Evento anterior à entrada",IF(AND(F2182&lt;&gt;"",E2182=""),"Conversa sem agendamento",IF(OR(E2182&gt;TODAY(),F2182&gt;TODAY()),"Verificar evento futuro","OK"))))))</f>
        <v/>
      </c>
    </row>
    <row r="2183" spans="9:12">
      <c r="I2183" s="5">
        <f>IF(OR(A2183="",B2183=""),"",B2183-WEEKDAY(B2183,2)+1)</f>
        <v/>
      </c>
      <c r="J2183" s="5">
        <f>IF(I2183="","",I2183+6)</f>
        <v/>
      </c>
      <c r="K2183" s="6">
        <f>IF(OR(A2183="",B2183=""),"",DATE(YEAR(B2183),MONTH(B2183),1))</f>
        <v/>
      </c>
      <c r="L2183" s="7">
        <f>IF(COUNTA(A2183,B2183)=0,"",IF(OR(A2183="",B2183=""),"Preencher CPF e entrada",IF(COUNTIFS($A$12:$A$5011,A2183,$B$12:$B$5011,B2183)&gt;1,"CPF + dia duplicado",IF(OR(AND(E2183&lt;&gt;"",E2183&lt;B2183),AND(F2183&lt;&gt;"",F2183&lt;B2183)),"Evento anterior à entrada",IF(AND(F2183&lt;&gt;"",E2183=""),"Conversa sem agendamento",IF(OR(E2183&gt;TODAY(),F2183&gt;TODAY()),"Verificar evento futuro","OK"))))))</f>
        <v/>
      </c>
    </row>
    <row r="2184" spans="9:12">
      <c r="I2184" s="5">
        <f>IF(OR(A2184="",B2184=""),"",B2184-WEEKDAY(B2184,2)+1)</f>
        <v/>
      </c>
      <c r="J2184" s="5">
        <f>IF(I2184="","",I2184+6)</f>
        <v/>
      </c>
      <c r="K2184" s="6">
        <f>IF(OR(A2184="",B2184=""),"",DATE(YEAR(B2184),MONTH(B2184),1))</f>
        <v/>
      </c>
      <c r="L2184" s="7">
        <f>IF(COUNTA(A2184,B2184)=0,"",IF(OR(A2184="",B2184=""),"Preencher CPF e entrada",IF(COUNTIFS($A$12:$A$5011,A2184,$B$12:$B$5011,B2184)&gt;1,"CPF + dia duplicado",IF(OR(AND(E2184&lt;&gt;"",E2184&lt;B2184),AND(F2184&lt;&gt;"",F2184&lt;B2184)),"Evento anterior à entrada",IF(AND(F2184&lt;&gt;"",E2184=""),"Conversa sem agendamento",IF(OR(E2184&gt;TODAY(),F2184&gt;TODAY()),"Verificar evento futuro","OK"))))))</f>
        <v/>
      </c>
    </row>
    <row r="2185" spans="9:12">
      <c r="I2185" s="5">
        <f>IF(OR(A2185="",B2185=""),"",B2185-WEEKDAY(B2185,2)+1)</f>
        <v/>
      </c>
      <c r="J2185" s="5">
        <f>IF(I2185="","",I2185+6)</f>
        <v/>
      </c>
      <c r="K2185" s="6">
        <f>IF(OR(A2185="",B2185=""),"",DATE(YEAR(B2185),MONTH(B2185),1))</f>
        <v/>
      </c>
      <c r="L2185" s="7">
        <f>IF(COUNTA(A2185,B2185)=0,"",IF(OR(A2185="",B2185=""),"Preencher CPF e entrada",IF(COUNTIFS($A$12:$A$5011,A2185,$B$12:$B$5011,B2185)&gt;1,"CPF + dia duplicado",IF(OR(AND(E2185&lt;&gt;"",E2185&lt;B2185),AND(F2185&lt;&gt;"",F2185&lt;B2185)),"Evento anterior à entrada",IF(AND(F2185&lt;&gt;"",E2185=""),"Conversa sem agendamento",IF(OR(E2185&gt;TODAY(),F2185&gt;TODAY()),"Verificar evento futuro","OK"))))))</f>
        <v/>
      </c>
    </row>
    <row r="2186" spans="9:12">
      <c r="I2186" s="5">
        <f>IF(OR(A2186="",B2186=""),"",B2186-WEEKDAY(B2186,2)+1)</f>
        <v/>
      </c>
      <c r="J2186" s="5">
        <f>IF(I2186="","",I2186+6)</f>
        <v/>
      </c>
      <c r="K2186" s="6">
        <f>IF(OR(A2186="",B2186=""),"",DATE(YEAR(B2186),MONTH(B2186),1))</f>
        <v/>
      </c>
      <c r="L2186" s="7">
        <f>IF(COUNTA(A2186,B2186)=0,"",IF(OR(A2186="",B2186=""),"Preencher CPF e entrada",IF(COUNTIFS($A$12:$A$5011,A2186,$B$12:$B$5011,B2186)&gt;1,"CPF + dia duplicado",IF(OR(AND(E2186&lt;&gt;"",E2186&lt;B2186),AND(F2186&lt;&gt;"",F2186&lt;B2186)),"Evento anterior à entrada",IF(AND(F2186&lt;&gt;"",E2186=""),"Conversa sem agendamento",IF(OR(E2186&gt;TODAY(),F2186&gt;TODAY()),"Verificar evento futuro","OK"))))))</f>
        <v/>
      </c>
    </row>
    <row r="2187" spans="9:12">
      <c r="I2187" s="5">
        <f>IF(OR(A2187="",B2187=""),"",B2187-WEEKDAY(B2187,2)+1)</f>
        <v/>
      </c>
      <c r="J2187" s="5">
        <f>IF(I2187="","",I2187+6)</f>
        <v/>
      </c>
      <c r="K2187" s="6">
        <f>IF(OR(A2187="",B2187=""),"",DATE(YEAR(B2187),MONTH(B2187),1))</f>
        <v/>
      </c>
      <c r="L2187" s="7">
        <f>IF(COUNTA(A2187,B2187)=0,"",IF(OR(A2187="",B2187=""),"Preencher CPF e entrada",IF(COUNTIFS($A$12:$A$5011,A2187,$B$12:$B$5011,B2187)&gt;1,"CPF + dia duplicado",IF(OR(AND(E2187&lt;&gt;"",E2187&lt;B2187),AND(F2187&lt;&gt;"",F2187&lt;B2187)),"Evento anterior à entrada",IF(AND(F2187&lt;&gt;"",E2187=""),"Conversa sem agendamento",IF(OR(E2187&gt;TODAY(),F2187&gt;TODAY()),"Verificar evento futuro","OK"))))))</f>
        <v/>
      </c>
    </row>
    <row r="2188" spans="9:12">
      <c r="I2188" s="5">
        <f>IF(OR(A2188="",B2188=""),"",B2188-WEEKDAY(B2188,2)+1)</f>
        <v/>
      </c>
      <c r="J2188" s="5">
        <f>IF(I2188="","",I2188+6)</f>
        <v/>
      </c>
      <c r="K2188" s="6">
        <f>IF(OR(A2188="",B2188=""),"",DATE(YEAR(B2188),MONTH(B2188),1))</f>
        <v/>
      </c>
      <c r="L2188" s="7">
        <f>IF(COUNTA(A2188,B2188)=0,"",IF(OR(A2188="",B2188=""),"Preencher CPF e entrada",IF(COUNTIFS($A$12:$A$5011,A2188,$B$12:$B$5011,B2188)&gt;1,"CPF + dia duplicado",IF(OR(AND(E2188&lt;&gt;"",E2188&lt;B2188),AND(F2188&lt;&gt;"",F2188&lt;B2188)),"Evento anterior à entrada",IF(AND(F2188&lt;&gt;"",E2188=""),"Conversa sem agendamento",IF(OR(E2188&gt;TODAY(),F2188&gt;TODAY()),"Verificar evento futuro","OK"))))))</f>
        <v/>
      </c>
    </row>
    <row r="2189" spans="9:12">
      <c r="I2189" s="5">
        <f>IF(OR(A2189="",B2189=""),"",B2189-WEEKDAY(B2189,2)+1)</f>
        <v/>
      </c>
      <c r="J2189" s="5">
        <f>IF(I2189="","",I2189+6)</f>
        <v/>
      </c>
      <c r="K2189" s="6">
        <f>IF(OR(A2189="",B2189=""),"",DATE(YEAR(B2189),MONTH(B2189),1))</f>
        <v/>
      </c>
      <c r="L2189" s="7">
        <f>IF(COUNTA(A2189,B2189)=0,"",IF(OR(A2189="",B2189=""),"Preencher CPF e entrada",IF(COUNTIFS($A$12:$A$5011,A2189,$B$12:$B$5011,B2189)&gt;1,"CPF + dia duplicado",IF(OR(AND(E2189&lt;&gt;"",E2189&lt;B2189),AND(F2189&lt;&gt;"",F2189&lt;B2189)),"Evento anterior à entrada",IF(AND(F2189&lt;&gt;"",E2189=""),"Conversa sem agendamento",IF(OR(E2189&gt;TODAY(),F2189&gt;TODAY()),"Verificar evento futuro","OK"))))))</f>
        <v/>
      </c>
    </row>
    <row r="2190" spans="9:12">
      <c r="I2190" s="5">
        <f>IF(OR(A2190="",B2190=""),"",B2190-WEEKDAY(B2190,2)+1)</f>
        <v/>
      </c>
      <c r="J2190" s="5">
        <f>IF(I2190="","",I2190+6)</f>
        <v/>
      </c>
      <c r="K2190" s="6">
        <f>IF(OR(A2190="",B2190=""),"",DATE(YEAR(B2190),MONTH(B2190),1))</f>
        <v/>
      </c>
      <c r="L2190" s="7">
        <f>IF(COUNTA(A2190,B2190)=0,"",IF(OR(A2190="",B2190=""),"Preencher CPF e entrada",IF(COUNTIFS($A$12:$A$5011,A2190,$B$12:$B$5011,B2190)&gt;1,"CPF + dia duplicado",IF(OR(AND(E2190&lt;&gt;"",E2190&lt;B2190),AND(F2190&lt;&gt;"",F2190&lt;B2190)),"Evento anterior à entrada",IF(AND(F2190&lt;&gt;"",E2190=""),"Conversa sem agendamento",IF(OR(E2190&gt;TODAY(),F2190&gt;TODAY()),"Verificar evento futuro","OK"))))))</f>
        <v/>
      </c>
    </row>
    <row r="2191" spans="9:12">
      <c r="I2191" s="5">
        <f>IF(OR(A2191="",B2191=""),"",B2191-WEEKDAY(B2191,2)+1)</f>
        <v/>
      </c>
      <c r="J2191" s="5">
        <f>IF(I2191="","",I2191+6)</f>
        <v/>
      </c>
      <c r="K2191" s="6">
        <f>IF(OR(A2191="",B2191=""),"",DATE(YEAR(B2191),MONTH(B2191),1))</f>
        <v/>
      </c>
      <c r="L2191" s="7">
        <f>IF(COUNTA(A2191,B2191)=0,"",IF(OR(A2191="",B2191=""),"Preencher CPF e entrada",IF(COUNTIFS($A$12:$A$5011,A2191,$B$12:$B$5011,B2191)&gt;1,"CPF + dia duplicado",IF(OR(AND(E2191&lt;&gt;"",E2191&lt;B2191),AND(F2191&lt;&gt;"",F2191&lt;B2191)),"Evento anterior à entrada",IF(AND(F2191&lt;&gt;"",E2191=""),"Conversa sem agendamento",IF(OR(E2191&gt;TODAY(),F2191&gt;TODAY()),"Verificar evento futuro","OK"))))))</f>
        <v/>
      </c>
    </row>
    <row r="2192" spans="9:12">
      <c r="I2192" s="5">
        <f>IF(OR(A2192="",B2192=""),"",B2192-WEEKDAY(B2192,2)+1)</f>
        <v/>
      </c>
      <c r="J2192" s="5">
        <f>IF(I2192="","",I2192+6)</f>
        <v/>
      </c>
      <c r="K2192" s="6">
        <f>IF(OR(A2192="",B2192=""),"",DATE(YEAR(B2192),MONTH(B2192),1))</f>
        <v/>
      </c>
      <c r="L2192" s="7">
        <f>IF(COUNTA(A2192,B2192)=0,"",IF(OR(A2192="",B2192=""),"Preencher CPF e entrada",IF(COUNTIFS($A$12:$A$5011,A2192,$B$12:$B$5011,B2192)&gt;1,"CPF + dia duplicado",IF(OR(AND(E2192&lt;&gt;"",E2192&lt;B2192),AND(F2192&lt;&gt;"",F2192&lt;B2192)),"Evento anterior à entrada",IF(AND(F2192&lt;&gt;"",E2192=""),"Conversa sem agendamento",IF(OR(E2192&gt;TODAY(),F2192&gt;TODAY()),"Verificar evento futuro","OK"))))))</f>
        <v/>
      </c>
    </row>
    <row r="2193" spans="9:12">
      <c r="I2193" s="5">
        <f>IF(OR(A2193="",B2193=""),"",B2193-WEEKDAY(B2193,2)+1)</f>
        <v/>
      </c>
      <c r="J2193" s="5">
        <f>IF(I2193="","",I2193+6)</f>
        <v/>
      </c>
      <c r="K2193" s="6">
        <f>IF(OR(A2193="",B2193=""),"",DATE(YEAR(B2193),MONTH(B2193),1))</f>
        <v/>
      </c>
      <c r="L2193" s="7">
        <f>IF(COUNTA(A2193,B2193)=0,"",IF(OR(A2193="",B2193=""),"Preencher CPF e entrada",IF(COUNTIFS($A$12:$A$5011,A2193,$B$12:$B$5011,B2193)&gt;1,"CPF + dia duplicado",IF(OR(AND(E2193&lt;&gt;"",E2193&lt;B2193),AND(F2193&lt;&gt;"",F2193&lt;B2193)),"Evento anterior à entrada",IF(AND(F2193&lt;&gt;"",E2193=""),"Conversa sem agendamento",IF(OR(E2193&gt;TODAY(),F2193&gt;TODAY()),"Verificar evento futuro","OK"))))))</f>
        <v/>
      </c>
    </row>
    <row r="2194" spans="9:12">
      <c r="I2194" s="5">
        <f>IF(OR(A2194="",B2194=""),"",B2194-WEEKDAY(B2194,2)+1)</f>
        <v/>
      </c>
      <c r="J2194" s="5">
        <f>IF(I2194="","",I2194+6)</f>
        <v/>
      </c>
      <c r="K2194" s="6">
        <f>IF(OR(A2194="",B2194=""),"",DATE(YEAR(B2194),MONTH(B2194),1))</f>
        <v/>
      </c>
      <c r="L2194" s="7">
        <f>IF(COUNTA(A2194,B2194)=0,"",IF(OR(A2194="",B2194=""),"Preencher CPF e entrada",IF(COUNTIFS($A$12:$A$5011,A2194,$B$12:$B$5011,B2194)&gt;1,"CPF + dia duplicado",IF(OR(AND(E2194&lt;&gt;"",E2194&lt;B2194),AND(F2194&lt;&gt;"",F2194&lt;B2194)),"Evento anterior à entrada",IF(AND(F2194&lt;&gt;"",E2194=""),"Conversa sem agendamento",IF(OR(E2194&gt;TODAY(),F2194&gt;TODAY()),"Verificar evento futuro","OK"))))))</f>
        <v/>
      </c>
    </row>
    <row r="2195" spans="9:12">
      <c r="I2195" s="5">
        <f>IF(OR(A2195="",B2195=""),"",B2195-WEEKDAY(B2195,2)+1)</f>
        <v/>
      </c>
      <c r="J2195" s="5">
        <f>IF(I2195="","",I2195+6)</f>
        <v/>
      </c>
      <c r="K2195" s="6">
        <f>IF(OR(A2195="",B2195=""),"",DATE(YEAR(B2195),MONTH(B2195),1))</f>
        <v/>
      </c>
      <c r="L2195" s="7">
        <f>IF(COUNTA(A2195,B2195)=0,"",IF(OR(A2195="",B2195=""),"Preencher CPF e entrada",IF(COUNTIFS($A$12:$A$5011,A2195,$B$12:$B$5011,B2195)&gt;1,"CPF + dia duplicado",IF(OR(AND(E2195&lt;&gt;"",E2195&lt;B2195),AND(F2195&lt;&gt;"",F2195&lt;B2195)),"Evento anterior à entrada",IF(AND(F2195&lt;&gt;"",E2195=""),"Conversa sem agendamento",IF(OR(E2195&gt;TODAY(),F2195&gt;TODAY()),"Verificar evento futuro","OK"))))))</f>
        <v/>
      </c>
    </row>
    <row r="2196" spans="9:12">
      <c r="I2196" s="5">
        <f>IF(OR(A2196="",B2196=""),"",B2196-WEEKDAY(B2196,2)+1)</f>
        <v/>
      </c>
      <c r="J2196" s="5">
        <f>IF(I2196="","",I2196+6)</f>
        <v/>
      </c>
      <c r="K2196" s="6">
        <f>IF(OR(A2196="",B2196=""),"",DATE(YEAR(B2196),MONTH(B2196),1))</f>
        <v/>
      </c>
      <c r="L2196" s="7">
        <f>IF(COUNTA(A2196,B2196)=0,"",IF(OR(A2196="",B2196=""),"Preencher CPF e entrada",IF(COUNTIFS($A$12:$A$5011,A2196,$B$12:$B$5011,B2196)&gt;1,"CPF + dia duplicado",IF(OR(AND(E2196&lt;&gt;"",E2196&lt;B2196),AND(F2196&lt;&gt;"",F2196&lt;B2196)),"Evento anterior à entrada",IF(AND(F2196&lt;&gt;"",E2196=""),"Conversa sem agendamento",IF(OR(E2196&gt;TODAY(),F2196&gt;TODAY()),"Verificar evento futuro","OK"))))))</f>
        <v/>
      </c>
    </row>
    <row r="2197" spans="9:12">
      <c r="I2197" s="5">
        <f>IF(OR(A2197="",B2197=""),"",B2197-WEEKDAY(B2197,2)+1)</f>
        <v/>
      </c>
      <c r="J2197" s="5">
        <f>IF(I2197="","",I2197+6)</f>
        <v/>
      </c>
      <c r="K2197" s="6">
        <f>IF(OR(A2197="",B2197=""),"",DATE(YEAR(B2197),MONTH(B2197),1))</f>
        <v/>
      </c>
      <c r="L2197" s="7">
        <f>IF(COUNTA(A2197,B2197)=0,"",IF(OR(A2197="",B2197=""),"Preencher CPF e entrada",IF(COUNTIFS($A$12:$A$5011,A2197,$B$12:$B$5011,B2197)&gt;1,"CPF + dia duplicado",IF(OR(AND(E2197&lt;&gt;"",E2197&lt;B2197),AND(F2197&lt;&gt;"",F2197&lt;B2197)),"Evento anterior à entrada",IF(AND(F2197&lt;&gt;"",E2197=""),"Conversa sem agendamento",IF(OR(E2197&gt;TODAY(),F2197&gt;TODAY()),"Verificar evento futuro","OK"))))))</f>
        <v/>
      </c>
    </row>
    <row r="2198" spans="9:12">
      <c r="I2198" s="5">
        <f>IF(OR(A2198="",B2198=""),"",B2198-WEEKDAY(B2198,2)+1)</f>
        <v/>
      </c>
      <c r="J2198" s="5">
        <f>IF(I2198="","",I2198+6)</f>
        <v/>
      </c>
      <c r="K2198" s="6">
        <f>IF(OR(A2198="",B2198=""),"",DATE(YEAR(B2198),MONTH(B2198),1))</f>
        <v/>
      </c>
      <c r="L2198" s="7">
        <f>IF(COUNTA(A2198,B2198)=0,"",IF(OR(A2198="",B2198=""),"Preencher CPF e entrada",IF(COUNTIFS($A$12:$A$5011,A2198,$B$12:$B$5011,B2198)&gt;1,"CPF + dia duplicado",IF(OR(AND(E2198&lt;&gt;"",E2198&lt;B2198),AND(F2198&lt;&gt;"",F2198&lt;B2198)),"Evento anterior à entrada",IF(AND(F2198&lt;&gt;"",E2198=""),"Conversa sem agendamento",IF(OR(E2198&gt;TODAY(),F2198&gt;TODAY()),"Verificar evento futuro","OK"))))))</f>
        <v/>
      </c>
    </row>
    <row r="2199" spans="9:12">
      <c r="I2199" s="5">
        <f>IF(OR(A2199="",B2199=""),"",B2199-WEEKDAY(B2199,2)+1)</f>
        <v/>
      </c>
      <c r="J2199" s="5">
        <f>IF(I2199="","",I2199+6)</f>
        <v/>
      </c>
      <c r="K2199" s="6">
        <f>IF(OR(A2199="",B2199=""),"",DATE(YEAR(B2199),MONTH(B2199),1))</f>
        <v/>
      </c>
      <c r="L2199" s="7">
        <f>IF(COUNTA(A2199,B2199)=0,"",IF(OR(A2199="",B2199=""),"Preencher CPF e entrada",IF(COUNTIFS($A$12:$A$5011,A2199,$B$12:$B$5011,B2199)&gt;1,"CPF + dia duplicado",IF(OR(AND(E2199&lt;&gt;"",E2199&lt;B2199),AND(F2199&lt;&gt;"",F2199&lt;B2199)),"Evento anterior à entrada",IF(AND(F2199&lt;&gt;"",E2199=""),"Conversa sem agendamento",IF(OR(E2199&gt;TODAY(),F2199&gt;TODAY()),"Verificar evento futuro","OK"))))))</f>
        <v/>
      </c>
    </row>
    <row r="2200" spans="9:12">
      <c r="I2200" s="5">
        <f>IF(OR(A2200="",B2200=""),"",B2200-WEEKDAY(B2200,2)+1)</f>
        <v/>
      </c>
      <c r="J2200" s="5">
        <f>IF(I2200="","",I2200+6)</f>
        <v/>
      </c>
      <c r="K2200" s="6">
        <f>IF(OR(A2200="",B2200=""),"",DATE(YEAR(B2200),MONTH(B2200),1))</f>
        <v/>
      </c>
      <c r="L2200" s="7">
        <f>IF(COUNTA(A2200,B2200)=0,"",IF(OR(A2200="",B2200=""),"Preencher CPF e entrada",IF(COUNTIFS($A$12:$A$5011,A2200,$B$12:$B$5011,B2200)&gt;1,"CPF + dia duplicado",IF(OR(AND(E2200&lt;&gt;"",E2200&lt;B2200),AND(F2200&lt;&gt;"",F2200&lt;B2200)),"Evento anterior à entrada",IF(AND(F2200&lt;&gt;"",E2200=""),"Conversa sem agendamento",IF(OR(E2200&gt;TODAY(),F2200&gt;TODAY()),"Verificar evento futuro","OK"))))))</f>
        <v/>
      </c>
    </row>
    <row r="2201" spans="9:12">
      <c r="I2201" s="5">
        <f>IF(OR(A2201="",B2201=""),"",B2201-WEEKDAY(B2201,2)+1)</f>
        <v/>
      </c>
      <c r="J2201" s="5">
        <f>IF(I2201="","",I2201+6)</f>
        <v/>
      </c>
      <c r="K2201" s="6">
        <f>IF(OR(A2201="",B2201=""),"",DATE(YEAR(B2201),MONTH(B2201),1))</f>
        <v/>
      </c>
      <c r="L2201" s="7">
        <f>IF(COUNTA(A2201,B2201)=0,"",IF(OR(A2201="",B2201=""),"Preencher CPF e entrada",IF(COUNTIFS($A$12:$A$5011,A2201,$B$12:$B$5011,B2201)&gt;1,"CPF + dia duplicado",IF(OR(AND(E2201&lt;&gt;"",E2201&lt;B2201),AND(F2201&lt;&gt;"",F2201&lt;B2201)),"Evento anterior à entrada",IF(AND(F2201&lt;&gt;"",E2201=""),"Conversa sem agendamento",IF(OR(E2201&gt;TODAY(),F2201&gt;TODAY()),"Verificar evento futuro","OK"))))))</f>
        <v/>
      </c>
    </row>
    <row r="2202" spans="9:12">
      <c r="I2202" s="5">
        <f>IF(OR(A2202="",B2202=""),"",B2202-WEEKDAY(B2202,2)+1)</f>
        <v/>
      </c>
      <c r="J2202" s="5">
        <f>IF(I2202="","",I2202+6)</f>
        <v/>
      </c>
      <c r="K2202" s="6">
        <f>IF(OR(A2202="",B2202=""),"",DATE(YEAR(B2202),MONTH(B2202),1))</f>
        <v/>
      </c>
      <c r="L2202" s="7">
        <f>IF(COUNTA(A2202,B2202)=0,"",IF(OR(A2202="",B2202=""),"Preencher CPF e entrada",IF(COUNTIFS($A$12:$A$5011,A2202,$B$12:$B$5011,B2202)&gt;1,"CPF + dia duplicado",IF(OR(AND(E2202&lt;&gt;"",E2202&lt;B2202),AND(F2202&lt;&gt;"",F2202&lt;B2202)),"Evento anterior à entrada",IF(AND(F2202&lt;&gt;"",E2202=""),"Conversa sem agendamento",IF(OR(E2202&gt;TODAY(),F2202&gt;TODAY()),"Verificar evento futuro","OK"))))))</f>
        <v/>
      </c>
    </row>
    <row r="2203" spans="9:12">
      <c r="I2203" s="5">
        <f>IF(OR(A2203="",B2203=""),"",B2203-WEEKDAY(B2203,2)+1)</f>
        <v/>
      </c>
      <c r="J2203" s="5">
        <f>IF(I2203="","",I2203+6)</f>
        <v/>
      </c>
      <c r="K2203" s="6">
        <f>IF(OR(A2203="",B2203=""),"",DATE(YEAR(B2203),MONTH(B2203),1))</f>
        <v/>
      </c>
      <c r="L2203" s="7">
        <f>IF(COUNTA(A2203,B2203)=0,"",IF(OR(A2203="",B2203=""),"Preencher CPF e entrada",IF(COUNTIFS($A$12:$A$5011,A2203,$B$12:$B$5011,B2203)&gt;1,"CPF + dia duplicado",IF(OR(AND(E2203&lt;&gt;"",E2203&lt;B2203),AND(F2203&lt;&gt;"",F2203&lt;B2203)),"Evento anterior à entrada",IF(AND(F2203&lt;&gt;"",E2203=""),"Conversa sem agendamento",IF(OR(E2203&gt;TODAY(),F2203&gt;TODAY()),"Verificar evento futuro","OK"))))))</f>
        <v/>
      </c>
    </row>
    <row r="2204" spans="9:12">
      <c r="I2204" s="5">
        <f>IF(OR(A2204="",B2204=""),"",B2204-WEEKDAY(B2204,2)+1)</f>
        <v/>
      </c>
      <c r="J2204" s="5">
        <f>IF(I2204="","",I2204+6)</f>
        <v/>
      </c>
      <c r="K2204" s="6">
        <f>IF(OR(A2204="",B2204=""),"",DATE(YEAR(B2204),MONTH(B2204),1))</f>
        <v/>
      </c>
      <c r="L2204" s="7">
        <f>IF(COUNTA(A2204,B2204)=0,"",IF(OR(A2204="",B2204=""),"Preencher CPF e entrada",IF(COUNTIFS($A$12:$A$5011,A2204,$B$12:$B$5011,B2204)&gt;1,"CPF + dia duplicado",IF(OR(AND(E2204&lt;&gt;"",E2204&lt;B2204),AND(F2204&lt;&gt;"",F2204&lt;B2204)),"Evento anterior à entrada",IF(AND(F2204&lt;&gt;"",E2204=""),"Conversa sem agendamento",IF(OR(E2204&gt;TODAY(),F2204&gt;TODAY()),"Verificar evento futuro","OK"))))))</f>
        <v/>
      </c>
    </row>
    <row r="2205" spans="9:12">
      <c r="I2205" s="5">
        <f>IF(OR(A2205="",B2205=""),"",B2205-WEEKDAY(B2205,2)+1)</f>
        <v/>
      </c>
      <c r="J2205" s="5">
        <f>IF(I2205="","",I2205+6)</f>
        <v/>
      </c>
      <c r="K2205" s="6">
        <f>IF(OR(A2205="",B2205=""),"",DATE(YEAR(B2205),MONTH(B2205),1))</f>
        <v/>
      </c>
      <c r="L2205" s="7">
        <f>IF(COUNTA(A2205,B2205)=0,"",IF(OR(A2205="",B2205=""),"Preencher CPF e entrada",IF(COUNTIFS($A$12:$A$5011,A2205,$B$12:$B$5011,B2205)&gt;1,"CPF + dia duplicado",IF(OR(AND(E2205&lt;&gt;"",E2205&lt;B2205),AND(F2205&lt;&gt;"",F2205&lt;B2205)),"Evento anterior à entrada",IF(AND(F2205&lt;&gt;"",E2205=""),"Conversa sem agendamento",IF(OR(E2205&gt;TODAY(),F2205&gt;TODAY()),"Verificar evento futuro","OK"))))))</f>
        <v/>
      </c>
    </row>
    <row r="2206" spans="9:12">
      <c r="I2206" s="5">
        <f>IF(OR(A2206="",B2206=""),"",B2206-WEEKDAY(B2206,2)+1)</f>
        <v/>
      </c>
      <c r="J2206" s="5">
        <f>IF(I2206="","",I2206+6)</f>
        <v/>
      </c>
      <c r="K2206" s="6">
        <f>IF(OR(A2206="",B2206=""),"",DATE(YEAR(B2206),MONTH(B2206),1))</f>
        <v/>
      </c>
      <c r="L2206" s="7">
        <f>IF(COUNTA(A2206,B2206)=0,"",IF(OR(A2206="",B2206=""),"Preencher CPF e entrada",IF(COUNTIFS($A$12:$A$5011,A2206,$B$12:$B$5011,B2206)&gt;1,"CPF + dia duplicado",IF(OR(AND(E2206&lt;&gt;"",E2206&lt;B2206),AND(F2206&lt;&gt;"",F2206&lt;B2206)),"Evento anterior à entrada",IF(AND(F2206&lt;&gt;"",E2206=""),"Conversa sem agendamento",IF(OR(E2206&gt;TODAY(),F2206&gt;TODAY()),"Verificar evento futuro","OK"))))))</f>
        <v/>
      </c>
    </row>
    <row r="2207" spans="9:12">
      <c r="I2207" s="5">
        <f>IF(OR(A2207="",B2207=""),"",B2207-WEEKDAY(B2207,2)+1)</f>
        <v/>
      </c>
      <c r="J2207" s="5">
        <f>IF(I2207="","",I2207+6)</f>
        <v/>
      </c>
      <c r="K2207" s="6">
        <f>IF(OR(A2207="",B2207=""),"",DATE(YEAR(B2207),MONTH(B2207),1))</f>
        <v/>
      </c>
      <c r="L2207" s="7">
        <f>IF(COUNTA(A2207,B2207)=0,"",IF(OR(A2207="",B2207=""),"Preencher CPF e entrada",IF(COUNTIFS($A$12:$A$5011,A2207,$B$12:$B$5011,B2207)&gt;1,"CPF + dia duplicado",IF(OR(AND(E2207&lt;&gt;"",E2207&lt;B2207),AND(F2207&lt;&gt;"",F2207&lt;B2207)),"Evento anterior à entrada",IF(AND(F2207&lt;&gt;"",E2207=""),"Conversa sem agendamento",IF(OR(E2207&gt;TODAY(),F2207&gt;TODAY()),"Verificar evento futuro","OK"))))))</f>
        <v/>
      </c>
    </row>
    <row r="2208" spans="9:12">
      <c r="I2208" s="5">
        <f>IF(OR(A2208="",B2208=""),"",B2208-WEEKDAY(B2208,2)+1)</f>
        <v/>
      </c>
      <c r="J2208" s="5">
        <f>IF(I2208="","",I2208+6)</f>
        <v/>
      </c>
      <c r="K2208" s="6">
        <f>IF(OR(A2208="",B2208=""),"",DATE(YEAR(B2208),MONTH(B2208),1))</f>
        <v/>
      </c>
      <c r="L2208" s="7">
        <f>IF(COUNTA(A2208,B2208)=0,"",IF(OR(A2208="",B2208=""),"Preencher CPF e entrada",IF(COUNTIFS($A$12:$A$5011,A2208,$B$12:$B$5011,B2208)&gt;1,"CPF + dia duplicado",IF(OR(AND(E2208&lt;&gt;"",E2208&lt;B2208),AND(F2208&lt;&gt;"",F2208&lt;B2208)),"Evento anterior à entrada",IF(AND(F2208&lt;&gt;"",E2208=""),"Conversa sem agendamento",IF(OR(E2208&gt;TODAY(),F2208&gt;TODAY()),"Verificar evento futuro","OK"))))))</f>
        <v/>
      </c>
    </row>
    <row r="2209" spans="9:12">
      <c r="I2209" s="5">
        <f>IF(OR(A2209="",B2209=""),"",B2209-WEEKDAY(B2209,2)+1)</f>
        <v/>
      </c>
      <c r="J2209" s="5">
        <f>IF(I2209="","",I2209+6)</f>
        <v/>
      </c>
      <c r="K2209" s="6">
        <f>IF(OR(A2209="",B2209=""),"",DATE(YEAR(B2209),MONTH(B2209),1))</f>
        <v/>
      </c>
      <c r="L2209" s="7">
        <f>IF(COUNTA(A2209,B2209)=0,"",IF(OR(A2209="",B2209=""),"Preencher CPF e entrada",IF(COUNTIFS($A$12:$A$5011,A2209,$B$12:$B$5011,B2209)&gt;1,"CPF + dia duplicado",IF(OR(AND(E2209&lt;&gt;"",E2209&lt;B2209),AND(F2209&lt;&gt;"",F2209&lt;B2209)),"Evento anterior à entrada",IF(AND(F2209&lt;&gt;"",E2209=""),"Conversa sem agendamento",IF(OR(E2209&gt;TODAY(),F2209&gt;TODAY()),"Verificar evento futuro","OK"))))))</f>
        <v/>
      </c>
    </row>
    <row r="2210" spans="9:12">
      <c r="I2210" s="5">
        <f>IF(OR(A2210="",B2210=""),"",B2210-WEEKDAY(B2210,2)+1)</f>
        <v/>
      </c>
      <c r="J2210" s="5">
        <f>IF(I2210="","",I2210+6)</f>
        <v/>
      </c>
      <c r="K2210" s="6">
        <f>IF(OR(A2210="",B2210=""),"",DATE(YEAR(B2210),MONTH(B2210),1))</f>
        <v/>
      </c>
      <c r="L2210" s="7">
        <f>IF(COUNTA(A2210,B2210)=0,"",IF(OR(A2210="",B2210=""),"Preencher CPF e entrada",IF(COUNTIFS($A$12:$A$5011,A2210,$B$12:$B$5011,B2210)&gt;1,"CPF + dia duplicado",IF(OR(AND(E2210&lt;&gt;"",E2210&lt;B2210),AND(F2210&lt;&gt;"",F2210&lt;B2210)),"Evento anterior à entrada",IF(AND(F2210&lt;&gt;"",E2210=""),"Conversa sem agendamento",IF(OR(E2210&gt;TODAY(),F2210&gt;TODAY()),"Verificar evento futuro","OK"))))))</f>
        <v/>
      </c>
    </row>
    <row r="2211" spans="9:12">
      <c r="I2211" s="5">
        <f>IF(OR(A2211="",B2211=""),"",B2211-WEEKDAY(B2211,2)+1)</f>
        <v/>
      </c>
      <c r="J2211" s="5">
        <f>IF(I2211="","",I2211+6)</f>
        <v/>
      </c>
      <c r="K2211" s="6">
        <f>IF(OR(A2211="",B2211=""),"",DATE(YEAR(B2211),MONTH(B2211),1))</f>
        <v/>
      </c>
      <c r="L2211" s="7">
        <f>IF(COUNTA(A2211,B2211)=0,"",IF(OR(A2211="",B2211=""),"Preencher CPF e entrada",IF(COUNTIFS($A$12:$A$5011,A2211,$B$12:$B$5011,B2211)&gt;1,"CPF + dia duplicado",IF(OR(AND(E2211&lt;&gt;"",E2211&lt;B2211),AND(F2211&lt;&gt;"",F2211&lt;B2211)),"Evento anterior à entrada",IF(AND(F2211&lt;&gt;"",E2211=""),"Conversa sem agendamento",IF(OR(E2211&gt;TODAY(),F2211&gt;TODAY()),"Verificar evento futuro","OK"))))))</f>
        <v/>
      </c>
    </row>
    <row r="2212" spans="9:12">
      <c r="I2212" s="5">
        <f>IF(OR(A2212="",B2212=""),"",B2212-WEEKDAY(B2212,2)+1)</f>
        <v/>
      </c>
      <c r="J2212" s="5">
        <f>IF(I2212="","",I2212+6)</f>
        <v/>
      </c>
      <c r="K2212" s="6">
        <f>IF(OR(A2212="",B2212=""),"",DATE(YEAR(B2212),MONTH(B2212),1))</f>
        <v/>
      </c>
      <c r="L2212" s="7">
        <f>IF(COUNTA(A2212,B2212)=0,"",IF(OR(A2212="",B2212=""),"Preencher CPF e entrada",IF(COUNTIFS($A$12:$A$5011,A2212,$B$12:$B$5011,B2212)&gt;1,"CPF + dia duplicado",IF(OR(AND(E2212&lt;&gt;"",E2212&lt;B2212),AND(F2212&lt;&gt;"",F2212&lt;B2212)),"Evento anterior à entrada",IF(AND(F2212&lt;&gt;"",E2212=""),"Conversa sem agendamento",IF(OR(E2212&gt;TODAY(),F2212&gt;TODAY()),"Verificar evento futuro","OK"))))))</f>
        <v/>
      </c>
    </row>
    <row r="2213" spans="9:12">
      <c r="I2213" s="5">
        <f>IF(OR(A2213="",B2213=""),"",B2213-WEEKDAY(B2213,2)+1)</f>
        <v/>
      </c>
      <c r="J2213" s="5">
        <f>IF(I2213="","",I2213+6)</f>
        <v/>
      </c>
      <c r="K2213" s="6">
        <f>IF(OR(A2213="",B2213=""),"",DATE(YEAR(B2213),MONTH(B2213),1))</f>
        <v/>
      </c>
      <c r="L2213" s="7">
        <f>IF(COUNTA(A2213,B2213)=0,"",IF(OR(A2213="",B2213=""),"Preencher CPF e entrada",IF(COUNTIFS($A$12:$A$5011,A2213,$B$12:$B$5011,B2213)&gt;1,"CPF + dia duplicado",IF(OR(AND(E2213&lt;&gt;"",E2213&lt;B2213),AND(F2213&lt;&gt;"",F2213&lt;B2213)),"Evento anterior à entrada",IF(AND(F2213&lt;&gt;"",E2213=""),"Conversa sem agendamento",IF(OR(E2213&gt;TODAY(),F2213&gt;TODAY()),"Verificar evento futuro","OK"))))))</f>
        <v/>
      </c>
    </row>
    <row r="2214" spans="9:12">
      <c r="I2214" s="5">
        <f>IF(OR(A2214="",B2214=""),"",B2214-WEEKDAY(B2214,2)+1)</f>
        <v/>
      </c>
      <c r="J2214" s="5">
        <f>IF(I2214="","",I2214+6)</f>
        <v/>
      </c>
      <c r="K2214" s="6">
        <f>IF(OR(A2214="",B2214=""),"",DATE(YEAR(B2214),MONTH(B2214),1))</f>
        <v/>
      </c>
      <c r="L2214" s="7">
        <f>IF(COUNTA(A2214,B2214)=0,"",IF(OR(A2214="",B2214=""),"Preencher CPF e entrada",IF(COUNTIFS($A$12:$A$5011,A2214,$B$12:$B$5011,B2214)&gt;1,"CPF + dia duplicado",IF(OR(AND(E2214&lt;&gt;"",E2214&lt;B2214),AND(F2214&lt;&gt;"",F2214&lt;B2214)),"Evento anterior à entrada",IF(AND(F2214&lt;&gt;"",E2214=""),"Conversa sem agendamento",IF(OR(E2214&gt;TODAY(),F2214&gt;TODAY()),"Verificar evento futuro","OK"))))))</f>
        <v/>
      </c>
    </row>
    <row r="2215" spans="9:12">
      <c r="I2215" s="5">
        <f>IF(OR(A2215="",B2215=""),"",B2215-WEEKDAY(B2215,2)+1)</f>
        <v/>
      </c>
      <c r="J2215" s="5">
        <f>IF(I2215="","",I2215+6)</f>
        <v/>
      </c>
      <c r="K2215" s="6">
        <f>IF(OR(A2215="",B2215=""),"",DATE(YEAR(B2215),MONTH(B2215),1))</f>
        <v/>
      </c>
      <c r="L2215" s="7">
        <f>IF(COUNTA(A2215,B2215)=0,"",IF(OR(A2215="",B2215=""),"Preencher CPF e entrada",IF(COUNTIFS($A$12:$A$5011,A2215,$B$12:$B$5011,B2215)&gt;1,"CPF + dia duplicado",IF(OR(AND(E2215&lt;&gt;"",E2215&lt;B2215),AND(F2215&lt;&gt;"",F2215&lt;B2215)),"Evento anterior à entrada",IF(AND(F2215&lt;&gt;"",E2215=""),"Conversa sem agendamento",IF(OR(E2215&gt;TODAY(),F2215&gt;TODAY()),"Verificar evento futuro","OK"))))))</f>
        <v/>
      </c>
    </row>
    <row r="2216" spans="9:12">
      <c r="I2216" s="5">
        <f>IF(OR(A2216="",B2216=""),"",B2216-WEEKDAY(B2216,2)+1)</f>
        <v/>
      </c>
      <c r="J2216" s="5">
        <f>IF(I2216="","",I2216+6)</f>
        <v/>
      </c>
      <c r="K2216" s="6">
        <f>IF(OR(A2216="",B2216=""),"",DATE(YEAR(B2216),MONTH(B2216),1))</f>
        <v/>
      </c>
      <c r="L2216" s="7">
        <f>IF(COUNTA(A2216,B2216)=0,"",IF(OR(A2216="",B2216=""),"Preencher CPF e entrada",IF(COUNTIFS($A$12:$A$5011,A2216,$B$12:$B$5011,B2216)&gt;1,"CPF + dia duplicado",IF(OR(AND(E2216&lt;&gt;"",E2216&lt;B2216),AND(F2216&lt;&gt;"",F2216&lt;B2216)),"Evento anterior à entrada",IF(AND(F2216&lt;&gt;"",E2216=""),"Conversa sem agendamento",IF(OR(E2216&gt;TODAY(),F2216&gt;TODAY()),"Verificar evento futuro","OK"))))))</f>
        <v/>
      </c>
    </row>
    <row r="2217" spans="9:12">
      <c r="I2217" s="5">
        <f>IF(OR(A2217="",B2217=""),"",B2217-WEEKDAY(B2217,2)+1)</f>
        <v/>
      </c>
      <c r="J2217" s="5">
        <f>IF(I2217="","",I2217+6)</f>
        <v/>
      </c>
      <c r="K2217" s="6">
        <f>IF(OR(A2217="",B2217=""),"",DATE(YEAR(B2217),MONTH(B2217),1))</f>
        <v/>
      </c>
      <c r="L2217" s="7">
        <f>IF(COUNTA(A2217,B2217)=0,"",IF(OR(A2217="",B2217=""),"Preencher CPF e entrada",IF(COUNTIFS($A$12:$A$5011,A2217,$B$12:$B$5011,B2217)&gt;1,"CPF + dia duplicado",IF(OR(AND(E2217&lt;&gt;"",E2217&lt;B2217),AND(F2217&lt;&gt;"",F2217&lt;B2217)),"Evento anterior à entrada",IF(AND(F2217&lt;&gt;"",E2217=""),"Conversa sem agendamento",IF(OR(E2217&gt;TODAY(),F2217&gt;TODAY()),"Verificar evento futuro","OK"))))))</f>
        <v/>
      </c>
    </row>
    <row r="2218" spans="9:12">
      <c r="I2218" s="5">
        <f>IF(OR(A2218="",B2218=""),"",B2218-WEEKDAY(B2218,2)+1)</f>
        <v/>
      </c>
      <c r="J2218" s="5">
        <f>IF(I2218="","",I2218+6)</f>
        <v/>
      </c>
      <c r="K2218" s="6">
        <f>IF(OR(A2218="",B2218=""),"",DATE(YEAR(B2218),MONTH(B2218),1))</f>
        <v/>
      </c>
      <c r="L2218" s="7">
        <f>IF(COUNTA(A2218,B2218)=0,"",IF(OR(A2218="",B2218=""),"Preencher CPF e entrada",IF(COUNTIFS($A$12:$A$5011,A2218,$B$12:$B$5011,B2218)&gt;1,"CPF + dia duplicado",IF(OR(AND(E2218&lt;&gt;"",E2218&lt;B2218),AND(F2218&lt;&gt;"",F2218&lt;B2218)),"Evento anterior à entrada",IF(AND(F2218&lt;&gt;"",E2218=""),"Conversa sem agendamento",IF(OR(E2218&gt;TODAY(),F2218&gt;TODAY()),"Verificar evento futuro","OK"))))))</f>
        <v/>
      </c>
    </row>
    <row r="2219" spans="9:12">
      <c r="I2219" s="5">
        <f>IF(OR(A2219="",B2219=""),"",B2219-WEEKDAY(B2219,2)+1)</f>
        <v/>
      </c>
      <c r="J2219" s="5">
        <f>IF(I2219="","",I2219+6)</f>
        <v/>
      </c>
      <c r="K2219" s="6">
        <f>IF(OR(A2219="",B2219=""),"",DATE(YEAR(B2219),MONTH(B2219),1))</f>
        <v/>
      </c>
      <c r="L2219" s="7">
        <f>IF(COUNTA(A2219,B2219)=0,"",IF(OR(A2219="",B2219=""),"Preencher CPF e entrada",IF(COUNTIFS($A$12:$A$5011,A2219,$B$12:$B$5011,B2219)&gt;1,"CPF + dia duplicado",IF(OR(AND(E2219&lt;&gt;"",E2219&lt;B2219),AND(F2219&lt;&gt;"",F2219&lt;B2219)),"Evento anterior à entrada",IF(AND(F2219&lt;&gt;"",E2219=""),"Conversa sem agendamento",IF(OR(E2219&gt;TODAY(),F2219&gt;TODAY()),"Verificar evento futuro","OK"))))))</f>
        <v/>
      </c>
    </row>
    <row r="2220" spans="9:12">
      <c r="I2220" s="5">
        <f>IF(OR(A2220="",B2220=""),"",B2220-WEEKDAY(B2220,2)+1)</f>
        <v/>
      </c>
      <c r="J2220" s="5">
        <f>IF(I2220="","",I2220+6)</f>
        <v/>
      </c>
      <c r="K2220" s="6">
        <f>IF(OR(A2220="",B2220=""),"",DATE(YEAR(B2220),MONTH(B2220),1))</f>
        <v/>
      </c>
      <c r="L2220" s="7">
        <f>IF(COUNTA(A2220,B2220)=0,"",IF(OR(A2220="",B2220=""),"Preencher CPF e entrada",IF(COUNTIFS($A$12:$A$5011,A2220,$B$12:$B$5011,B2220)&gt;1,"CPF + dia duplicado",IF(OR(AND(E2220&lt;&gt;"",E2220&lt;B2220),AND(F2220&lt;&gt;"",F2220&lt;B2220)),"Evento anterior à entrada",IF(AND(F2220&lt;&gt;"",E2220=""),"Conversa sem agendamento",IF(OR(E2220&gt;TODAY(),F2220&gt;TODAY()),"Verificar evento futuro","OK"))))))</f>
        <v/>
      </c>
    </row>
    <row r="2221" spans="9:12">
      <c r="I2221" s="5">
        <f>IF(OR(A2221="",B2221=""),"",B2221-WEEKDAY(B2221,2)+1)</f>
        <v/>
      </c>
      <c r="J2221" s="5">
        <f>IF(I2221="","",I2221+6)</f>
        <v/>
      </c>
      <c r="K2221" s="6">
        <f>IF(OR(A2221="",B2221=""),"",DATE(YEAR(B2221),MONTH(B2221),1))</f>
        <v/>
      </c>
      <c r="L2221" s="7">
        <f>IF(COUNTA(A2221,B2221)=0,"",IF(OR(A2221="",B2221=""),"Preencher CPF e entrada",IF(COUNTIFS($A$12:$A$5011,A2221,$B$12:$B$5011,B2221)&gt;1,"CPF + dia duplicado",IF(OR(AND(E2221&lt;&gt;"",E2221&lt;B2221),AND(F2221&lt;&gt;"",F2221&lt;B2221)),"Evento anterior à entrada",IF(AND(F2221&lt;&gt;"",E2221=""),"Conversa sem agendamento",IF(OR(E2221&gt;TODAY(),F2221&gt;TODAY()),"Verificar evento futuro","OK"))))))</f>
        <v/>
      </c>
    </row>
    <row r="2222" spans="9:12">
      <c r="I2222" s="5">
        <f>IF(OR(A2222="",B2222=""),"",B2222-WEEKDAY(B2222,2)+1)</f>
        <v/>
      </c>
      <c r="J2222" s="5">
        <f>IF(I2222="","",I2222+6)</f>
        <v/>
      </c>
      <c r="K2222" s="6">
        <f>IF(OR(A2222="",B2222=""),"",DATE(YEAR(B2222),MONTH(B2222),1))</f>
        <v/>
      </c>
      <c r="L2222" s="7">
        <f>IF(COUNTA(A2222,B2222)=0,"",IF(OR(A2222="",B2222=""),"Preencher CPF e entrada",IF(COUNTIFS($A$12:$A$5011,A2222,$B$12:$B$5011,B2222)&gt;1,"CPF + dia duplicado",IF(OR(AND(E2222&lt;&gt;"",E2222&lt;B2222),AND(F2222&lt;&gt;"",F2222&lt;B2222)),"Evento anterior à entrada",IF(AND(F2222&lt;&gt;"",E2222=""),"Conversa sem agendamento",IF(OR(E2222&gt;TODAY(),F2222&gt;TODAY()),"Verificar evento futuro","OK"))))))</f>
        <v/>
      </c>
    </row>
    <row r="2223" spans="9:12">
      <c r="I2223" s="5">
        <f>IF(OR(A2223="",B2223=""),"",B2223-WEEKDAY(B2223,2)+1)</f>
        <v/>
      </c>
      <c r="J2223" s="5">
        <f>IF(I2223="","",I2223+6)</f>
        <v/>
      </c>
      <c r="K2223" s="6">
        <f>IF(OR(A2223="",B2223=""),"",DATE(YEAR(B2223),MONTH(B2223),1))</f>
        <v/>
      </c>
      <c r="L2223" s="7">
        <f>IF(COUNTA(A2223,B2223)=0,"",IF(OR(A2223="",B2223=""),"Preencher CPF e entrada",IF(COUNTIFS($A$12:$A$5011,A2223,$B$12:$B$5011,B2223)&gt;1,"CPF + dia duplicado",IF(OR(AND(E2223&lt;&gt;"",E2223&lt;B2223),AND(F2223&lt;&gt;"",F2223&lt;B2223)),"Evento anterior à entrada",IF(AND(F2223&lt;&gt;"",E2223=""),"Conversa sem agendamento",IF(OR(E2223&gt;TODAY(),F2223&gt;TODAY()),"Verificar evento futuro","OK"))))))</f>
        <v/>
      </c>
    </row>
    <row r="2224" spans="9:12">
      <c r="I2224" s="5">
        <f>IF(OR(A2224="",B2224=""),"",B2224-WEEKDAY(B2224,2)+1)</f>
        <v/>
      </c>
      <c r="J2224" s="5">
        <f>IF(I2224="","",I2224+6)</f>
        <v/>
      </c>
      <c r="K2224" s="6">
        <f>IF(OR(A2224="",B2224=""),"",DATE(YEAR(B2224),MONTH(B2224),1))</f>
        <v/>
      </c>
      <c r="L2224" s="7">
        <f>IF(COUNTA(A2224,B2224)=0,"",IF(OR(A2224="",B2224=""),"Preencher CPF e entrada",IF(COUNTIFS($A$12:$A$5011,A2224,$B$12:$B$5011,B2224)&gt;1,"CPF + dia duplicado",IF(OR(AND(E2224&lt;&gt;"",E2224&lt;B2224),AND(F2224&lt;&gt;"",F2224&lt;B2224)),"Evento anterior à entrada",IF(AND(F2224&lt;&gt;"",E2224=""),"Conversa sem agendamento",IF(OR(E2224&gt;TODAY(),F2224&gt;TODAY()),"Verificar evento futuro","OK"))))))</f>
        <v/>
      </c>
    </row>
    <row r="2225" spans="9:12">
      <c r="I2225" s="5">
        <f>IF(OR(A2225="",B2225=""),"",B2225-WEEKDAY(B2225,2)+1)</f>
        <v/>
      </c>
      <c r="J2225" s="5">
        <f>IF(I2225="","",I2225+6)</f>
        <v/>
      </c>
      <c r="K2225" s="6">
        <f>IF(OR(A2225="",B2225=""),"",DATE(YEAR(B2225),MONTH(B2225),1))</f>
        <v/>
      </c>
      <c r="L2225" s="7">
        <f>IF(COUNTA(A2225,B2225)=0,"",IF(OR(A2225="",B2225=""),"Preencher CPF e entrada",IF(COUNTIFS($A$12:$A$5011,A2225,$B$12:$B$5011,B2225)&gt;1,"CPF + dia duplicado",IF(OR(AND(E2225&lt;&gt;"",E2225&lt;B2225),AND(F2225&lt;&gt;"",F2225&lt;B2225)),"Evento anterior à entrada",IF(AND(F2225&lt;&gt;"",E2225=""),"Conversa sem agendamento",IF(OR(E2225&gt;TODAY(),F2225&gt;TODAY()),"Verificar evento futuro","OK"))))))</f>
        <v/>
      </c>
    </row>
    <row r="2226" spans="9:12">
      <c r="I2226" s="5">
        <f>IF(OR(A2226="",B2226=""),"",B2226-WEEKDAY(B2226,2)+1)</f>
        <v/>
      </c>
      <c r="J2226" s="5">
        <f>IF(I2226="","",I2226+6)</f>
        <v/>
      </c>
      <c r="K2226" s="6">
        <f>IF(OR(A2226="",B2226=""),"",DATE(YEAR(B2226),MONTH(B2226),1))</f>
        <v/>
      </c>
      <c r="L2226" s="7">
        <f>IF(COUNTA(A2226,B2226)=0,"",IF(OR(A2226="",B2226=""),"Preencher CPF e entrada",IF(COUNTIFS($A$12:$A$5011,A2226,$B$12:$B$5011,B2226)&gt;1,"CPF + dia duplicado",IF(OR(AND(E2226&lt;&gt;"",E2226&lt;B2226),AND(F2226&lt;&gt;"",F2226&lt;B2226)),"Evento anterior à entrada",IF(AND(F2226&lt;&gt;"",E2226=""),"Conversa sem agendamento",IF(OR(E2226&gt;TODAY(),F2226&gt;TODAY()),"Verificar evento futuro","OK"))))))</f>
        <v/>
      </c>
    </row>
    <row r="2227" spans="9:12">
      <c r="I2227" s="5">
        <f>IF(OR(A2227="",B2227=""),"",B2227-WEEKDAY(B2227,2)+1)</f>
        <v/>
      </c>
      <c r="J2227" s="5">
        <f>IF(I2227="","",I2227+6)</f>
        <v/>
      </c>
      <c r="K2227" s="6">
        <f>IF(OR(A2227="",B2227=""),"",DATE(YEAR(B2227),MONTH(B2227),1))</f>
        <v/>
      </c>
      <c r="L2227" s="7">
        <f>IF(COUNTA(A2227,B2227)=0,"",IF(OR(A2227="",B2227=""),"Preencher CPF e entrada",IF(COUNTIFS($A$12:$A$5011,A2227,$B$12:$B$5011,B2227)&gt;1,"CPF + dia duplicado",IF(OR(AND(E2227&lt;&gt;"",E2227&lt;B2227),AND(F2227&lt;&gt;"",F2227&lt;B2227)),"Evento anterior à entrada",IF(AND(F2227&lt;&gt;"",E2227=""),"Conversa sem agendamento",IF(OR(E2227&gt;TODAY(),F2227&gt;TODAY()),"Verificar evento futuro","OK"))))))</f>
        <v/>
      </c>
    </row>
    <row r="2228" spans="9:12">
      <c r="I2228" s="5">
        <f>IF(OR(A2228="",B2228=""),"",B2228-WEEKDAY(B2228,2)+1)</f>
        <v/>
      </c>
      <c r="J2228" s="5">
        <f>IF(I2228="","",I2228+6)</f>
        <v/>
      </c>
      <c r="K2228" s="6">
        <f>IF(OR(A2228="",B2228=""),"",DATE(YEAR(B2228),MONTH(B2228),1))</f>
        <v/>
      </c>
      <c r="L2228" s="7">
        <f>IF(COUNTA(A2228,B2228)=0,"",IF(OR(A2228="",B2228=""),"Preencher CPF e entrada",IF(COUNTIFS($A$12:$A$5011,A2228,$B$12:$B$5011,B2228)&gt;1,"CPF + dia duplicado",IF(OR(AND(E2228&lt;&gt;"",E2228&lt;B2228),AND(F2228&lt;&gt;"",F2228&lt;B2228)),"Evento anterior à entrada",IF(AND(F2228&lt;&gt;"",E2228=""),"Conversa sem agendamento",IF(OR(E2228&gt;TODAY(),F2228&gt;TODAY()),"Verificar evento futuro","OK"))))))</f>
        <v/>
      </c>
    </row>
    <row r="2229" spans="9:12">
      <c r="I2229" s="5">
        <f>IF(OR(A2229="",B2229=""),"",B2229-WEEKDAY(B2229,2)+1)</f>
        <v/>
      </c>
      <c r="J2229" s="5">
        <f>IF(I2229="","",I2229+6)</f>
        <v/>
      </c>
      <c r="K2229" s="6">
        <f>IF(OR(A2229="",B2229=""),"",DATE(YEAR(B2229),MONTH(B2229),1))</f>
        <v/>
      </c>
      <c r="L2229" s="7">
        <f>IF(COUNTA(A2229,B2229)=0,"",IF(OR(A2229="",B2229=""),"Preencher CPF e entrada",IF(COUNTIFS($A$12:$A$5011,A2229,$B$12:$B$5011,B2229)&gt;1,"CPF + dia duplicado",IF(OR(AND(E2229&lt;&gt;"",E2229&lt;B2229),AND(F2229&lt;&gt;"",F2229&lt;B2229)),"Evento anterior à entrada",IF(AND(F2229&lt;&gt;"",E2229=""),"Conversa sem agendamento",IF(OR(E2229&gt;TODAY(),F2229&gt;TODAY()),"Verificar evento futuro","OK"))))))</f>
        <v/>
      </c>
    </row>
    <row r="2230" spans="9:12">
      <c r="I2230" s="5">
        <f>IF(OR(A2230="",B2230=""),"",B2230-WEEKDAY(B2230,2)+1)</f>
        <v/>
      </c>
      <c r="J2230" s="5">
        <f>IF(I2230="","",I2230+6)</f>
        <v/>
      </c>
      <c r="K2230" s="6">
        <f>IF(OR(A2230="",B2230=""),"",DATE(YEAR(B2230),MONTH(B2230),1))</f>
        <v/>
      </c>
      <c r="L2230" s="7">
        <f>IF(COUNTA(A2230,B2230)=0,"",IF(OR(A2230="",B2230=""),"Preencher CPF e entrada",IF(COUNTIFS($A$12:$A$5011,A2230,$B$12:$B$5011,B2230)&gt;1,"CPF + dia duplicado",IF(OR(AND(E2230&lt;&gt;"",E2230&lt;B2230),AND(F2230&lt;&gt;"",F2230&lt;B2230)),"Evento anterior à entrada",IF(AND(F2230&lt;&gt;"",E2230=""),"Conversa sem agendamento",IF(OR(E2230&gt;TODAY(),F2230&gt;TODAY()),"Verificar evento futuro","OK"))))))</f>
        <v/>
      </c>
    </row>
    <row r="2231" spans="9:12">
      <c r="I2231" s="5">
        <f>IF(OR(A2231="",B2231=""),"",B2231-WEEKDAY(B2231,2)+1)</f>
        <v/>
      </c>
      <c r="J2231" s="5">
        <f>IF(I2231="","",I2231+6)</f>
        <v/>
      </c>
      <c r="K2231" s="6">
        <f>IF(OR(A2231="",B2231=""),"",DATE(YEAR(B2231),MONTH(B2231),1))</f>
        <v/>
      </c>
      <c r="L2231" s="7">
        <f>IF(COUNTA(A2231,B2231)=0,"",IF(OR(A2231="",B2231=""),"Preencher CPF e entrada",IF(COUNTIFS($A$12:$A$5011,A2231,$B$12:$B$5011,B2231)&gt;1,"CPF + dia duplicado",IF(OR(AND(E2231&lt;&gt;"",E2231&lt;B2231),AND(F2231&lt;&gt;"",F2231&lt;B2231)),"Evento anterior à entrada",IF(AND(F2231&lt;&gt;"",E2231=""),"Conversa sem agendamento",IF(OR(E2231&gt;TODAY(),F2231&gt;TODAY()),"Verificar evento futuro","OK"))))))</f>
        <v/>
      </c>
    </row>
    <row r="2232" spans="9:12">
      <c r="I2232" s="5">
        <f>IF(OR(A2232="",B2232=""),"",B2232-WEEKDAY(B2232,2)+1)</f>
        <v/>
      </c>
      <c r="J2232" s="5">
        <f>IF(I2232="","",I2232+6)</f>
        <v/>
      </c>
      <c r="K2232" s="6">
        <f>IF(OR(A2232="",B2232=""),"",DATE(YEAR(B2232),MONTH(B2232),1))</f>
        <v/>
      </c>
      <c r="L2232" s="7">
        <f>IF(COUNTA(A2232,B2232)=0,"",IF(OR(A2232="",B2232=""),"Preencher CPF e entrada",IF(COUNTIFS($A$12:$A$5011,A2232,$B$12:$B$5011,B2232)&gt;1,"CPF + dia duplicado",IF(OR(AND(E2232&lt;&gt;"",E2232&lt;B2232),AND(F2232&lt;&gt;"",F2232&lt;B2232)),"Evento anterior à entrada",IF(AND(F2232&lt;&gt;"",E2232=""),"Conversa sem agendamento",IF(OR(E2232&gt;TODAY(),F2232&gt;TODAY()),"Verificar evento futuro","OK"))))))</f>
        <v/>
      </c>
    </row>
    <row r="2233" spans="9:12">
      <c r="I2233" s="5">
        <f>IF(OR(A2233="",B2233=""),"",B2233-WEEKDAY(B2233,2)+1)</f>
        <v/>
      </c>
      <c r="J2233" s="5">
        <f>IF(I2233="","",I2233+6)</f>
        <v/>
      </c>
      <c r="K2233" s="6">
        <f>IF(OR(A2233="",B2233=""),"",DATE(YEAR(B2233),MONTH(B2233),1))</f>
        <v/>
      </c>
      <c r="L2233" s="7">
        <f>IF(COUNTA(A2233,B2233)=0,"",IF(OR(A2233="",B2233=""),"Preencher CPF e entrada",IF(COUNTIFS($A$12:$A$5011,A2233,$B$12:$B$5011,B2233)&gt;1,"CPF + dia duplicado",IF(OR(AND(E2233&lt;&gt;"",E2233&lt;B2233),AND(F2233&lt;&gt;"",F2233&lt;B2233)),"Evento anterior à entrada",IF(AND(F2233&lt;&gt;"",E2233=""),"Conversa sem agendamento",IF(OR(E2233&gt;TODAY(),F2233&gt;TODAY()),"Verificar evento futuro","OK"))))))</f>
        <v/>
      </c>
    </row>
    <row r="2234" spans="9:12">
      <c r="I2234" s="5">
        <f>IF(OR(A2234="",B2234=""),"",B2234-WEEKDAY(B2234,2)+1)</f>
        <v/>
      </c>
      <c r="J2234" s="5">
        <f>IF(I2234="","",I2234+6)</f>
        <v/>
      </c>
      <c r="K2234" s="6">
        <f>IF(OR(A2234="",B2234=""),"",DATE(YEAR(B2234),MONTH(B2234),1))</f>
        <v/>
      </c>
      <c r="L2234" s="7">
        <f>IF(COUNTA(A2234,B2234)=0,"",IF(OR(A2234="",B2234=""),"Preencher CPF e entrada",IF(COUNTIFS($A$12:$A$5011,A2234,$B$12:$B$5011,B2234)&gt;1,"CPF + dia duplicado",IF(OR(AND(E2234&lt;&gt;"",E2234&lt;B2234),AND(F2234&lt;&gt;"",F2234&lt;B2234)),"Evento anterior à entrada",IF(AND(F2234&lt;&gt;"",E2234=""),"Conversa sem agendamento",IF(OR(E2234&gt;TODAY(),F2234&gt;TODAY()),"Verificar evento futuro","OK"))))))</f>
        <v/>
      </c>
    </row>
    <row r="2235" spans="9:12">
      <c r="I2235" s="5">
        <f>IF(OR(A2235="",B2235=""),"",B2235-WEEKDAY(B2235,2)+1)</f>
        <v/>
      </c>
      <c r="J2235" s="5">
        <f>IF(I2235="","",I2235+6)</f>
        <v/>
      </c>
      <c r="K2235" s="6">
        <f>IF(OR(A2235="",B2235=""),"",DATE(YEAR(B2235),MONTH(B2235),1))</f>
        <v/>
      </c>
      <c r="L2235" s="7">
        <f>IF(COUNTA(A2235,B2235)=0,"",IF(OR(A2235="",B2235=""),"Preencher CPF e entrada",IF(COUNTIFS($A$12:$A$5011,A2235,$B$12:$B$5011,B2235)&gt;1,"CPF + dia duplicado",IF(OR(AND(E2235&lt;&gt;"",E2235&lt;B2235),AND(F2235&lt;&gt;"",F2235&lt;B2235)),"Evento anterior à entrada",IF(AND(F2235&lt;&gt;"",E2235=""),"Conversa sem agendamento",IF(OR(E2235&gt;TODAY(),F2235&gt;TODAY()),"Verificar evento futuro","OK"))))))</f>
        <v/>
      </c>
    </row>
    <row r="2236" spans="9:12">
      <c r="I2236" s="5">
        <f>IF(OR(A2236="",B2236=""),"",B2236-WEEKDAY(B2236,2)+1)</f>
        <v/>
      </c>
      <c r="J2236" s="5">
        <f>IF(I2236="","",I2236+6)</f>
        <v/>
      </c>
      <c r="K2236" s="6">
        <f>IF(OR(A2236="",B2236=""),"",DATE(YEAR(B2236),MONTH(B2236),1))</f>
        <v/>
      </c>
      <c r="L2236" s="7">
        <f>IF(COUNTA(A2236,B2236)=0,"",IF(OR(A2236="",B2236=""),"Preencher CPF e entrada",IF(COUNTIFS($A$12:$A$5011,A2236,$B$12:$B$5011,B2236)&gt;1,"CPF + dia duplicado",IF(OR(AND(E2236&lt;&gt;"",E2236&lt;B2236),AND(F2236&lt;&gt;"",F2236&lt;B2236)),"Evento anterior à entrada",IF(AND(F2236&lt;&gt;"",E2236=""),"Conversa sem agendamento",IF(OR(E2236&gt;TODAY(),F2236&gt;TODAY()),"Verificar evento futuro","OK"))))))</f>
        <v/>
      </c>
    </row>
    <row r="2237" spans="9:12">
      <c r="I2237" s="5">
        <f>IF(OR(A2237="",B2237=""),"",B2237-WEEKDAY(B2237,2)+1)</f>
        <v/>
      </c>
      <c r="J2237" s="5">
        <f>IF(I2237="","",I2237+6)</f>
        <v/>
      </c>
      <c r="K2237" s="6">
        <f>IF(OR(A2237="",B2237=""),"",DATE(YEAR(B2237),MONTH(B2237),1))</f>
        <v/>
      </c>
      <c r="L2237" s="7">
        <f>IF(COUNTA(A2237,B2237)=0,"",IF(OR(A2237="",B2237=""),"Preencher CPF e entrada",IF(COUNTIFS($A$12:$A$5011,A2237,$B$12:$B$5011,B2237)&gt;1,"CPF + dia duplicado",IF(OR(AND(E2237&lt;&gt;"",E2237&lt;B2237),AND(F2237&lt;&gt;"",F2237&lt;B2237)),"Evento anterior à entrada",IF(AND(F2237&lt;&gt;"",E2237=""),"Conversa sem agendamento",IF(OR(E2237&gt;TODAY(),F2237&gt;TODAY()),"Verificar evento futuro","OK"))))))</f>
        <v/>
      </c>
    </row>
    <row r="2238" spans="9:12">
      <c r="I2238" s="5">
        <f>IF(OR(A2238="",B2238=""),"",B2238-WEEKDAY(B2238,2)+1)</f>
        <v/>
      </c>
      <c r="J2238" s="5">
        <f>IF(I2238="","",I2238+6)</f>
        <v/>
      </c>
      <c r="K2238" s="6">
        <f>IF(OR(A2238="",B2238=""),"",DATE(YEAR(B2238),MONTH(B2238),1))</f>
        <v/>
      </c>
      <c r="L2238" s="7">
        <f>IF(COUNTA(A2238,B2238)=0,"",IF(OR(A2238="",B2238=""),"Preencher CPF e entrada",IF(COUNTIFS($A$12:$A$5011,A2238,$B$12:$B$5011,B2238)&gt;1,"CPF + dia duplicado",IF(OR(AND(E2238&lt;&gt;"",E2238&lt;B2238),AND(F2238&lt;&gt;"",F2238&lt;B2238)),"Evento anterior à entrada",IF(AND(F2238&lt;&gt;"",E2238=""),"Conversa sem agendamento",IF(OR(E2238&gt;TODAY(),F2238&gt;TODAY()),"Verificar evento futuro","OK"))))))</f>
        <v/>
      </c>
    </row>
    <row r="2239" spans="9:12">
      <c r="I2239" s="5">
        <f>IF(OR(A2239="",B2239=""),"",B2239-WEEKDAY(B2239,2)+1)</f>
        <v/>
      </c>
      <c r="J2239" s="5">
        <f>IF(I2239="","",I2239+6)</f>
        <v/>
      </c>
      <c r="K2239" s="6">
        <f>IF(OR(A2239="",B2239=""),"",DATE(YEAR(B2239),MONTH(B2239),1))</f>
        <v/>
      </c>
      <c r="L2239" s="7">
        <f>IF(COUNTA(A2239,B2239)=0,"",IF(OR(A2239="",B2239=""),"Preencher CPF e entrada",IF(COUNTIFS($A$12:$A$5011,A2239,$B$12:$B$5011,B2239)&gt;1,"CPF + dia duplicado",IF(OR(AND(E2239&lt;&gt;"",E2239&lt;B2239),AND(F2239&lt;&gt;"",F2239&lt;B2239)),"Evento anterior à entrada",IF(AND(F2239&lt;&gt;"",E2239=""),"Conversa sem agendamento",IF(OR(E2239&gt;TODAY(),F2239&gt;TODAY()),"Verificar evento futuro","OK"))))))</f>
        <v/>
      </c>
    </row>
    <row r="2240" spans="9:12">
      <c r="I2240" s="5">
        <f>IF(OR(A2240="",B2240=""),"",B2240-WEEKDAY(B2240,2)+1)</f>
        <v/>
      </c>
      <c r="J2240" s="5">
        <f>IF(I2240="","",I2240+6)</f>
        <v/>
      </c>
      <c r="K2240" s="6">
        <f>IF(OR(A2240="",B2240=""),"",DATE(YEAR(B2240),MONTH(B2240),1))</f>
        <v/>
      </c>
      <c r="L2240" s="7">
        <f>IF(COUNTA(A2240,B2240)=0,"",IF(OR(A2240="",B2240=""),"Preencher CPF e entrada",IF(COUNTIFS($A$12:$A$5011,A2240,$B$12:$B$5011,B2240)&gt;1,"CPF + dia duplicado",IF(OR(AND(E2240&lt;&gt;"",E2240&lt;B2240),AND(F2240&lt;&gt;"",F2240&lt;B2240)),"Evento anterior à entrada",IF(AND(F2240&lt;&gt;"",E2240=""),"Conversa sem agendamento",IF(OR(E2240&gt;TODAY(),F2240&gt;TODAY()),"Verificar evento futuro","OK"))))))</f>
        <v/>
      </c>
    </row>
    <row r="2241" spans="9:12">
      <c r="I2241" s="5">
        <f>IF(OR(A2241="",B2241=""),"",B2241-WEEKDAY(B2241,2)+1)</f>
        <v/>
      </c>
      <c r="J2241" s="5">
        <f>IF(I2241="","",I2241+6)</f>
        <v/>
      </c>
      <c r="K2241" s="6">
        <f>IF(OR(A2241="",B2241=""),"",DATE(YEAR(B2241),MONTH(B2241),1))</f>
        <v/>
      </c>
      <c r="L2241" s="7">
        <f>IF(COUNTA(A2241,B2241)=0,"",IF(OR(A2241="",B2241=""),"Preencher CPF e entrada",IF(COUNTIFS($A$12:$A$5011,A2241,$B$12:$B$5011,B2241)&gt;1,"CPF + dia duplicado",IF(OR(AND(E2241&lt;&gt;"",E2241&lt;B2241),AND(F2241&lt;&gt;"",F2241&lt;B2241)),"Evento anterior à entrada",IF(AND(F2241&lt;&gt;"",E2241=""),"Conversa sem agendamento",IF(OR(E2241&gt;TODAY(),F2241&gt;TODAY()),"Verificar evento futuro","OK"))))))</f>
        <v/>
      </c>
    </row>
    <row r="2242" spans="9:12">
      <c r="I2242" s="5">
        <f>IF(OR(A2242="",B2242=""),"",B2242-WEEKDAY(B2242,2)+1)</f>
        <v/>
      </c>
      <c r="J2242" s="5">
        <f>IF(I2242="","",I2242+6)</f>
        <v/>
      </c>
      <c r="K2242" s="6">
        <f>IF(OR(A2242="",B2242=""),"",DATE(YEAR(B2242),MONTH(B2242),1))</f>
        <v/>
      </c>
      <c r="L2242" s="7">
        <f>IF(COUNTA(A2242,B2242)=0,"",IF(OR(A2242="",B2242=""),"Preencher CPF e entrada",IF(COUNTIFS($A$12:$A$5011,A2242,$B$12:$B$5011,B2242)&gt;1,"CPF + dia duplicado",IF(OR(AND(E2242&lt;&gt;"",E2242&lt;B2242),AND(F2242&lt;&gt;"",F2242&lt;B2242)),"Evento anterior à entrada",IF(AND(F2242&lt;&gt;"",E2242=""),"Conversa sem agendamento",IF(OR(E2242&gt;TODAY(),F2242&gt;TODAY()),"Verificar evento futuro","OK"))))))</f>
        <v/>
      </c>
    </row>
    <row r="2243" spans="9:12">
      <c r="I2243" s="5">
        <f>IF(OR(A2243="",B2243=""),"",B2243-WEEKDAY(B2243,2)+1)</f>
        <v/>
      </c>
      <c r="J2243" s="5">
        <f>IF(I2243="","",I2243+6)</f>
        <v/>
      </c>
      <c r="K2243" s="6">
        <f>IF(OR(A2243="",B2243=""),"",DATE(YEAR(B2243),MONTH(B2243),1))</f>
        <v/>
      </c>
      <c r="L2243" s="7">
        <f>IF(COUNTA(A2243,B2243)=0,"",IF(OR(A2243="",B2243=""),"Preencher CPF e entrada",IF(COUNTIFS($A$12:$A$5011,A2243,$B$12:$B$5011,B2243)&gt;1,"CPF + dia duplicado",IF(OR(AND(E2243&lt;&gt;"",E2243&lt;B2243),AND(F2243&lt;&gt;"",F2243&lt;B2243)),"Evento anterior à entrada",IF(AND(F2243&lt;&gt;"",E2243=""),"Conversa sem agendamento",IF(OR(E2243&gt;TODAY(),F2243&gt;TODAY()),"Verificar evento futuro","OK"))))))</f>
        <v/>
      </c>
    </row>
    <row r="2244" spans="9:12">
      <c r="I2244" s="5">
        <f>IF(OR(A2244="",B2244=""),"",B2244-WEEKDAY(B2244,2)+1)</f>
        <v/>
      </c>
      <c r="J2244" s="5">
        <f>IF(I2244="","",I2244+6)</f>
        <v/>
      </c>
      <c r="K2244" s="6">
        <f>IF(OR(A2244="",B2244=""),"",DATE(YEAR(B2244),MONTH(B2244),1))</f>
        <v/>
      </c>
      <c r="L2244" s="7">
        <f>IF(COUNTA(A2244,B2244)=0,"",IF(OR(A2244="",B2244=""),"Preencher CPF e entrada",IF(COUNTIFS($A$12:$A$5011,A2244,$B$12:$B$5011,B2244)&gt;1,"CPF + dia duplicado",IF(OR(AND(E2244&lt;&gt;"",E2244&lt;B2244),AND(F2244&lt;&gt;"",F2244&lt;B2244)),"Evento anterior à entrada",IF(AND(F2244&lt;&gt;"",E2244=""),"Conversa sem agendamento",IF(OR(E2244&gt;TODAY(),F2244&gt;TODAY()),"Verificar evento futuro","OK"))))))</f>
        <v/>
      </c>
    </row>
    <row r="2245" spans="9:12">
      <c r="I2245" s="5">
        <f>IF(OR(A2245="",B2245=""),"",B2245-WEEKDAY(B2245,2)+1)</f>
        <v/>
      </c>
      <c r="J2245" s="5">
        <f>IF(I2245="","",I2245+6)</f>
        <v/>
      </c>
      <c r="K2245" s="6">
        <f>IF(OR(A2245="",B2245=""),"",DATE(YEAR(B2245),MONTH(B2245),1))</f>
        <v/>
      </c>
      <c r="L2245" s="7">
        <f>IF(COUNTA(A2245,B2245)=0,"",IF(OR(A2245="",B2245=""),"Preencher CPF e entrada",IF(COUNTIFS($A$12:$A$5011,A2245,$B$12:$B$5011,B2245)&gt;1,"CPF + dia duplicado",IF(OR(AND(E2245&lt;&gt;"",E2245&lt;B2245),AND(F2245&lt;&gt;"",F2245&lt;B2245)),"Evento anterior à entrada",IF(AND(F2245&lt;&gt;"",E2245=""),"Conversa sem agendamento",IF(OR(E2245&gt;TODAY(),F2245&gt;TODAY()),"Verificar evento futuro","OK"))))))</f>
        <v/>
      </c>
    </row>
    <row r="2246" spans="9:12">
      <c r="I2246" s="5">
        <f>IF(OR(A2246="",B2246=""),"",B2246-WEEKDAY(B2246,2)+1)</f>
        <v/>
      </c>
      <c r="J2246" s="5">
        <f>IF(I2246="","",I2246+6)</f>
        <v/>
      </c>
      <c r="K2246" s="6">
        <f>IF(OR(A2246="",B2246=""),"",DATE(YEAR(B2246),MONTH(B2246),1))</f>
        <v/>
      </c>
      <c r="L2246" s="7">
        <f>IF(COUNTA(A2246,B2246)=0,"",IF(OR(A2246="",B2246=""),"Preencher CPF e entrada",IF(COUNTIFS($A$12:$A$5011,A2246,$B$12:$B$5011,B2246)&gt;1,"CPF + dia duplicado",IF(OR(AND(E2246&lt;&gt;"",E2246&lt;B2246),AND(F2246&lt;&gt;"",F2246&lt;B2246)),"Evento anterior à entrada",IF(AND(F2246&lt;&gt;"",E2246=""),"Conversa sem agendamento",IF(OR(E2246&gt;TODAY(),F2246&gt;TODAY()),"Verificar evento futuro","OK"))))))</f>
        <v/>
      </c>
    </row>
    <row r="2247" spans="9:12">
      <c r="I2247" s="5">
        <f>IF(OR(A2247="",B2247=""),"",B2247-WEEKDAY(B2247,2)+1)</f>
        <v/>
      </c>
      <c r="J2247" s="5">
        <f>IF(I2247="","",I2247+6)</f>
        <v/>
      </c>
      <c r="K2247" s="6">
        <f>IF(OR(A2247="",B2247=""),"",DATE(YEAR(B2247),MONTH(B2247),1))</f>
        <v/>
      </c>
      <c r="L2247" s="7">
        <f>IF(COUNTA(A2247,B2247)=0,"",IF(OR(A2247="",B2247=""),"Preencher CPF e entrada",IF(COUNTIFS($A$12:$A$5011,A2247,$B$12:$B$5011,B2247)&gt;1,"CPF + dia duplicado",IF(OR(AND(E2247&lt;&gt;"",E2247&lt;B2247),AND(F2247&lt;&gt;"",F2247&lt;B2247)),"Evento anterior à entrada",IF(AND(F2247&lt;&gt;"",E2247=""),"Conversa sem agendamento",IF(OR(E2247&gt;TODAY(),F2247&gt;TODAY()),"Verificar evento futuro","OK"))))))</f>
        <v/>
      </c>
    </row>
    <row r="2248" spans="9:12">
      <c r="I2248" s="5">
        <f>IF(OR(A2248="",B2248=""),"",B2248-WEEKDAY(B2248,2)+1)</f>
        <v/>
      </c>
      <c r="J2248" s="5">
        <f>IF(I2248="","",I2248+6)</f>
        <v/>
      </c>
      <c r="K2248" s="6">
        <f>IF(OR(A2248="",B2248=""),"",DATE(YEAR(B2248),MONTH(B2248),1))</f>
        <v/>
      </c>
      <c r="L2248" s="7">
        <f>IF(COUNTA(A2248,B2248)=0,"",IF(OR(A2248="",B2248=""),"Preencher CPF e entrada",IF(COUNTIFS($A$12:$A$5011,A2248,$B$12:$B$5011,B2248)&gt;1,"CPF + dia duplicado",IF(OR(AND(E2248&lt;&gt;"",E2248&lt;B2248),AND(F2248&lt;&gt;"",F2248&lt;B2248)),"Evento anterior à entrada",IF(AND(F2248&lt;&gt;"",E2248=""),"Conversa sem agendamento",IF(OR(E2248&gt;TODAY(),F2248&gt;TODAY()),"Verificar evento futuro","OK"))))))</f>
        <v/>
      </c>
    </row>
    <row r="2249" spans="9:12">
      <c r="I2249" s="5">
        <f>IF(OR(A2249="",B2249=""),"",B2249-WEEKDAY(B2249,2)+1)</f>
        <v/>
      </c>
      <c r="J2249" s="5">
        <f>IF(I2249="","",I2249+6)</f>
        <v/>
      </c>
      <c r="K2249" s="6">
        <f>IF(OR(A2249="",B2249=""),"",DATE(YEAR(B2249),MONTH(B2249),1))</f>
        <v/>
      </c>
      <c r="L2249" s="7">
        <f>IF(COUNTA(A2249,B2249)=0,"",IF(OR(A2249="",B2249=""),"Preencher CPF e entrada",IF(COUNTIFS($A$12:$A$5011,A2249,$B$12:$B$5011,B2249)&gt;1,"CPF + dia duplicado",IF(OR(AND(E2249&lt;&gt;"",E2249&lt;B2249),AND(F2249&lt;&gt;"",F2249&lt;B2249)),"Evento anterior à entrada",IF(AND(F2249&lt;&gt;"",E2249=""),"Conversa sem agendamento",IF(OR(E2249&gt;TODAY(),F2249&gt;TODAY()),"Verificar evento futuro","OK"))))))</f>
        <v/>
      </c>
    </row>
    <row r="2250" spans="9:12">
      <c r="I2250" s="5">
        <f>IF(OR(A2250="",B2250=""),"",B2250-WEEKDAY(B2250,2)+1)</f>
        <v/>
      </c>
      <c r="J2250" s="5">
        <f>IF(I2250="","",I2250+6)</f>
        <v/>
      </c>
      <c r="K2250" s="6">
        <f>IF(OR(A2250="",B2250=""),"",DATE(YEAR(B2250),MONTH(B2250),1))</f>
        <v/>
      </c>
      <c r="L2250" s="7">
        <f>IF(COUNTA(A2250,B2250)=0,"",IF(OR(A2250="",B2250=""),"Preencher CPF e entrada",IF(COUNTIFS($A$12:$A$5011,A2250,$B$12:$B$5011,B2250)&gt;1,"CPF + dia duplicado",IF(OR(AND(E2250&lt;&gt;"",E2250&lt;B2250),AND(F2250&lt;&gt;"",F2250&lt;B2250)),"Evento anterior à entrada",IF(AND(F2250&lt;&gt;"",E2250=""),"Conversa sem agendamento",IF(OR(E2250&gt;TODAY(),F2250&gt;TODAY()),"Verificar evento futuro","OK"))))))</f>
        <v/>
      </c>
    </row>
    <row r="2251" spans="9:12">
      <c r="I2251" s="5">
        <f>IF(OR(A2251="",B2251=""),"",B2251-WEEKDAY(B2251,2)+1)</f>
        <v/>
      </c>
      <c r="J2251" s="5">
        <f>IF(I2251="","",I2251+6)</f>
        <v/>
      </c>
      <c r="K2251" s="6">
        <f>IF(OR(A2251="",B2251=""),"",DATE(YEAR(B2251),MONTH(B2251),1))</f>
        <v/>
      </c>
      <c r="L2251" s="7">
        <f>IF(COUNTA(A2251,B2251)=0,"",IF(OR(A2251="",B2251=""),"Preencher CPF e entrada",IF(COUNTIFS($A$12:$A$5011,A2251,$B$12:$B$5011,B2251)&gt;1,"CPF + dia duplicado",IF(OR(AND(E2251&lt;&gt;"",E2251&lt;B2251),AND(F2251&lt;&gt;"",F2251&lt;B2251)),"Evento anterior à entrada",IF(AND(F2251&lt;&gt;"",E2251=""),"Conversa sem agendamento",IF(OR(E2251&gt;TODAY(),F2251&gt;TODAY()),"Verificar evento futuro","OK"))))))</f>
        <v/>
      </c>
    </row>
    <row r="2252" spans="9:12">
      <c r="I2252" s="5">
        <f>IF(OR(A2252="",B2252=""),"",B2252-WEEKDAY(B2252,2)+1)</f>
        <v/>
      </c>
      <c r="J2252" s="5">
        <f>IF(I2252="","",I2252+6)</f>
        <v/>
      </c>
      <c r="K2252" s="6">
        <f>IF(OR(A2252="",B2252=""),"",DATE(YEAR(B2252),MONTH(B2252),1))</f>
        <v/>
      </c>
      <c r="L2252" s="7">
        <f>IF(COUNTA(A2252,B2252)=0,"",IF(OR(A2252="",B2252=""),"Preencher CPF e entrada",IF(COUNTIFS($A$12:$A$5011,A2252,$B$12:$B$5011,B2252)&gt;1,"CPF + dia duplicado",IF(OR(AND(E2252&lt;&gt;"",E2252&lt;B2252),AND(F2252&lt;&gt;"",F2252&lt;B2252)),"Evento anterior à entrada",IF(AND(F2252&lt;&gt;"",E2252=""),"Conversa sem agendamento",IF(OR(E2252&gt;TODAY(),F2252&gt;TODAY()),"Verificar evento futuro","OK"))))))</f>
        <v/>
      </c>
    </row>
    <row r="2253" spans="9:12">
      <c r="I2253" s="5">
        <f>IF(OR(A2253="",B2253=""),"",B2253-WEEKDAY(B2253,2)+1)</f>
        <v/>
      </c>
      <c r="J2253" s="5">
        <f>IF(I2253="","",I2253+6)</f>
        <v/>
      </c>
      <c r="K2253" s="6">
        <f>IF(OR(A2253="",B2253=""),"",DATE(YEAR(B2253),MONTH(B2253),1))</f>
        <v/>
      </c>
      <c r="L2253" s="7">
        <f>IF(COUNTA(A2253,B2253)=0,"",IF(OR(A2253="",B2253=""),"Preencher CPF e entrada",IF(COUNTIFS($A$12:$A$5011,A2253,$B$12:$B$5011,B2253)&gt;1,"CPF + dia duplicado",IF(OR(AND(E2253&lt;&gt;"",E2253&lt;B2253),AND(F2253&lt;&gt;"",F2253&lt;B2253)),"Evento anterior à entrada",IF(AND(F2253&lt;&gt;"",E2253=""),"Conversa sem agendamento",IF(OR(E2253&gt;TODAY(),F2253&gt;TODAY()),"Verificar evento futuro","OK"))))))</f>
        <v/>
      </c>
    </row>
    <row r="2254" spans="9:12">
      <c r="I2254" s="5">
        <f>IF(OR(A2254="",B2254=""),"",B2254-WEEKDAY(B2254,2)+1)</f>
        <v/>
      </c>
      <c r="J2254" s="5">
        <f>IF(I2254="","",I2254+6)</f>
        <v/>
      </c>
      <c r="K2254" s="6">
        <f>IF(OR(A2254="",B2254=""),"",DATE(YEAR(B2254),MONTH(B2254),1))</f>
        <v/>
      </c>
      <c r="L2254" s="7">
        <f>IF(COUNTA(A2254,B2254)=0,"",IF(OR(A2254="",B2254=""),"Preencher CPF e entrada",IF(COUNTIFS($A$12:$A$5011,A2254,$B$12:$B$5011,B2254)&gt;1,"CPF + dia duplicado",IF(OR(AND(E2254&lt;&gt;"",E2254&lt;B2254),AND(F2254&lt;&gt;"",F2254&lt;B2254)),"Evento anterior à entrada",IF(AND(F2254&lt;&gt;"",E2254=""),"Conversa sem agendamento",IF(OR(E2254&gt;TODAY(),F2254&gt;TODAY()),"Verificar evento futuro","OK"))))))</f>
        <v/>
      </c>
    </row>
    <row r="2255" spans="9:12">
      <c r="I2255" s="5">
        <f>IF(OR(A2255="",B2255=""),"",B2255-WEEKDAY(B2255,2)+1)</f>
        <v/>
      </c>
      <c r="J2255" s="5">
        <f>IF(I2255="","",I2255+6)</f>
        <v/>
      </c>
      <c r="K2255" s="6">
        <f>IF(OR(A2255="",B2255=""),"",DATE(YEAR(B2255),MONTH(B2255),1))</f>
        <v/>
      </c>
      <c r="L2255" s="7">
        <f>IF(COUNTA(A2255,B2255)=0,"",IF(OR(A2255="",B2255=""),"Preencher CPF e entrada",IF(COUNTIFS($A$12:$A$5011,A2255,$B$12:$B$5011,B2255)&gt;1,"CPF + dia duplicado",IF(OR(AND(E2255&lt;&gt;"",E2255&lt;B2255),AND(F2255&lt;&gt;"",F2255&lt;B2255)),"Evento anterior à entrada",IF(AND(F2255&lt;&gt;"",E2255=""),"Conversa sem agendamento",IF(OR(E2255&gt;TODAY(),F2255&gt;TODAY()),"Verificar evento futuro","OK"))))))</f>
        <v/>
      </c>
    </row>
    <row r="2256" spans="9:12">
      <c r="I2256" s="5">
        <f>IF(OR(A2256="",B2256=""),"",B2256-WEEKDAY(B2256,2)+1)</f>
        <v/>
      </c>
      <c r="J2256" s="5">
        <f>IF(I2256="","",I2256+6)</f>
        <v/>
      </c>
      <c r="K2256" s="6">
        <f>IF(OR(A2256="",B2256=""),"",DATE(YEAR(B2256),MONTH(B2256),1))</f>
        <v/>
      </c>
      <c r="L2256" s="7">
        <f>IF(COUNTA(A2256,B2256)=0,"",IF(OR(A2256="",B2256=""),"Preencher CPF e entrada",IF(COUNTIFS($A$12:$A$5011,A2256,$B$12:$B$5011,B2256)&gt;1,"CPF + dia duplicado",IF(OR(AND(E2256&lt;&gt;"",E2256&lt;B2256),AND(F2256&lt;&gt;"",F2256&lt;B2256)),"Evento anterior à entrada",IF(AND(F2256&lt;&gt;"",E2256=""),"Conversa sem agendamento",IF(OR(E2256&gt;TODAY(),F2256&gt;TODAY()),"Verificar evento futuro","OK"))))))</f>
        <v/>
      </c>
    </row>
    <row r="2257" spans="9:12">
      <c r="I2257" s="5">
        <f>IF(OR(A2257="",B2257=""),"",B2257-WEEKDAY(B2257,2)+1)</f>
        <v/>
      </c>
      <c r="J2257" s="5">
        <f>IF(I2257="","",I2257+6)</f>
        <v/>
      </c>
      <c r="K2257" s="6">
        <f>IF(OR(A2257="",B2257=""),"",DATE(YEAR(B2257),MONTH(B2257),1))</f>
        <v/>
      </c>
      <c r="L2257" s="7">
        <f>IF(COUNTA(A2257,B2257)=0,"",IF(OR(A2257="",B2257=""),"Preencher CPF e entrada",IF(COUNTIFS($A$12:$A$5011,A2257,$B$12:$B$5011,B2257)&gt;1,"CPF + dia duplicado",IF(OR(AND(E2257&lt;&gt;"",E2257&lt;B2257),AND(F2257&lt;&gt;"",F2257&lt;B2257)),"Evento anterior à entrada",IF(AND(F2257&lt;&gt;"",E2257=""),"Conversa sem agendamento",IF(OR(E2257&gt;TODAY(),F2257&gt;TODAY()),"Verificar evento futuro","OK"))))))</f>
        <v/>
      </c>
    </row>
    <row r="2258" spans="9:12">
      <c r="I2258" s="5">
        <f>IF(OR(A2258="",B2258=""),"",B2258-WEEKDAY(B2258,2)+1)</f>
        <v/>
      </c>
      <c r="J2258" s="5">
        <f>IF(I2258="","",I2258+6)</f>
        <v/>
      </c>
      <c r="K2258" s="6">
        <f>IF(OR(A2258="",B2258=""),"",DATE(YEAR(B2258),MONTH(B2258),1))</f>
        <v/>
      </c>
      <c r="L2258" s="7">
        <f>IF(COUNTA(A2258,B2258)=0,"",IF(OR(A2258="",B2258=""),"Preencher CPF e entrada",IF(COUNTIFS($A$12:$A$5011,A2258,$B$12:$B$5011,B2258)&gt;1,"CPF + dia duplicado",IF(OR(AND(E2258&lt;&gt;"",E2258&lt;B2258),AND(F2258&lt;&gt;"",F2258&lt;B2258)),"Evento anterior à entrada",IF(AND(F2258&lt;&gt;"",E2258=""),"Conversa sem agendamento",IF(OR(E2258&gt;TODAY(),F2258&gt;TODAY()),"Verificar evento futuro","OK"))))))</f>
        <v/>
      </c>
    </row>
    <row r="2259" spans="9:12">
      <c r="I2259" s="5">
        <f>IF(OR(A2259="",B2259=""),"",B2259-WEEKDAY(B2259,2)+1)</f>
        <v/>
      </c>
      <c r="J2259" s="5">
        <f>IF(I2259="","",I2259+6)</f>
        <v/>
      </c>
      <c r="K2259" s="6">
        <f>IF(OR(A2259="",B2259=""),"",DATE(YEAR(B2259),MONTH(B2259),1))</f>
        <v/>
      </c>
      <c r="L2259" s="7">
        <f>IF(COUNTA(A2259,B2259)=0,"",IF(OR(A2259="",B2259=""),"Preencher CPF e entrada",IF(COUNTIFS($A$12:$A$5011,A2259,$B$12:$B$5011,B2259)&gt;1,"CPF + dia duplicado",IF(OR(AND(E2259&lt;&gt;"",E2259&lt;B2259),AND(F2259&lt;&gt;"",F2259&lt;B2259)),"Evento anterior à entrada",IF(AND(F2259&lt;&gt;"",E2259=""),"Conversa sem agendamento",IF(OR(E2259&gt;TODAY(),F2259&gt;TODAY()),"Verificar evento futuro","OK"))))))</f>
        <v/>
      </c>
    </row>
    <row r="2260" spans="9:12">
      <c r="I2260" s="5">
        <f>IF(OR(A2260="",B2260=""),"",B2260-WEEKDAY(B2260,2)+1)</f>
        <v/>
      </c>
      <c r="J2260" s="5">
        <f>IF(I2260="","",I2260+6)</f>
        <v/>
      </c>
      <c r="K2260" s="6">
        <f>IF(OR(A2260="",B2260=""),"",DATE(YEAR(B2260),MONTH(B2260),1))</f>
        <v/>
      </c>
      <c r="L2260" s="7">
        <f>IF(COUNTA(A2260,B2260)=0,"",IF(OR(A2260="",B2260=""),"Preencher CPF e entrada",IF(COUNTIFS($A$12:$A$5011,A2260,$B$12:$B$5011,B2260)&gt;1,"CPF + dia duplicado",IF(OR(AND(E2260&lt;&gt;"",E2260&lt;B2260),AND(F2260&lt;&gt;"",F2260&lt;B2260)),"Evento anterior à entrada",IF(AND(F2260&lt;&gt;"",E2260=""),"Conversa sem agendamento",IF(OR(E2260&gt;TODAY(),F2260&gt;TODAY()),"Verificar evento futuro","OK"))))))</f>
        <v/>
      </c>
    </row>
    <row r="2261" spans="9:12">
      <c r="I2261" s="5">
        <f>IF(OR(A2261="",B2261=""),"",B2261-WEEKDAY(B2261,2)+1)</f>
        <v/>
      </c>
      <c r="J2261" s="5">
        <f>IF(I2261="","",I2261+6)</f>
        <v/>
      </c>
      <c r="K2261" s="6">
        <f>IF(OR(A2261="",B2261=""),"",DATE(YEAR(B2261),MONTH(B2261),1))</f>
        <v/>
      </c>
      <c r="L2261" s="7">
        <f>IF(COUNTA(A2261,B2261)=0,"",IF(OR(A2261="",B2261=""),"Preencher CPF e entrada",IF(COUNTIFS($A$12:$A$5011,A2261,$B$12:$B$5011,B2261)&gt;1,"CPF + dia duplicado",IF(OR(AND(E2261&lt;&gt;"",E2261&lt;B2261),AND(F2261&lt;&gt;"",F2261&lt;B2261)),"Evento anterior à entrada",IF(AND(F2261&lt;&gt;"",E2261=""),"Conversa sem agendamento",IF(OR(E2261&gt;TODAY(),F2261&gt;TODAY()),"Verificar evento futuro","OK"))))))</f>
        <v/>
      </c>
    </row>
    <row r="2262" spans="9:12">
      <c r="I2262" s="5">
        <f>IF(OR(A2262="",B2262=""),"",B2262-WEEKDAY(B2262,2)+1)</f>
        <v/>
      </c>
      <c r="J2262" s="5">
        <f>IF(I2262="","",I2262+6)</f>
        <v/>
      </c>
      <c r="K2262" s="6">
        <f>IF(OR(A2262="",B2262=""),"",DATE(YEAR(B2262),MONTH(B2262),1))</f>
        <v/>
      </c>
      <c r="L2262" s="7">
        <f>IF(COUNTA(A2262,B2262)=0,"",IF(OR(A2262="",B2262=""),"Preencher CPF e entrada",IF(COUNTIFS($A$12:$A$5011,A2262,$B$12:$B$5011,B2262)&gt;1,"CPF + dia duplicado",IF(OR(AND(E2262&lt;&gt;"",E2262&lt;B2262),AND(F2262&lt;&gt;"",F2262&lt;B2262)),"Evento anterior à entrada",IF(AND(F2262&lt;&gt;"",E2262=""),"Conversa sem agendamento",IF(OR(E2262&gt;TODAY(),F2262&gt;TODAY()),"Verificar evento futuro","OK"))))))</f>
        <v/>
      </c>
    </row>
    <row r="2263" spans="9:12">
      <c r="I2263" s="5">
        <f>IF(OR(A2263="",B2263=""),"",B2263-WEEKDAY(B2263,2)+1)</f>
        <v/>
      </c>
      <c r="J2263" s="5">
        <f>IF(I2263="","",I2263+6)</f>
        <v/>
      </c>
      <c r="K2263" s="6">
        <f>IF(OR(A2263="",B2263=""),"",DATE(YEAR(B2263),MONTH(B2263),1))</f>
        <v/>
      </c>
      <c r="L2263" s="7">
        <f>IF(COUNTA(A2263,B2263)=0,"",IF(OR(A2263="",B2263=""),"Preencher CPF e entrada",IF(COUNTIFS($A$12:$A$5011,A2263,$B$12:$B$5011,B2263)&gt;1,"CPF + dia duplicado",IF(OR(AND(E2263&lt;&gt;"",E2263&lt;B2263),AND(F2263&lt;&gt;"",F2263&lt;B2263)),"Evento anterior à entrada",IF(AND(F2263&lt;&gt;"",E2263=""),"Conversa sem agendamento",IF(OR(E2263&gt;TODAY(),F2263&gt;TODAY()),"Verificar evento futuro","OK"))))))</f>
        <v/>
      </c>
    </row>
    <row r="2264" spans="9:12">
      <c r="I2264" s="5">
        <f>IF(OR(A2264="",B2264=""),"",B2264-WEEKDAY(B2264,2)+1)</f>
        <v/>
      </c>
      <c r="J2264" s="5">
        <f>IF(I2264="","",I2264+6)</f>
        <v/>
      </c>
      <c r="K2264" s="6">
        <f>IF(OR(A2264="",B2264=""),"",DATE(YEAR(B2264),MONTH(B2264),1))</f>
        <v/>
      </c>
      <c r="L2264" s="7">
        <f>IF(COUNTA(A2264,B2264)=0,"",IF(OR(A2264="",B2264=""),"Preencher CPF e entrada",IF(COUNTIFS($A$12:$A$5011,A2264,$B$12:$B$5011,B2264)&gt;1,"CPF + dia duplicado",IF(OR(AND(E2264&lt;&gt;"",E2264&lt;B2264),AND(F2264&lt;&gt;"",F2264&lt;B2264)),"Evento anterior à entrada",IF(AND(F2264&lt;&gt;"",E2264=""),"Conversa sem agendamento",IF(OR(E2264&gt;TODAY(),F2264&gt;TODAY()),"Verificar evento futuro","OK"))))))</f>
        <v/>
      </c>
    </row>
    <row r="2265" spans="9:12">
      <c r="I2265" s="5">
        <f>IF(OR(A2265="",B2265=""),"",B2265-WEEKDAY(B2265,2)+1)</f>
        <v/>
      </c>
      <c r="J2265" s="5">
        <f>IF(I2265="","",I2265+6)</f>
        <v/>
      </c>
      <c r="K2265" s="6">
        <f>IF(OR(A2265="",B2265=""),"",DATE(YEAR(B2265),MONTH(B2265),1))</f>
        <v/>
      </c>
      <c r="L2265" s="7">
        <f>IF(COUNTA(A2265,B2265)=0,"",IF(OR(A2265="",B2265=""),"Preencher CPF e entrada",IF(COUNTIFS($A$12:$A$5011,A2265,$B$12:$B$5011,B2265)&gt;1,"CPF + dia duplicado",IF(OR(AND(E2265&lt;&gt;"",E2265&lt;B2265),AND(F2265&lt;&gt;"",F2265&lt;B2265)),"Evento anterior à entrada",IF(AND(F2265&lt;&gt;"",E2265=""),"Conversa sem agendamento",IF(OR(E2265&gt;TODAY(),F2265&gt;TODAY()),"Verificar evento futuro","OK"))))))</f>
        <v/>
      </c>
    </row>
    <row r="2266" spans="9:12">
      <c r="I2266" s="5">
        <f>IF(OR(A2266="",B2266=""),"",B2266-WEEKDAY(B2266,2)+1)</f>
        <v/>
      </c>
      <c r="J2266" s="5">
        <f>IF(I2266="","",I2266+6)</f>
        <v/>
      </c>
      <c r="K2266" s="6">
        <f>IF(OR(A2266="",B2266=""),"",DATE(YEAR(B2266),MONTH(B2266),1))</f>
        <v/>
      </c>
      <c r="L2266" s="7">
        <f>IF(COUNTA(A2266,B2266)=0,"",IF(OR(A2266="",B2266=""),"Preencher CPF e entrada",IF(COUNTIFS($A$12:$A$5011,A2266,$B$12:$B$5011,B2266)&gt;1,"CPF + dia duplicado",IF(OR(AND(E2266&lt;&gt;"",E2266&lt;B2266),AND(F2266&lt;&gt;"",F2266&lt;B2266)),"Evento anterior à entrada",IF(AND(F2266&lt;&gt;"",E2266=""),"Conversa sem agendamento",IF(OR(E2266&gt;TODAY(),F2266&gt;TODAY()),"Verificar evento futuro","OK"))))))</f>
        <v/>
      </c>
    </row>
    <row r="2267" spans="9:12">
      <c r="I2267" s="5">
        <f>IF(OR(A2267="",B2267=""),"",B2267-WEEKDAY(B2267,2)+1)</f>
        <v/>
      </c>
      <c r="J2267" s="5">
        <f>IF(I2267="","",I2267+6)</f>
        <v/>
      </c>
      <c r="K2267" s="6">
        <f>IF(OR(A2267="",B2267=""),"",DATE(YEAR(B2267),MONTH(B2267),1))</f>
        <v/>
      </c>
      <c r="L2267" s="7">
        <f>IF(COUNTA(A2267,B2267)=0,"",IF(OR(A2267="",B2267=""),"Preencher CPF e entrada",IF(COUNTIFS($A$12:$A$5011,A2267,$B$12:$B$5011,B2267)&gt;1,"CPF + dia duplicado",IF(OR(AND(E2267&lt;&gt;"",E2267&lt;B2267),AND(F2267&lt;&gt;"",F2267&lt;B2267)),"Evento anterior à entrada",IF(AND(F2267&lt;&gt;"",E2267=""),"Conversa sem agendamento",IF(OR(E2267&gt;TODAY(),F2267&gt;TODAY()),"Verificar evento futuro","OK"))))))</f>
        <v/>
      </c>
    </row>
    <row r="2268" spans="9:12">
      <c r="I2268" s="5">
        <f>IF(OR(A2268="",B2268=""),"",B2268-WEEKDAY(B2268,2)+1)</f>
        <v/>
      </c>
      <c r="J2268" s="5">
        <f>IF(I2268="","",I2268+6)</f>
        <v/>
      </c>
      <c r="K2268" s="6">
        <f>IF(OR(A2268="",B2268=""),"",DATE(YEAR(B2268),MONTH(B2268),1))</f>
        <v/>
      </c>
      <c r="L2268" s="7">
        <f>IF(COUNTA(A2268,B2268)=0,"",IF(OR(A2268="",B2268=""),"Preencher CPF e entrada",IF(COUNTIFS($A$12:$A$5011,A2268,$B$12:$B$5011,B2268)&gt;1,"CPF + dia duplicado",IF(OR(AND(E2268&lt;&gt;"",E2268&lt;B2268),AND(F2268&lt;&gt;"",F2268&lt;B2268)),"Evento anterior à entrada",IF(AND(F2268&lt;&gt;"",E2268=""),"Conversa sem agendamento",IF(OR(E2268&gt;TODAY(),F2268&gt;TODAY()),"Verificar evento futuro","OK"))))))</f>
        <v/>
      </c>
    </row>
    <row r="2269" spans="9:12">
      <c r="I2269" s="5">
        <f>IF(OR(A2269="",B2269=""),"",B2269-WEEKDAY(B2269,2)+1)</f>
        <v/>
      </c>
      <c r="J2269" s="5">
        <f>IF(I2269="","",I2269+6)</f>
        <v/>
      </c>
      <c r="K2269" s="6">
        <f>IF(OR(A2269="",B2269=""),"",DATE(YEAR(B2269),MONTH(B2269),1))</f>
        <v/>
      </c>
      <c r="L2269" s="7">
        <f>IF(COUNTA(A2269,B2269)=0,"",IF(OR(A2269="",B2269=""),"Preencher CPF e entrada",IF(COUNTIFS($A$12:$A$5011,A2269,$B$12:$B$5011,B2269)&gt;1,"CPF + dia duplicado",IF(OR(AND(E2269&lt;&gt;"",E2269&lt;B2269),AND(F2269&lt;&gt;"",F2269&lt;B2269)),"Evento anterior à entrada",IF(AND(F2269&lt;&gt;"",E2269=""),"Conversa sem agendamento",IF(OR(E2269&gt;TODAY(),F2269&gt;TODAY()),"Verificar evento futuro","OK"))))))</f>
        <v/>
      </c>
    </row>
    <row r="2270" spans="9:12">
      <c r="I2270" s="5">
        <f>IF(OR(A2270="",B2270=""),"",B2270-WEEKDAY(B2270,2)+1)</f>
        <v/>
      </c>
      <c r="J2270" s="5">
        <f>IF(I2270="","",I2270+6)</f>
        <v/>
      </c>
      <c r="K2270" s="6">
        <f>IF(OR(A2270="",B2270=""),"",DATE(YEAR(B2270),MONTH(B2270),1))</f>
        <v/>
      </c>
      <c r="L2270" s="7">
        <f>IF(COUNTA(A2270,B2270)=0,"",IF(OR(A2270="",B2270=""),"Preencher CPF e entrada",IF(COUNTIFS($A$12:$A$5011,A2270,$B$12:$B$5011,B2270)&gt;1,"CPF + dia duplicado",IF(OR(AND(E2270&lt;&gt;"",E2270&lt;B2270),AND(F2270&lt;&gt;"",F2270&lt;B2270)),"Evento anterior à entrada",IF(AND(F2270&lt;&gt;"",E2270=""),"Conversa sem agendamento",IF(OR(E2270&gt;TODAY(),F2270&gt;TODAY()),"Verificar evento futuro","OK"))))))</f>
        <v/>
      </c>
    </row>
    <row r="2271" spans="9:12">
      <c r="I2271" s="5">
        <f>IF(OR(A2271="",B2271=""),"",B2271-WEEKDAY(B2271,2)+1)</f>
        <v/>
      </c>
      <c r="J2271" s="5">
        <f>IF(I2271="","",I2271+6)</f>
        <v/>
      </c>
      <c r="K2271" s="6">
        <f>IF(OR(A2271="",B2271=""),"",DATE(YEAR(B2271),MONTH(B2271),1))</f>
        <v/>
      </c>
      <c r="L2271" s="7">
        <f>IF(COUNTA(A2271,B2271)=0,"",IF(OR(A2271="",B2271=""),"Preencher CPF e entrada",IF(COUNTIFS($A$12:$A$5011,A2271,$B$12:$B$5011,B2271)&gt;1,"CPF + dia duplicado",IF(OR(AND(E2271&lt;&gt;"",E2271&lt;B2271),AND(F2271&lt;&gt;"",F2271&lt;B2271)),"Evento anterior à entrada",IF(AND(F2271&lt;&gt;"",E2271=""),"Conversa sem agendamento",IF(OR(E2271&gt;TODAY(),F2271&gt;TODAY()),"Verificar evento futuro","OK"))))))</f>
        <v/>
      </c>
    </row>
    <row r="2272" spans="9:12">
      <c r="I2272" s="5">
        <f>IF(OR(A2272="",B2272=""),"",B2272-WEEKDAY(B2272,2)+1)</f>
        <v/>
      </c>
      <c r="J2272" s="5">
        <f>IF(I2272="","",I2272+6)</f>
        <v/>
      </c>
      <c r="K2272" s="6">
        <f>IF(OR(A2272="",B2272=""),"",DATE(YEAR(B2272),MONTH(B2272),1))</f>
        <v/>
      </c>
      <c r="L2272" s="7">
        <f>IF(COUNTA(A2272,B2272)=0,"",IF(OR(A2272="",B2272=""),"Preencher CPF e entrada",IF(COUNTIFS($A$12:$A$5011,A2272,$B$12:$B$5011,B2272)&gt;1,"CPF + dia duplicado",IF(OR(AND(E2272&lt;&gt;"",E2272&lt;B2272),AND(F2272&lt;&gt;"",F2272&lt;B2272)),"Evento anterior à entrada",IF(AND(F2272&lt;&gt;"",E2272=""),"Conversa sem agendamento",IF(OR(E2272&gt;TODAY(),F2272&gt;TODAY()),"Verificar evento futuro","OK"))))))</f>
        <v/>
      </c>
    </row>
    <row r="2273" spans="9:12">
      <c r="I2273" s="5">
        <f>IF(OR(A2273="",B2273=""),"",B2273-WEEKDAY(B2273,2)+1)</f>
        <v/>
      </c>
      <c r="J2273" s="5">
        <f>IF(I2273="","",I2273+6)</f>
        <v/>
      </c>
      <c r="K2273" s="6">
        <f>IF(OR(A2273="",B2273=""),"",DATE(YEAR(B2273),MONTH(B2273),1))</f>
        <v/>
      </c>
      <c r="L2273" s="7">
        <f>IF(COUNTA(A2273,B2273)=0,"",IF(OR(A2273="",B2273=""),"Preencher CPF e entrada",IF(COUNTIFS($A$12:$A$5011,A2273,$B$12:$B$5011,B2273)&gt;1,"CPF + dia duplicado",IF(OR(AND(E2273&lt;&gt;"",E2273&lt;B2273),AND(F2273&lt;&gt;"",F2273&lt;B2273)),"Evento anterior à entrada",IF(AND(F2273&lt;&gt;"",E2273=""),"Conversa sem agendamento",IF(OR(E2273&gt;TODAY(),F2273&gt;TODAY()),"Verificar evento futuro","OK"))))))</f>
        <v/>
      </c>
    </row>
    <row r="2274" spans="9:12">
      <c r="I2274" s="5">
        <f>IF(OR(A2274="",B2274=""),"",B2274-WEEKDAY(B2274,2)+1)</f>
        <v/>
      </c>
      <c r="J2274" s="5">
        <f>IF(I2274="","",I2274+6)</f>
        <v/>
      </c>
      <c r="K2274" s="6">
        <f>IF(OR(A2274="",B2274=""),"",DATE(YEAR(B2274),MONTH(B2274),1))</f>
        <v/>
      </c>
      <c r="L2274" s="7">
        <f>IF(COUNTA(A2274,B2274)=0,"",IF(OR(A2274="",B2274=""),"Preencher CPF e entrada",IF(COUNTIFS($A$12:$A$5011,A2274,$B$12:$B$5011,B2274)&gt;1,"CPF + dia duplicado",IF(OR(AND(E2274&lt;&gt;"",E2274&lt;B2274),AND(F2274&lt;&gt;"",F2274&lt;B2274)),"Evento anterior à entrada",IF(AND(F2274&lt;&gt;"",E2274=""),"Conversa sem agendamento",IF(OR(E2274&gt;TODAY(),F2274&gt;TODAY()),"Verificar evento futuro","OK"))))))</f>
        <v/>
      </c>
    </row>
    <row r="2275" spans="9:12">
      <c r="I2275" s="5">
        <f>IF(OR(A2275="",B2275=""),"",B2275-WEEKDAY(B2275,2)+1)</f>
        <v/>
      </c>
      <c r="J2275" s="5">
        <f>IF(I2275="","",I2275+6)</f>
        <v/>
      </c>
      <c r="K2275" s="6">
        <f>IF(OR(A2275="",B2275=""),"",DATE(YEAR(B2275),MONTH(B2275),1))</f>
        <v/>
      </c>
      <c r="L2275" s="7">
        <f>IF(COUNTA(A2275,B2275)=0,"",IF(OR(A2275="",B2275=""),"Preencher CPF e entrada",IF(COUNTIFS($A$12:$A$5011,A2275,$B$12:$B$5011,B2275)&gt;1,"CPF + dia duplicado",IF(OR(AND(E2275&lt;&gt;"",E2275&lt;B2275),AND(F2275&lt;&gt;"",F2275&lt;B2275)),"Evento anterior à entrada",IF(AND(F2275&lt;&gt;"",E2275=""),"Conversa sem agendamento",IF(OR(E2275&gt;TODAY(),F2275&gt;TODAY()),"Verificar evento futuro","OK"))))))</f>
        <v/>
      </c>
    </row>
    <row r="2276" spans="9:12">
      <c r="I2276" s="5">
        <f>IF(OR(A2276="",B2276=""),"",B2276-WEEKDAY(B2276,2)+1)</f>
        <v/>
      </c>
      <c r="J2276" s="5">
        <f>IF(I2276="","",I2276+6)</f>
        <v/>
      </c>
      <c r="K2276" s="6">
        <f>IF(OR(A2276="",B2276=""),"",DATE(YEAR(B2276),MONTH(B2276),1))</f>
        <v/>
      </c>
      <c r="L2276" s="7">
        <f>IF(COUNTA(A2276,B2276)=0,"",IF(OR(A2276="",B2276=""),"Preencher CPF e entrada",IF(COUNTIFS($A$12:$A$5011,A2276,$B$12:$B$5011,B2276)&gt;1,"CPF + dia duplicado",IF(OR(AND(E2276&lt;&gt;"",E2276&lt;B2276),AND(F2276&lt;&gt;"",F2276&lt;B2276)),"Evento anterior à entrada",IF(AND(F2276&lt;&gt;"",E2276=""),"Conversa sem agendamento",IF(OR(E2276&gt;TODAY(),F2276&gt;TODAY()),"Verificar evento futuro","OK"))))))</f>
        <v/>
      </c>
    </row>
    <row r="2277" spans="9:12">
      <c r="I2277" s="5">
        <f>IF(OR(A2277="",B2277=""),"",B2277-WEEKDAY(B2277,2)+1)</f>
        <v/>
      </c>
      <c r="J2277" s="5">
        <f>IF(I2277="","",I2277+6)</f>
        <v/>
      </c>
      <c r="K2277" s="6">
        <f>IF(OR(A2277="",B2277=""),"",DATE(YEAR(B2277),MONTH(B2277),1))</f>
        <v/>
      </c>
      <c r="L2277" s="7">
        <f>IF(COUNTA(A2277,B2277)=0,"",IF(OR(A2277="",B2277=""),"Preencher CPF e entrada",IF(COUNTIFS($A$12:$A$5011,A2277,$B$12:$B$5011,B2277)&gt;1,"CPF + dia duplicado",IF(OR(AND(E2277&lt;&gt;"",E2277&lt;B2277),AND(F2277&lt;&gt;"",F2277&lt;B2277)),"Evento anterior à entrada",IF(AND(F2277&lt;&gt;"",E2277=""),"Conversa sem agendamento",IF(OR(E2277&gt;TODAY(),F2277&gt;TODAY()),"Verificar evento futuro","OK"))))))</f>
        <v/>
      </c>
    </row>
    <row r="2278" spans="9:12">
      <c r="I2278" s="5">
        <f>IF(OR(A2278="",B2278=""),"",B2278-WEEKDAY(B2278,2)+1)</f>
        <v/>
      </c>
      <c r="J2278" s="5">
        <f>IF(I2278="","",I2278+6)</f>
        <v/>
      </c>
      <c r="K2278" s="6">
        <f>IF(OR(A2278="",B2278=""),"",DATE(YEAR(B2278),MONTH(B2278),1))</f>
        <v/>
      </c>
      <c r="L2278" s="7">
        <f>IF(COUNTA(A2278,B2278)=0,"",IF(OR(A2278="",B2278=""),"Preencher CPF e entrada",IF(COUNTIFS($A$12:$A$5011,A2278,$B$12:$B$5011,B2278)&gt;1,"CPF + dia duplicado",IF(OR(AND(E2278&lt;&gt;"",E2278&lt;B2278),AND(F2278&lt;&gt;"",F2278&lt;B2278)),"Evento anterior à entrada",IF(AND(F2278&lt;&gt;"",E2278=""),"Conversa sem agendamento",IF(OR(E2278&gt;TODAY(),F2278&gt;TODAY()),"Verificar evento futuro","OK"))))))</f>
        <v/>
      </c>
    </row>
    <row r="2279" spans="9:12">
      <c r="I2279" s="5">
        <f>IF(OR(A2279="",B2279=""),"",B2279-WEEKDAY(B2279,2)+1)</f>
        <v/>
      </c>
      <c r="J2279" s="5">
        <f>IF(I2279="","",I2279+6)</f>
        <v/>
      </c>
      <c r="K2279" s="6">
        <f>IF(OR(A2279="",B2279=""),"",DATE(YEAR(B2279),MONTH(B2279),1))</f>
        <v/>
      </c>
      <c r="L2279" s="7">
        <f>IF(COUNTA(A2279,B2279)=0,"",IF(OR(A2279="",B2279=""),"Preencher CPF e entrada",IF(COUNTIFS($A$12:$A$5011,A2279,$B$12:$B$5011,B2279)&gt;1,"CPF + dia duplicado",IF(OR(AND(E2279&lt;&gt;"",E2279&lt;B2279),AND(F2279&lt;&gt;"",F2279&lt;B2279)),"Evento anterior à entrada",IF(AND(F2279&lt;&gt;"",E2279=""),"Conversa sem agendamento",IF(OR(E2279&gt;TODAY(),F2279&gt;TODAY()),"Verificar evento futuro","OK"))))))</f>
        <v/>
      </c>
    </row>
    <row r="2280" spans="9:12">
      <c r="I2280" s="5">
        <f>IF(OR(A2280="",B2280=""),"",B2280-WEEKDAY(B2280,2)+1)</f>
        <v/>
      </c>
      <c r="J2280" s="5">
        <f>IF(I2280="","",I2280+6)</f>
        <v/>
      </c>
      <c r="K2280" s="6">
        <f>IF(OR(A2280="",B2280=""),"",DATE(YEAR(B2280),MONTH(B2280),1))</f>
        <v/>
      </c>
      <c r="L2280" s="7">
        <f>IF(COUNTA(A2280,B2280)=0,"",IF(OR(A2280="",B2280=""),"Preencher CPF e entrada",IF(COUNTIFS($A$12:$A$5011,A2280,$B$12:$B$5011,B2280)&gt;1,"CPF + dia duplicado",IF(OR(AND(E2280&lt;&gt;"",E2280&lt;B2280),AND(F2280&lt;&gt;"",F2280&lt;B2280)),"Evento anterior à entrada",IF(AND(F2280&lt;&gt;"",E2280=""),"Conversa sem agendamento",IF(OR(E2280&gt;TODAY(),F2280&gt;TODAY()),"Verificar evento futuro","OK"))))))</f>
        <v/>
      </c>
    </row>
    <row r="2281" spans="9:12">
      <c r="I2281" s="5">
        <f>IF(OR(A2281="",B2281=""),"",B2281-WEEKDAY(B2281,2)+1)</f>
        <v/>
      </c>
      <c r="J2281" s="5">
        <f>IF(I2281="","",I2281+6)</f>
        <v/>
      </c>
      <c r="K2281" s="6">
        <f>IF(OR(A2281="",B2281=""),"",DATE(YEAR(B2281),MONTH(B2281),1))</f>
        <v/>
      </c>
      <c r="L2281" s="7">
        <f>IF(COUNTA(A2281,B2281)=0,"",IF(OR(A2281="",B2281=""),"Preencher CPF e entrada",IF(COUNTIFS($A$12:$A$5011,A2281,$B$12:$B$5011,B2281)&gt;1,"CPF + dia duplicado",IF(OR(AND(E2281&lt;&gt;"",E2281&lt;B2281),AND(F2281&lt;&gt;"",F2281&lt;B2281)),"Evento anterior à entrada",IF(AND(F2281&lt;&gt;"",E2281=""),"Conversa sem agendamento",IF(OR(E2281&gt;TODAY(),F2281&gt;TODAY()),"Verificar evento futuro","OK"))))))</f>
        <v/>
      </c>
    </row>
    <row r="2282" spans="9:12">
      <c r="I2282" s="5">
        <f>IF(OR(A2282="",B2282=""),"",B2282-WEEKDAY(B2282,2)+1)</f>
        <v/>
      </c>
      <c r="J2282" s="5">
        <f>IF(I2282="","",I2282+6)</f>
        <v/>
      </c>
      <c r="K2282" s="6">
        <f>IF(OR(A2282="",B2282=""),"",DATE(YEAR(B2282),MONTH(B2282),1))</f>
        <v/>
      </c>
      <c r="L2282" s="7">
        <f>IF(COUNTA(A2282,B2282)=0,"",IF(OR(A2282="",B2282=""),"Preencher CPF e entrada",IF(COUNTIFS($A$12:$A$5011,A2282,$B$12:$B$5011,B2282)&gt;1,"CPF + dia duplicado",IF(OR(AND(E2282&lt;&gt;"",E2282&lt;B2282),AND(F2282&lt;&gt;"",F2282&lt;B2282)),"Evento anterior à entrada",IF(AND(F2282&lt;&gt;"",E2282=""),"Conversa sem agendamento",IF(OR(E2282&gt;TODAY(),F2282&gt;TODAY()),"Verificar evento futuro","OK"))))))</f>
        <v/>
      </c>
    </row>
    <row r="2283" spans="9:12">
      <c r="I2283" s="5">
        <f>IF(OR(A2283="",B2283=""),"",B2283-WEEKDAY(B2283,2)+1)</f>
        <v/>
      </c>
      <c r="J2283" s="5">
        <f>IF(I2283="","",I2283+6)</f>
        <v/>
      </c>
      <c r="K2283" s="6">
        <f>IF(OR(A2283="",B2283=""),"",DATE(YEAR(B2283),MONTH(B2283),1))</f>
        <v/>
      </c>
      <c r="L2283" s="7">
        <f>IF(COUNTA(A2283,B2283)=0,"",IF(OR(A2283="",B2283=""),"Preencher CPF e entrada",IF(COUNTIFS($A$12:$A$5011,A2283,$B$12:$B$5011,B2283)&gt;1,"CPF + dia duplicado",IF(OR(AND(E2283&lt;&gt;"",E2283&lt;B2283),AND(F2283&lt;&gt;"",F2283&lt;B2283)),"Evento anterior à entrada",IF(AND(F2283&lt;&gt;"",E2283=""),"Conversa sem agendamento",IF(OR(E2283&gt;TODAY(),F2283&gt;TODAY()),"Verificar evento futuro","OK"))))))</f>
        <v/>
      </c>
    </row>
    <row r="2284" spans="9:12">
      <c r="I2284" s="5">
        <f>IF(OR(A2284="",B2284=""),"",B2284-WEEKDAY(B2284,2)+1)</f>
        <v/>
      </c>
      <c r="J2284" s="5">
        <f>IF(I2284="","",I2284+6)</f>
        <v/>
      </c>
      <c r="K2284" s="6">
        <f>IF(OR(A2284="",B2284=""),"",DATE(YEAR(B2284),MONTH(B2284),1))</f>
        <v/>
      </c>
      <c r="L2284" s="7">
        <f>IF(COUNTA(A2284,B2284)=0,"",IF(OR(A2284="",B2284=""),"Preencher CPF e entrada",IF(COUNTIFS($A$12:$A$5011,A2284,$B$12:$B$5011,B2284)&gt;1,"CPF + dia duplicado",IF(OR(AND(E2284&lt;&gt;"",E2284&lt;B2284),AND(F2284&lt;&gt;"",F2284&lt;B2284)),"Evento anterior à entrada",IF(AND(F2284&lt;&gt;"",E2284=""),"Conversa sem agendamento",IF(OR(E2284&gt;TODAY(),F2284&gt;TODAY()),"Verificar evento futuro","OK"))))))</f>
        <v/>
      </c>
    </row>
    <row r="2285" spans="9:12">
      <c r="I2285" s="5">
        <f>IF(OR(A2285="",B2285=""),"",B2285-WEEKDAY(B2285,2)+1)</f>
        <v/>
      </c>
      <c r="J2285" s="5">
        <f>IF(I2285="","",I2285+6)</f>
        <v/>
      </c>
      <c r="K2285" s="6">
        <f>IF(OR(A2285="",B2285=""),"",DATE(YEAR(B2285),MONTH(B2285),1))</f>
        <v/>
      </c>
      <c r="L2285" s="7">
        <f>IF(COUNTA(A2285,B2285)=0,"",IF(OR(A2285="",B2285=""),"Preencher CPF e entrada",IF(COUNTIFS($A$12:$A$5011,A2285,$B$12:$B$5011,B2285)&gt;1,"CPF + dia duplicado",IF(OR(AND(E2285&lt;&gt;"",E2285&lt;B2285),AND(F2285&lt;&gt;"",F2285&lt;B2285)),"Evento anterior à entrada",IF(AND(F2285&lt;&gt;"",E2285=""),"Conversa sem agendamento",IF(OR(E2285&gt;TODAY(),F2285&gt;TODAY()),"Verificar evento futuro","OK"))))))</f>
        <v/>
      </c>
    </row>
    <row r="2286" spans="9:12">
      <c r="I2286" s="5">
        <f>IF(OR(A2286="",B2286=""),"",B2286-WEEKDAY(B2286,2)+1)</f>
        <v/>
      </c>
      <c r="J2286" s="5">
        <f>IF(I2286="","",I2286+6)</f>
        <v/>
      </c>
      <c r="K2286" s="6">
        <f>IF(OR(A2286="",B2286=""),"",DATE(YEAR(B2286),MONTH(B2286),1))</f>
        <v/>
      </c>
      <c r="L2286" s="7">
        <f>IF(COUNTA(A2286,B2286)=0,"",IF(OR(A2286="",B2286=""),"Preencher CPF e entrada",IF(COUNTIFS($A$12:$A$5011,A2286,$B$12:$B$5011,B2286)&gt;1,"CPF + dia duplicado",IF(OR(AND(E2286&lt;&gt;"",E2286&lt;B2286),AND(F2286&lt;&gt;"",F2286&lt;B2286)),"Evento anterior à entrada",IF(AND(F2286&lt;&gt;"",E2286=""),"Conversa sem agendamento",IF(OR(E2286&gt;TODAY(),F2286&gt;TODAY()),"Verificar evento futuro","OK"))))))</f>
        <v/>
      </c>
    </row>
    <row r="2287" spans="9:12">
      <c r="I2287" s="5">
        <f>IF(OR(A2287="",B2287=""),"",B2287-WEEKDAY(B2287,2)+1)</f>
        <v/>
      </c>
      <c r="J2287" s="5">
        <f>IF(I2287="","",I2287+6)</f>
        <v/>
      </c>
      <c r="K2287" s="6">
        <f>IF(OR(A2287="",B2287=""),"",DATE(YEAR(B2287),MONTH(B2287),1))</f>
        <v/>
      </c>
      <c r="L2287" s="7">
        <f>IF(COUNTA(A2287,B2287)=0,"",IF(OR(A2287="",B2287=""),"Preencher CPF e entrada",IF(COUNTIFS($A$12:$A$5011,A2287,$B$12:$B$5011,B2287)&gt;1,"CPF + dia duplicado",IF(OR(AND(E2287&lt;&gt;"",E2287&lt;B2287),AND(F2287&lt;&gt;"",F2287&lt;B2287)),"Evento anterior à entrada",IF(AND(F2287&lt;&gt;"",E2287=""),"Conversa sem agendamento",IF(OR(E2287&gt;TODAY(),F2287&gt;TODAY()),"Verificar evento futuro","OK"))))))</f>
        <v/>
      </c>
    </row>
    <row r="2288" spans="9:12">
      <c r="I2288" s="5">
        <f>IF(OR(A2288="",B2288=""),"",B2288-WEEKDAY(B2288,2)+1)</f>
        <v/>
      </c>
      <c r="J2288" s="5">
        <f>IF(I2288="","",I2288+6)</f>
        <v/>
      </c>
      <c r="K2288" s="6">
        <f>IF(OR(A2288="",B2288=""),"",DATE(YEAR(B2288),MONTH(B2288),1))</f>
        <v/>
      </c>
      <c r="L2288" s="7">
        <f>IF(COUNTA(A2288,B2288)=0,"",IF(OR(A2288="",B2288=""),"Preencher CPF e entrada",IF(COUNTIFS($A$12:$A$5011,A2288,$B$12:$B$5011,B2288)&gt;1,"CPF + dia duplicado",IF(OR(AND(E2288&lt;&gt;"",E2288&lt;B2288),AND(F2288&lt;&gt;"",F2288&lt;B2288)),"Evento anterior à entrada",IF(AND(F2288&lt;&gt;"",E2288=""),"Conversa sem agendamento",IF(OR(E2288&gt;TODAY(),F2288&gt;TODAY()),"Verificar evento futuro","OK"))))))</f>
        <v/>
      </c>
    </row>
    <row r="2289" spans="9:12">
      <c r="I2289" s="5">
        <f>IF(OR(A2289="",B2289=""),"",B2289-WEEKDAY(B2289,2)+1)</f>
        <v/>
      </c>
      <c r="J2289" s="5">
        <f>IF(I2289="","",I2289+6)</f>
        <v/>
      </c>
      <c r="K2289" s="6">
        <f>IF(OR(A2289="",B2289=""),"",DATE(YEAR(B2289),MONTH(B2289),1))</f>
        <v/>
      </c>
      <c r="L2289" s="7">
        <f>IF(COUNTA(A2289,B2289)=0,"",IF(OR(A2289="",B2289=""),"Preencher CPF e entrada",IF(COUNTIFS($A$12:$A$5011,A2289,$B$12:$B$5011,B2289)&gt;1,"CPF + dia duplicado",IF(OR(AND(E2289&lt;&gt;"",E2289&lt;B2289),AND(F2289&lt;&gt;"",F2289&lt;B2289)),"Evento anterior à entrada",IF(AND(F2289&lt;&gt;"",E2289=""),"Conversa sem agendamento",IF(OR(E2289&gt;TODAY(),F2289&gt;TODAY()),"Verificar evento futuro","OK"))))))</f>
        <v/>
      </c>
    </row>
    <row r="2290" spans="9:12">
      <c r="I2290" s="5">
        <f>IF(OR(A2290="",B2290=""),"",B2290-WEEKDAY(B2290,2)+1)</f>
        <v/>
      </c>
      <c r="J2290" s="5">
        <f>IF(I2290="","",I2290+6)</f>
        <v/>
      </c>
      <c r="K2290" s="6">
        <f>IF(OR(A2290="",B2290=""),"",DATE(YEAR(B2290),MONTH(B2290),1))</f>
        <v/>
      </c>
      <c r="L2290" s="7">
        <f>IF(COUNTA(A2290,B2290)=0,"",IF(OR(A2290="",B2290=""),"Preencher CPF e entrada",IF(COUNTIFS($A$12:$A$5011,A2290,$B$12:$B$5011,B2290)&gt;1,"CPF + dia duplicado",IF(OR(AND(E2290&lt;&gt;"",E2290&lt;B2290),AND(F2290&lt;&gt;"",F2290&lt;B2290)),"Evento anterior à entrada",IF(AND(F2290&lt;&gt;"",E2290=""),"Conversa sem agendamento",IF(OR(E2290&gt;TODAY(),F2290&gt;TODAY()),"Verificar evento futuro","OK"))))))</f>
        <v/>
      </c>
    </row>
    <row r="2291" spans="9:12">
      <c r="I2291" s="5">
        <f>IF(OR(A2291="",B2291=""),"",B2291-WEEKDAY(B2291,2)+1)</f>
        <v/>
      </c>
      <c r="J2291" s="5">
        <f>IF(I2291="","",I2291+6)</f>
        <v/>
      </c>
      <c r="K2291" s="6">
        <f>IF(OR(A2291="",B2291=""),"",DATE(YEAR(B2291),MONTH(B2291),1))</f>
        <v/>
      </c>
      <c r="L2291" s="7">
        <f>IF(COUNTA(A2291,B2291)=0,"",IF(OR(A2291="",B2291=""),"Preencher CPF e entrada",IF(COUNTIFS($A$12:$A$5011,A2291,$B$12:$B$5011,B2291)&gt;1,"CPF + dia duplicado",IF(OR(AND(E2291&lt;&gt;"",E2291&lt;B2291),AND(F2291&lt;&gt;"",F2291&lt;B2291)),"Evento anterior à entrada",IF(AND(F2291&lt;&gt;"",E2291=""),"Conversa sem agendamento",IF(OR(E2291&gt;TODAY(),F2291&gt;TODAY()),"Verificar evento futuro","OK"))))))</f>
        <v/>
      </c>
    </row>
    <row r="2292" spans="9:12">
      <c r="I2292" s="5">
        <f>IF(OR(A2292="",B2292=""),"",B2292-WEEKDAY(B2292,2)+1)</f>
        <v/>
      </c>
      <c r="J2292" s="5">
        <f>IF(I2292="","",I2292+6)</f>
        <v/>
      </c>
      <c r="K2292" s="6">
        <f>IF(OR(A2292="",B2292=""),"",DATE(YEAR(B2292),MONTH(B2292),1))</f>
        <v/>
      </c>
      <c r="L2292" s="7">
        <f>IF(COUNTA(A2292,B2292)=0,"",IF(OR(A2292="",B2292=""),"Preencher CPF e entrada",IF(COUNTIFS($A$12:$A$5011,A2292,$B$12:$B$5011,B2292)&gt;1,"CPF + dia duplicado",IF(OR(AND(E2292&lt;&gt;"",E2292&lt;B2292),AND(F2292&lt;&gt;"",F2292&lt;B2292)),"Evento anterior à entrada",IF(AND(F2292&lt;&gt;"",E2292=""),"Conversa sem agendamento",IF(OR(E2292&gt;TODAY(),F2292&gt;TODAY()),"Verificar evento futuro","OK"))))))</f>
        <v/>
      </c>
    </row>
    <row r="2293" spans="9:12">
      <c r="I2293" s="5">
        <f>IF(OR(A2293="",B2293=""),"",B2293-WEEKDAY(B2293,2)+1)</f>
        <v/>
      </c>
      <c r="J2293" s="5">
        <f>IF(I2293="","",I2293+6)</f>
        <v/>
      </c>
      <c r="K2293" s="6">
        <f>IF(OR(A2293="",B2293=""),"",DATE(YEAR(B2293),MONTH(B2293),1))</f>
        <v/>
      </c>
      <c r="L2293" s="7">
        <f>IF(COUNTA(A2293,B2293)=0,"",IF(OR(A2293="",B2293=""),"Preencher CPF e entrada",IF(COUNTIFS($A$12:$A$5011,A2293,$B$12:$B$5011,B2293)&gt;1,"CPF + dia duplicado",IF(OR(AND(E2293&lt;&gt;"",E2293&lt;B2293),AND(F2293&lt;&gt;"",F2293&lt;B2293)),"Evento anterior à entrada",IF(AND(F2293&lt;&gt;"",E2293=""),"Conversa sem agendamento",IF(OR(E2293&gt;TODAY(),F2293&gt;TODAY()),"Verificar evento futuro","OK"))))))</f>
        <v/>
      </c>
    </row>
    <row r="2294" spans="9:12">
      <c r="I2294" s="5">
        <f>IF(OR(A2294="",B2294=""),"",B2294-WEEKDAY(B2294,2)+1)</f>
        <v/>
      </c>
      <c r="J2294" s="5">
        <f>IF(I2294="","",I2294+6)</f>
        <v/>
      </c>
      <c r="K2294" s="6">
        <f>IF(OR(A2294="",B2294=""),"",DATE(YEAR(B2294),MONTH(B2294),1))</f>
        <v/>
      </c>
      <c r="L2294" s="7">
        <f>IF(COUNTA(A2294,B2294)=0,"",IF(OR(A2294="",B2294=""),"Preencher CPF e entrada",IF(COUNTIFS($A$12:$A$5011,A2294,$B$12:$B$5011,B2294)&gt;1,"CPF + dia duplicado",IF(OR(AND(E2294&lt;&gt;"",E2294&lt;B2294),AND(F2294&lt;&gt;"",F2294&lt;B2294)),"Evento anterior à entrada",IF(AND(F2294&lt;&gt;"",E2294=""),"Conversa sem agendamento",IF(OR(E2294&gt;TODAY(),F2294&gt;TODAY()),"Verificar evento futuro","OK"))))))</f>
        <v/>
      </c>
    </row>
    <row r="2295" spans="9:12">
      <c r="I2295" s="5">
        <f>IF(OR(A2295="",B2295=""),"",B2295-WEEKDAY(B2295,2)+1)</f>
        <v/>
      </c>
      <c r="J2295" s="5">
        <f>IF(I2295="","",I2295+6)</f>
        <v/>
      </c>
      <c r="K2295" s="6">
        <f>IF(OR(A2295="",B2295=""),"",DATE(YEAR(B2295),MONTH(B2295),1))</f>
        <v/>
      </c>
      <c r="L2295" s="7">
        <f>IF(COUNTA(A2295,B2295)=0,"",IF(OR(A2295="",B2295=""),"Preencher CPF e entrada",IF(COUNTIFS($A$12:$A$5011,A2295,$B$12:$B$5011,B2295)&gt;1,"CPF + dia duplicado",IF(OR(AND(E2295&lt;&gt;"",E2295&lt;B2295),AND(F2295&lt;&gt;"",F2295&lt;B2295)),"Evento anterior à entrada",IF(AND(F2295&lt;&gt;"",E2295=""),"Conversa sem agendamento",IF(OR(E2295&gt;TODAY(),F2295&gt;TODAY()),"Verificar evento futuro","OK"))))))</f>
        <v/>
      </c>
    </row>
    <row r="2296" spans="9:12">
      <c r="I2296" s="5">
        <f>IF(OR(A2296="",B2296=""),"",B2296-WEEKDAY(B2296,2)+1)</f>
        <v/>
      </c>
      <c r="J2296" s="5">
        <f>IF(I2296="","",I2296+6)</f>
        <v/>
      </c>
      <c r="K2296" s="6">
        <f>IF(OR(A2296="",B2296=""),"",DATE(YEAR(B2296),MONTH(B2296),1))</f>
        <v/>
      </c>
      <c r="L2296" s="7">
        <f>IF(COUNTA(A2296,B2296)=0,"",IF(OR(A2296="",B2296=""),"Preencher CPF e entrada",IF(COUNTIFS($A$12:$A$5011,A2296,$B$12:$B$5011,B2296)&gt;1,"CPF + dia duplicado",IF(OR(AND(E2296&lt;&gt;"",E2296&lt;B2296),AND(F2296&lt;&gt;"",F2296&lt;B2296)),"Evento anterior à entrada",IF(AND(F2296&lt;&gt;"",E2296=""),"Conversa sem agendamento",IF(OR(E2296&gt;TODAY(),F2296&gt;TODAY()),"Verificar evento futuro","OK"))))))</f>
        <v/>
      </c>
    </row>
    <row r="2297" spans="9:12">
      <c r="I2297" s="5">
        <f>IF(OR(A2297="",B2297=""),"",B2297-WEEKDAY(B2297,2)+1)</f>
        <v/>
      </c>
      <c r="J2297" s="5">
        <f>IF(I2297="","",I2297+6)</f>
        <v/>
      </c>
      <c r="K2297" s="6">
        <f>IF(OR(A2297="",B2297=""),"",DATE(YEAR(B2297),MONTH(B2297),1))</f>
        <v/>
      </c>
      <c r="L2297" s="7">
        <f>IF(COUNTA(A2297,B2297)=0,"",IF(OR(A2297="",B2297=""),"Preencher CPF e entrada",IF(COUNTIFS($A$12:$A$5011,A2297,$B$12:$B$5011,B2297)&gt;1,"CPF + dia duplicado",IF(OR(AND(E2297&lt;&gt;"",E2297&lt;B2297),AND(F2297&lt;&gt;"",F2297&lt;B2297)),"Evento anterior à entrada",IF(AND(F2297&lt;&gt;"",E2297=""),"Conversa sem agendamento",IF(OR(E2297&gt;TODAY(),F2297&gt;TODAY()),"Verificar evento futuro","OK"))))))</f>
        <v/>
      </c>
    </row>
    <row r="2298" spans="9:12">
      <c r="I2298" s="5">
        <f>IF(OR(A2298="",B2298=""),"",B2298-WEEKDAY(B2298,2)+1)</f>
        <v/>
      </c>
      <c r="J2298" s="5">
        <f>IF(I2298="","",I2298+6)</f>
        <v/>
      </c>
      <c r="K2298" s="6">
        <f>IF(OR(A2298="",B2298=""),"",DATE(YEAR(B2298),MONTH(B2298),1))</f>
        <v/>
      </c>
      <c r="L2298" s="7">
        <f>IF(COUNTA(A2298,B2298)=0,"",IF(OR(A2298="",B2298=""),"Preencher CPF e entrada",IF(COUNTIFS($A$12:$A$5011,A2298,$B$12:$B$5011,B2298)&gt;1,"CPF + dia duplicado",IF(OR(AND(E2298&lt;&gt;"",E2298&lt;B2298),AND(F2298&lt;&gt;"",F2298&lt;B2298)),"Evento anterior à entrada",IF(AND(F2298&lt;&gt;"",E2298=""),"Conversa sem agendamento",IF(OR(E2298&gt;TODAY(),F2298&gt;TODAY()),"Verificar evento futuro","OK"))))))</f>
        <v/>
      </c>
    </row>
    <row r="2299" spans="9:12">
      <c r="I2299" s="5">
        <f>IF(OR(A2299="",B2299=""),"",B2299-WEEKDAY(B2299,2)+1)</f>
        <v/>
      </c>
      <c r="J2299" s="5">
        <f>IF(I2299="","",I2299+6)</f>
        <v/>
      </c>
      <c r="K2299" s="6">
        <f>IF(OR(A2299="",B2299=""),"",DATE(YEAR(B2299),MONTH(B2299),1))</f>
        <v/>
      </c>
      <c r="L2299" s="7">
        <f>IF(COUNTA(A2299,B2299)=0,"",IF(OR(A2299="",B2299=""),"Preencher CPF e entrada",IF(COUNTIFS($A$12:$A$5011,A2299,$B$12:$B$5011,B2299)&gt;1,"CPF + dia duplicado",IF(OR(AND(E2299&lt;&gt;"",E2299&lt;B2299),AND(F2299&lt;&gt;"",F2299&lt;B2299)),"Evento anterior à entrada",IF(AND(F2299&lt;&gt;"",E2299=""),"Conversa sem agendamento",IF(OR(E2299&gt;TODAY(),F2299&gt;TODAY()),"Verificar evento futuro","OK"))))))</f>
        <v/>
      </c>
    </row>
    <row r="2300" spans="9:12">
      <c r="I2300" s="5">
        <f>IF(OR(A2300="",B2300=""),"",B2300-WEEKDAY(B2300,2)+1)</f>
        <v/>
      </c>
      <c r="J2300" s="5">
        <f>IF(I2300="","",I2300+6)</f>
        <v/>
      </c>
      <c r="K2300" s="6">
        <f>IF(OR(A2300="",B2300=""),"",DATE(YEAR(B2300),MONTH(B2300),1))</f>
        <v/>
      </c>
      <c r="L2300" s="7">
        <f>IF(COUNTA(A2300,B2300)=0,"",IF(OR(A2300="",B2300=""),"Preencher CPF e entrada",IF(COUNTIFS($A$12:$A$5011,A2300,$B$12:$B$5011,B2300)&gt;1,"CPF + dia duplicado",IF(OR(AND(E2300&lt;&gt;"",E2300&lt;B2300),AND(F2300&lt;&gt;"",F2300&lt;B2300)),"Evento anterior à entrada",IF(AND(F2300&lt;&gt;"",E2300=""),"Conversa sem agendamento",IF(OR(E2300&gt;TODAY(),F2300&gt;TODAY()),"Verificar evento futuro","OK"))))))</f>
        <v/>
      </c>
    </row>
    <row r="2301" spans="9:12">
      <c r="I2301" s="5">
        <f>IF(OR(A2301="",B2301=""),"",B2301-WEEKDAY(B2301,2)+1)</f>
        <v/>
      </c>
      <c r="J2301" s="5">
        <f>IF(I2301="","",I2301+6)</f>
        <v/>
      </c>
      <c r="K2301" s="6">
        <f>IF(OR(A2301="",B2301=""),"",DATE(YEAR(B2301),MONTH(B2301),1))</f>
        <v/>
      </c>
      <c r="L2301" s="7">
        <f>IF(COUNTA(A2301,B2301)=0,"",IF(OR(A2301="",B2301=""),"Preencher CPF e entrada",IF(COUNTIFS($A$12:$A$5011,A2301,$B$12:$B$5011,B2301)&gt;1,"CPF + dia duplicado",IF(OR(AND(E2301&lt;&gt;"",E2301&lt;B2301),AND(F2301&lt;&gt;"",F2301&lt;B2301)),"Evento anterior à entrada",IF(AND(F2301&lt;&gt;"",E2301=""),"Conversa sem agendamento",IF(OR(E2301&gt;TODAY(),F2301&gt;TODAY()),"Verificar evento futuro","OK"))))))</f>
        <v/>
      </c>
    </row>
    <row r="2302" spans="9:12">
      <c r="I2302" s="5">
        <f>IF(OR(A2302="",B2302=""),"",B2302-WEEKDAY(B2302,2)+1)</f>
        <v/>
      </c>
      <c r="J2302" s="5">
        <f>IF(I2302="","",I2302+6)</f>
        <v/>
      </c>
      <c r="K2302" s="6">
        <f>IF(OR(A2302="",B2302=""),"",DATE(YEAR(B2302),MONTH(B2302),1))</f>
        <v/>
      </c>
      <c r="L2302" s="7">
        <f>IF(COUNTA(A2302,B2302)=0,"",IF(OR(A2302="",B2302=""),"Preencher CPF e entrada",IF(COUNTIFS($A$12:$A$5011,A2302,$B$12:$B$5011,B2302)&gt;1,"CPF + dia duplicado",IF(OR(AND(E2302&lt;&gt;"",E2302&lt;B2302),AND(F2302&lt;&gt;"",F2302&lt;B2302)),"Evento anterior à entrada",IF(AND(F2302&lt;&gt;"",E2302=""),"Conversa sem agendamento",IF(OR(E2302&gt;TODAY(),F2302&gt;TODAY()),"Verificar evento futuro","OK"))))))</f>
        <v/>
      </c>
    </row>
    <row r="2303" spans="9:12">
      <c r="I2303" s="5">
        <f>IF(OR(A2303="",B2303=""),"",B2303-WEEKDAY(B2303,2)+1)</f>
        <v/>
      </c>
      <c r="J2303" s="5">
        <f>IF(I2303="","",I2303+6)</f>
        <v/>
      </c>
      <c r="K2303" s="6">
        <f>IF(OR(A2303="",B2303=""),"",DATE(YEAR(B2303),MONTH(B2303),1))</f>
        <v/>
      </c>
      <c r="L2303" s="7">
        <f>IF(COUNTA(A2303,B2303)=0,"",IF(OR(A2303="",B2303=""),"Preencher CPF e entrada",IF(COUNTIFS($A$12:$A$5011,A2303,$B$12:$B$5011,B2303)&gt;1,"CPF + dia duplicado",IF(OR(AND(E2303&lt;&gt;"",E2303&lt;B2303),AND(F2303&lt;&gt;"",F2303&lt;B2303)),"Evento anterior à entrada",IF(AND(F2303&lt;&gt;"",E2303=""),"Conversa sem agendamento",IF(OR(E2303&gt;TODAY(),F2303&gt;TODAY()),"Verificar evento futuro","OK"))))))</f>
        <v/>
      </c>
    </row>
    <row r="2304" spans="9:12">
      <c r="I2304" s="5">
        <f>IF(OR(A2304="",B2304=""),"",B2304-WEEKDAY(B2304,2)+1)</f>
        <v/>
      </c>
      <c r="J2304" s="5">
        <f>IF(I2304="","",I2304+6)</f>
        <v/>
      </c>
      <c r="K2304" s="6">
        <f>IF(OR(A2304="",B2304=""),"",DATE(YEAR(B2304),MONTH(B2304),1))</f>
        <v/>
      </c>
      <c r="L2304" s="7">
        <f>IF(COUNTA(A2304,B2304)=0,"",IF(OR(A2304="",B2304=""),"Preencher CPF e entrada",IF(COUNTIFS($A$12:$A$5011,A2304,$B$12:$B$5011,B2304)&gt;1,"CPF + dia duplicado",IF(OR(AND(E2304&lt;&gt;"",E2304&lt;B2304),AND(F2304&lt;&gt;"",F2304&lt;B2304)),"Evento anterior à entrada",IF(AND(F2304&lt;&gt;"",E2304=""),"Conversa sem agendamento",IF(OR(E2304&gt;TODAY(),F2304&gt;TODAY()),"Verificar evento futuro","OK"))))))</f>
        <v/>
      </c>
    </row>
    <row r="2305" spans="9:12">
      <c r="I2305" s="5">
        <f>IF(OR(A2305="",B2305=""),"",B2305-WEEKDAY(B2305,2)+1)</f>
        <v/>
      </c>
      <c r="J2305" s="5">
        <f>IF(I2305="","",I2305+6)</f>
        <v/>
      </c>
      <c r="K2305" s="6">
        <f>IF(OR(A2305="",B2305=""),"",DATE(YEAR(B2305),MONTH(B2305),1))</f>
        <v/>
      </c>
      <c r="L2305" s="7">
        <f>IF(COUNTA(A2305,B2305)=0,"",IF(OR(A2305="",B2305=""),"Preencher CPF e entrada",IF(COUNTIFS($A$12:$A$5011,A2305,$B$12:$B$5011,B2305)&gt;1,"CPF + dia duplicado",IF(OR(AND(E2305&lt;&gt;"",E2305&lt;B2305),AND(F2305&lt;&gt;"",F2305&lt;B2305)),"Evento anterior à entrada",IF(AND(F2305&lt;&gt;"",E2305=""),"Conversa sem agendamento",IF(OR(E2305&gt;TODAY(),F2305&gt;TODAY()),"Verificar evento futuro","OK"))))))</f>
        <v/>
      </c>
    </row>
    <row r="2306" spans="9:12">
      <c r="I2306" s="5">
        <f>IF(OR(A2306="",B2306=""),"",B2306-WEEKDAY(B2306,2)+1)</f>
        <v/>
      </c>
      <c r="J2306" s="5">
        <f>IF(I2306="","",I2306+6)</f>
        <v/>
      </c>
      <c r="K2306" s="6">
        <f>IF(OR(A2306="",B2306=""),"",DATE(YEAR(B2306),MONTH(B2306),1))</f>
        <v/>
      </c>
      <c r="L2306" s="7">
        <f>IF(COUNTA(A2306,B2306)=0,"",IF(OR(A2306="",B2306=""),"Preencher CPF e entrada",IF(COUNTIFS($A$12:$A$5011,A2306,$B$12:$B$5011,B2306)&gt;1,"CPF + dia duplicado",IF(OR(AND(E2306&lt;&gt;"",E2306&lt;B2306),AND(F2306&lt;&gt;"",F2306&lt;B2306)),"Evento anterior à entrada",IF(AND(F2306&lt;&gt;"",E2306=""),"Conversa sem agendamento",IF(OR(E2306&gt;TODAY(),F2306&gt;TODAY()),"Verificar evento futuro","OK"))))))</f>
        <v/>
      </c>
    </row>
    <row r="2307" spans="9:12">
      <c r="I2307" s="5">
        <f>IF(OR(A2307="",B2307=""),"",B2307-WEEKDAY(B2307,2)+1)</f>
        <v/>
      </c>
      <c r="J2307" s="5">
        <f>IF(I2307="","",I2307+6)</f>
        <v/>
      </c>
      <c r="K2307" s="6">
        <f>IF(OR(A2307="",B2307=""),"",DATE(YEAR(B2307),MONTH(B2307),1))</f>
        <v/>
      </c>
      <c r="L2307" s="7">
        <f>IF(COUNTA(A2307,B2307)=0,"",IF(OR(A2307="",B2307=""),"Preencher CPF e entrada",IF(COUNTIFS($A$12:$A$5011,A2307,$B$12:$B$5011,B2307)&gt;1,"CPF + dia duplicado",IF(OR(AND(E2307&lt;&gt;"",E2307&lt;B2307),AND(F2307&lt;&gt;"",F2307&lt;B2307)),"Evento anterior à entrada",IF(AND(F2307&lt;&gt;"",E2307=""),"Conversa sem agendamento",IF(OR(E2307&gt;TODAY(),F2307&gt;TODAY()),"Verificar evento futuro","OK"))))))</f>
        <v/>
      </c>
    </row>
    <row r="2308" spans="9:12">
      <c r="I2308" s="5">
        <f>IF(OR(A2308="",B2308=""),"",B2308-WEEKDAY(B2308,2)+1)</f>
        <v/>
      </c>
      <c r="J2308" s="5">
        <f>IF(I2308="","",I2308+6)</f>
        <v/>
      </c>
      <c r="K2308" s="6">
        <f>IF(OR(A2308="",B2308=""),"",DATE(YEAR(B2308),MONTH(B2308),1))</f>
        <v/>
      </c>
      <c r="L2308" s="7">
        <f>IF(COUNTA(A2308,B2308)=0,"",IF(OR(A2308="",B2308=""),"Preencher CPF e entrada",IF(COUNTIFS($A$12:$A$5011,A2308,$B$12:$B$5011,B2308)&gt;1,"CPF + dia duplicado",IF(OR(AND(E2308&lt;&gt;"",E2308&lt;B2308),AND(F2308&lt;&gt;"",F2308&lt;B2308)),"Evento anterior à entrada",IF(AND(F2308&lt;&gt;"",E2308=""),"Conversa sem agendamento",IF(OR(E2308&gt;TODAY(),F2308&gt;TODAY()),"Verificar evento futuro","OK"))))))</f>
        <v/>
      </c>
    </row>
    <row r="2309" spans="9:12">
      <c r="I2309" s="5">
        <f>IF(OR(A2309="",B2309=""),"",B2309-WEEKDAY(B2309,2)+1)</f>
        <v/>
      </c>
      <c r="J2309" s="5">
        <f>IF(I2309="","",I2309+6)</f>
        <v/>
      </c>
      <c r="K2309" s="6">
        <f>IF(OR(A2309="",B2309=""),"",DATE(YEAR(B2309),MONTH(B2309),1))</f>
        <v/>
      </c>
      <c r="L2309" s="7">
        <f>IF(COUNTA(A2309,B2309)=0,"",IF(OR(A2309="",B2309=""),"Preencher CPF e entrada",IF(COUNTIFS($A$12:$A$5011,A2309,$B$12:$B$5011,B2309)&gt;1,"CPF + dia duplicado",IF(OR(AND(E2309&lt;&gt;"",E2309&lt;B2309),AND(F2309&lt;&gt;"",F2309&lt;B2309)),"Evento anterior à entrada",IF(AND(F2309&lt;&gt;"",E2309=""),"Conversa sem agendamento",IF(OR(E2309&gt;TODAY(),F2309&gt;TODAY()),"Verificar evento futuro","OK"))))))</f>
        <v/>
      </c>
    </row>
    <row r="2310" spans="9:12">
      <c r="I2310" s="5">
        <f>IF(OR(A2310="",B2310=""),"",B2310-WEEKDAY(B2310,2)+1)</f>
        <v/>
      </c>
      <c r="J2310" s="5">
        <f>IF(I2310="","",I2310+6)</f>
        <v/>
      </c>
      <c r="K2310" s="6">
        <f>IF(OR(A2310="",B2310=""),"",DATE(YEAR(B2310),MONTH(B2310),1))</f>
        <v/>
      </c>
      <c r="L2310" s="7">
        <f>IF(COUNTA(A2310,B2310)=0,"",IF(OR(A2310="",B2310=""),"Preencher CPF e entrada",IF(COUNTIFS($A$12:$A$5011,A2310,$B$12:$B$5011,B2310)&gt;1,"CPF + dia duplicado",IF(OR(AND(E2310&lt;&gt;"",E2310&lt;B2310),AND(F2310&lt;&gt;"",F2310&lt;B2310)),"Evento anterior à entrada",IF(AND(F2310&lt;&gt;"",E2310=""),"Conversa sem agendamento",IF(OR(E2310&gt;TODAY(),F2310&gt;TODAY()),"Verificar evento futuro","OK"))))))</f>
        <v/>
      </c>
    </row>
    <row r="2311" spans="9:12">
      <c r="I2311" s="5">
        <f>IF(OR(A2311="",B2311=""),"",B2311-WEEKDAY(B2311,2)+1)</f>
        <v/>
      </c>
      <c r="J2311" s="5">
        <f>IF(I2311="","",I2311+6)</f>
        <v/>
      </c>
      <c r="K2311" s="6">
        <f>IF(OR(A2311="",B2311=""),"",DATE(YEAR(B2311),MONTH(B2311),1))</f>
        <v/>
      </c>
      <c r="L2311" s="7">
        <f>IF(COUNTA(A2311,B2311)=0,"",IF(OR(A2311="",B2311=""),"Preencher CPF e entrada",IF(COUNTIFS($A$12:$A$5011,A2311,$B$12:$B$5011,B2311)&gt;1,"CPF + dia duplicado",IF(OR(AND(E2311&lt;&gt;"",E2311&lt;B2311),AND(F2311&lt;&gt;"",F2311&lt;B2311)),"Evento anterior à entrada",IF(AND(F2311&lt;&gt;"",E2311=""),"Conversa sem agendamento",IF(OR(E2311&gt;TODAY(),F2311&gt;TODAY()),"Verificar evento futuro","OK"))))))</f>
        <v/>
      </c>
    </row>
    <row r="2312" spans="9:12">
      <c r="I2312" s="5">
        <f>IF(OR(A2312="",B2312=""),"",B2312-WEEKDAY(B2312,2)+1)</f>
        <v/>
      </c>
      <c r="J2312" s="5">
        <f>IF(I2312="","",I2312+6)</f>
        <v/>
      </c>
      <c r="K2312" s="6">
        <f>IF(OR(A2312="",B2312=""),"",DATE(YEAR(B2312),MONTH(B2312),1))</f>
        <v/>
      </c>
      <c r="L2312" s="7">
        <f>IF(COUNTA(A2312,B2312)=0,"",IF(OR(A2312="",B2312=""),"Preencher CPF e entrada",IF(COUNTIFS($A$12:$A$5011,A2312,$B$12:$B$5011,B2312)&gt;1,"CPF + dia duplicado",IF(OR(AND(E2312&lt;&gt;"",E2312&lt;B2312),AND(F2312&lt;&gt;"",F2312&lt;B2312)),"Evento anterior à entrada",IF(AND(F2312&lt;&gt;"",E2312=""),"Conversa sem agendamento",IF(OR(E2312&gt;TODAY(),F2312&gt;TODAY()),"Verificar evento futuro","OK"))))))</f>
        <v/>
      </c>
    </row>
    <row r="2313" spans="9:12">
      <c r="I2313" s="5">
        <f>IF(OR(A2313="",B2313=""),"",B2313-WEEKDAY(B2313,2)+1)</f>
        <v/>
      </c>
      <c r="J2313" s="5">
        <f>IF(I2313="","",I2313+6)</f>
        <v/>
      </c>
      <c r="K2313" s="6">
        <f>IF(OR(A2313="",B2313=""),"",DATE(YEAR(B2313),MONTH(B2313),1))</f>
        <v/>
      </c>
      <c r="L2313" s="7">
        <f>IF(COUNTA(A2313,B2313)=0,"",IF(OR(A2313="",B2313=""),"Preencher CPF e entrada",IF(COUNTIFS($A$12:$A$5011,A2313,$B$12:$B$5011,B2313)&gt;1,"CPF + dia duplicado",IF(OR(AND(E2313&lt;&gt;"",E2313&lt;B2313),AND(F2313&lt;&gt;"",F2313&lt;B2313)),"Evento anterior à entrada",IF(AND(F2313&lt;&gt;"",E2313=""),"Conversa sem agendamento",IF(OR(E2313&gt;TODAY(),F2313&gt;TODAY()),"Verificar evento futuro","OK"))))))</f>
        <v/>
      </c>
    </row>
    <row r="2314" spans="9:12">
      <c r="I2314" s="5">
        <f>IF(OR(A2314="",B2314=""),"",B2314-WEEKDAY(B2314,2)+1)</f>
        <v/>
      </c>
      <c r="J2314" s="5">
        <f>IF(I2314="","",I2314+6)</f>
        <v/>
      </c>
      <c r="K2314" s="6">
        <f>IF(OR(A2314="",B2314=""),"",DATE(YEAR(B2314),MONTH(B2314),1))</f>
        <v/>
      </c>
      <c r="L2314" s="7">
        <f>IF(COUNTA(A2314,B2314)=0,"",IF(OR(A2314="",B2314=""),"Preencher CPF e entrada",IF(COUNTIFS($A$12:$A$5011,A2314,$B$12:$B$5011,B2314)&gt;1,"CPF + dia duplicado",IF(OR(AND(E2314&lt;&gt;"",E2314&lt;B2314),AND(F2314&lt;&gt;"",F2314&lt;B2314)),"Evento anterior à entrada",IF(AND(F2314&lt;&gt;"",E2314=""),"Conversa sem agendamento",IF(OR(E2314&gt;TODAY(),F2314&gt;TODAY()),"Verificar evento futuro","OK"))))))</f>
        <v/>
      </c>
    </row>
    <row r="2315" spans="9:12">
      <c r="I2315" s="5">
        <f>IF(OR(A2315="",B2315=""),"",B2315-WEEKDAY(B2315,2)+1)</f>
        <v/>
      </c>
      <c r="J2315" s="5">
        <f>IF(I2315="","",I2315+6)</f>
        <v/>
      </c>
      <c r="K2315" s="6">
        <f>IF(OR(A2315="",B2315=""),"",DATE(YEAR(B2315),MONTH(B2315),1))</f>
        <v/>
      </c>
      <c r="L2315" s="7">
        <f>IF(COUNTA(A2315,B2315)=0,"",IF(OR(A2315="",B2315=""),"Preencher CPF e entrada",IF(COUNTIFS($A$12:$A$5011,A2315,$B$12:$B$5011,B2315)&gt;1,"CPF + dia duplicado",IF(OR(AND(E2315&lt;&gt;"",E2315&lt;B2315),AND(F2315&lt;&gt;"",F2315&lt;B2315)),"Evento anterior à entrada",IF(AND(F2315&lt;&gt;"",E2315=""),"Conversa sem agendamento",IF(OR(E2315&gt;TODAY(),F2315&gt;TODAY()),"Verificar evento futuro","OK"))))))</f>
        <v/>
      </c>
    </row>
    <row r="2316" spans="9:12">
      <c r="I2316" s="5">
        <f>IF(OR(A2316="",B2316=""),"",B2316-WEEKDAY(B2316,2)+1)</f>
        <v/>
      </c>
      <c r="J2316" s="5">
        <f>IF(I2316="","",I2316+6)</f>
        <v/>
      </c>
      <c r="K2316" s="6">
        <f>IF(OR(A2316="",B2316=""),"",DATE(YEAR(B2316),MONTH(B2316),1))</f>
        <v/>
      </c>
      <c r="L2316" s="7">
        <f>IF(COUNTA(A2316,B2316)=0,"",IF(OR(A2316="",B2316=""),"Preencher CPF e entrada",IF(COUNTIFS($A$12:$A$5011,A2316,$B$12:$B$5011,B2316)&gt;1,"CPF + dia duplicado",IF(OR(AND(E2316&lt;&gt;"",E2316&lt;B2316),AND(F2316&lt;&gt;"",F2316&lt;B2316)),"Evento anterior à entrada",IF(AND(F2316&lt;&gt;"",E2316=""),"Conversa sem agendamento",IF(OR(E2316&gt;TODAY(),F2316&gt;TODAY()),"Verificar evento futuro","OK"))))))</f>
        <v/>
      </c>
    </row>
    <row r="2317" spans="9:12">
      <c r="I2317" s="5">
        <f>IF(OR(A2317="",B2317=""),"",B2317-WEEKDAY(B2317,2)+1)</f>
        <v/>
      </c>
      <c r="J2317" s="5">
        <f>IF(I2317="","",I2317+6)</f>
        <v/>
      </c>
      <c r="K2317" s="6">
        <f>IF(OR(A2317="",B2317=""),"",DATE(YEAR(B2317),MONTH(B2317),1))</f>
        <v/>
      </c>
      <c r="L2317" s="7">
        <f>IF(COUNTA(A2317,B2317)=0,"",IF(OR(A2317="",B2317=""),"Preencher CPF e entrada",IF(COUNTIFS($A$12:$A$5011,A2317,$B$12:$B$5011,B2317)&gt;1,"CPF + dia duplicado",IF(OR(AND(E2317&lt;&gt;"",E2317&lt;B2317),AND(F2317&lt;&gt;"",F2317&lt;B2317)),"Evento anterior à entrada",IF(AND(F2317&lt;&gt;"",E2317=""),"Conversa sem agendamento",IF(OR(E2317&gt;TODAY(),F2317&gt;TODAY()),"Verificar evento futuro","OK"))))))</f>
        <v/>
      </c>
    </row>
    <row r="2318" spans="9:12">
      <c r="I2318" s="5">
        <f>IF(OR(A2318="",B2318=""),"",B2318-WEEKDAY(B2318,2)+1)</f>
        <v/>
      </c>
      <c r="J2318" s="5">
        <f>IF(I2318="","",I2318+6)</f>
        <v/>
      </c>
      <c r="K2318" s="6">
        <f>IF(OR(A2318="",B2318=""),"",DATE(YEAR(B2318),MONTH(B2318),1))</f>
        <v/>
      </c>
      <c r="L2318" s="7">
        <f>IF(COUNTA(A2318,B2318)=0,"",IF(OR(A2318="",B2318=""),"Preencher CPF e entrada",IF(COUNTIFS($A$12:$A$5011,A2318,$B$12:$B$5011,B2318)&gt;1,"CPF + dia duplicado",IF(OR(AND(E2318&lt;&gt;"",E2318&lt;B2318),AND(F2318&lt;&gt;"",F2318&lt;B2318)),"Evento anterior à entrada",IF(AND(F2318&lt;&gt;"",E2318=""),"Conversa sem agendamento",IF(OR(E2318&gt;TODAY(),F2318&gt;TODAY()),"Verificar evento futuro","OK"))))))</f>
        <v/>
      </c>
    </row>
    <row r="2319" spans="9:12">
      <c r="I2319" s="5">
        <f>IF(OR(A2319="",B2319=""),"",B2319-WEEKDAY(B2319,2)+1)</f>
        <v/>
      </c>
      <c r="J2319" s="5">
        <f>IF(I2319="","",I2319+6)</f>
        <v/>
      </c>
      <c r="K2319" s="6">
        <f>IF(OR(A2319="",B2319=""),"",DATE(YEAR(B2319),MONTH(B2319),1))</f>
        <v/>
      </c>
      <c r="L2319" s="7">
        <f>IF(COUNTA(A2319,B2319)=0,"",IF(OR(A2319="",B2319=""),"Preencher CPF e entrada",IF(COUNTIFS($A$12:$A$5011,A2319,$B$12:$B$5011,B2319)&gt;1,"CPF + dia duplicado",IF(OR(AND(E2319&lt;&gt;"",E2319&lt;B2319),AND(F2319&lt;&gt;"",F2319&lt;B2319)),"Evento anterior à entrada",IF(AND(F2319&lt;&gt;"",E2319=""),"Conversa sem agendamento",IF(OR(E2319&gt;TODAY(),F2319&gt;TODAY()),"Verificar evento futuro","OK"))))))</f>
        <v/>
      </c>
    </row>
    <row r="2320" spans="9:12">
      <c r="I2320" s="5">
        <f>IF(OR(A2320="",B2320=""),"",B2320-WEEKDAY(B2320,2)+1)</f>
        <v/>
      </c>
      <c r="J2320" s="5">
        <f>IF(I2320="","",I2320+6)</f>
        <v/>
      </c>
      <c r="K2320" s="6">
        <f>IF(OR(A2320="",B2320=""),"",DATE(YEAR(B2320),MONTH(B2320),1))</f>
        <v/>
      </c>
      <c r="L2320" s="7">
        <f>IF(COUNTA(A2320,B2320)=0,"",IF(OR(A2320="",B2320=""),"Preencher CPF e entrada",IF(COUNTIFS($A$12:$A$5011,A2320,$B$12:$B$5011,B2320)&gt;1,"CPF + dia duplicado",IF(OR(AND(E2320&lt;&gt;"",E2320&lt;B2320),AND(F2320&lt;&gt;"",F2320&lt;B2320)),"Evento anterior à entrada",IF(AND(F2320&lt;&gt;"",E2320=""),"Conversa sem agendamento",IF(OR(E2320&gt;TODAY(),F2320&gt;TODAY()),"Verificar evento futuro","OK"))))))</f>
        <v/>
      </c>
    </row>
    <row r="2321" spans="9:12">
      <c r="I2321" s="5">
        <f>IF(OR(A2321="",B2321=""),"",B2321-WEEKDAY(B2321,2)+1)</f>
        <v/>
      </c>
      <c r="J2321" s="5">
        <f>IF(I2321="","",I2321+6)</f>
        <v/>
      </c>
      <c r="K2321" s="6">
        <f>IF(OR(A2321="",B2321=""),"",DATE(YEAR(B2321),MONTH(B2321),1))</f>
        <v/>
      </c>
      <c r="L2321" s="7">
        <f>IF(COUNTA(A2321,B2321)=0,"",IF(OR(A2321="",B2321=""),"Preencher CPF e entrada",IF(COUNTIFS($A$12:$A$5011,A2321,$B$12:$B$5011,B2321)&gt;1,"CPF + dia duplicado",IF(OR(AND(E2321&lt;&gt;"",E2321&lt;B2321),AND(F2321&lt;&gt;"",F2321&lt;B2321)),"Evento anterior à entrada",IF(AND(F2321&lt;&gt;"",E2321=""),"Conversa sem agendamento",IF(OR(E2321&gt;TODAY(),F2321&gt;TODAY()),"Verificar evento futuro","OK"))))))</f>
        <v/>
      </c>
    </row>
    <row r="2322" spans="9:12">
      <c r="I2322" s="5">
        <f>IF(OR(A2322="",B2322=""),"",B2322-WEEKDAY(B2322,2)+1)</f>
        <v/>
      </c>
      <c r="J2322" s="5">
        <f>IF(I2322="","",I2322+6)</f>
        <v/>
      </c>
      <c r="K2322" s="6">
        <f>IF(OR(A2322="",B2322=""),"",DATE(YEAR(B2322),MONTH(B2322),1))</f>
        <v/>
      </c>
      <c r="L2322" s="7">
        <f>IF(COUNTA(A2322,B2322)=0,"",IF(OR(A2322="",B2322=""),"Preencher CPF e entrada",IF(COUNTIFS($A$12:$A$5011,A2322,$B$12:$B$5011,B2322)&gt;1,"CPF + dia duplicado",IF(OR(AND(E2322&lt;&gt;"",E2322&lt;B2322),AND(F2322&lt;&gt;"",F2322&lt;B2322)),"Evento anterior à entrada",IF(AND(F2322&lt;&gt;"",E2322=""),"Conversa sem agendamento",IF(OR(E2322&gt;TODAY(),F2322&gt;TODAY()),"Verificar evento futuro","OK"))))))</f>
        <v/>
      </c>
    </row>
    <row r="2323" spans="9:12">
      <c r="I2323" s="5">
        <f>IF(OR(A2323="",B2323=""),"",B2323-WEEKDAY(B2323,2)+1)</f>
        <v/>
      </c>
      <c r="J2323" s="5">
        <f>IF(I2323="","",I2323+6)</f>
        <v/>
      </c>
      <c r="K2323" s="6">
        <f>IF(OR(A2323="",B2323=""),"",DATE(YEAR(B2323),MONTH(B2323),1))</f>
        <v/>
      </c>
      <c r="L2323" s="7">
        <f>IF(COUNTA(A2323,B2323)=0,"",IF(OR(A2323="",B2323=""),"Preencher CPF e entrada",IF(COUNTIFS($A$12:$A$5011,A2323,$B$12:$B$5011,B2323)&gt;1,"CPF + dia duplicado",IF(OR(AND(E2323&lt;&gt;"",E2323&lt;B2323),AND(F2323&lt;&gt;"",F2323&lt;B2323)),"Evento anterior à entrada",IF(AND(F2323&lt;&gt;"",E2323=""),"Conversa sem agendamento",IF(OR(E2323&gt;TODAY(),F2323&gt;TODAY()),"Verificar evento futuro","OK"))))))</f>
        <v/>
      </c>
    </row>
    <row r="2324" spans="9:12">
      <c r="I2324" s="5">
        <f>IF(OR(A2324="",B2324=""),"",B2324-WEEKDAY(B2324,2)+1)</f>
        <v/>
      </c>
      <c r="J2324" s="5">
        <f>IF(I2324="","",I2324+6)</f>
        <v/>
      </c>
      <c r="K2324" s="6">
        <f>IF(OR(A2324="",B2324=""),"",DATE(YEAR(B2324),MONTH(B2324),1))</f>
        <v/>
      </c>
      <c r="L2324" s="7">
        <f>IF(COUNTA(A2324,B2324)=0,"",IF(OR(A2324="",B2324=""),"Preencher CPF e entrada",IF(COUNTIFS($A$12:$A$5011,A2324,$B$12:$B$5011,B2324)&gt;1,"CPF + dia duplicado",IF(OR(AND(E2324&lt;&gt;"",E2324&lt;B2324),AND(F2324&lt;&gt;"",F2324&lt;B2324)),"Evento anterior à entrada",IF(AND(F2324&lt;&gt;"",E2324=""),"Conversa sem agendamento",IF(OR(E2324&gt;TODAY(),F2324&gt;TODAY()),"Verificar evento futuro","OK"))))))</f>
        <v/>
      </c>
    </row>
    <row r="2325" spans="9:12">
      <c r="I2325" s="5">
        <f>IF(OR(A2325="",B2325=""),"",B2325-WEEKDAY(B2325,2)+1)</f>
        <v/>
      </c>
      <c r="J2325" s="5">
        <f>IF(I2325="","",I2325+6)</f>
        <v/>
      </c>
      <c r="K2325" s="6">
        <f>IF(OR(A2325="",B2325=""),"",DATE(YEAR(B2325),MONTH(B2325),1))</f>
        <v/>
      </c>
      <c r="L2325" s="7">
        <f>IF(COUNTA(A2325,B2325)=0,"",IF(OR(A2325="",B2325=""),"Preencher CPF e entrada",IF(COUNTIFS($A$12:$A$5011,A2325,$B$12:$B$5011,B2325)&gt;1,"CPF + dia duplicado",IF(OR(AND(E2325&lt;&gt;"",E2325&lt;B2325),AND(F2325&lt;&gt;"",F2325&lt;B2325)),"Evento anterior à entrada",IF(AND(F2325&lt;&gt;"",E2325=""),"Conversa sem agendamento",IF(OR(E2325&gt;TODAY(),F2325&gt;TODAY()),"Verificar evento futuro","OK"))))))</f>
        <v/>
      </c>
    </row>
    <row r="2326" spans="9:12">
      <c r="I2326" s="5">
        <f>IF(OR(A2326="",B2326=""),"",B2326-WEEKDAY(B2326,2)+1)</f>
        <v/>
      </c>
      <c r="J2326" s="5">
        <f>IF(I2326="","",I2326+6)</f>
        <v/>
      </c>
      <c r="K2326" s="6">
        <f>IF(OR(A2326="",B2326=""),"",DATE(YEAR(B2326),MONTH(B2326),1))</f>
        <v/>
      </c>
      <c r="L2326" s="7">
        <f>IF(COUNTA(A2326,B2326)=0,"",IF(OR(A2326="",B2326=""),"Preencher CPF e entrada",IF(COUNTIFS($A$12:$A$5011,A2326,$B$12:$B$5011,B2326)&gt;1,"CPF + dia duplicado",IF(OR(AND(E2326&lt;&gt;"",E2326&lt;B2326),AND(F2326&lt;&gt;"",F2326&lt;B2326)),"Evento anterior à entrada",IF(AND(F2326&lt;&gt;"",E2326=""),"Conversa sem agendamento",IF(OR(E2326&gt;TODAY(),F2326&gt;TODAY()),"Verificar evento futuro","OK"))))))</f>
        <v/>
      </c>
    </row>
    <row r="2327" spans="9:12">
      <c r="I2327" s="5">
        <f>IF(OR(A2327="",B2327=""),"",B2327-WEEKDAY(B2327,2)+1)</f>
        <v/>
      </c>
      <c r="J2327" s="5">
        <f>IF(I2327="","",I2327+6)</f>
        <v/>
      </c>
      <c r="K2327" s="6">
        <f>IF(OR(A2327="",B2327=""),"",DATE(YEAR(B2327),MONTH(B2327),1))</f>
        <v/>
      </c>
      <c r="L2327" s="7">
        <f>IF(COUNTA(A2327,B2327)=0,"",IF(OR(A2327="",B2327=""),"Preencher CPF e entrada",IF(COUNTIFS($A$12:$A$5011,A2327,$B$12:$B$5011,B2327)&gt;1,"CPF + dia duplicado",IF(OR(AND(E2327&lt;&gt;"",E2327&lt;B2327),AND(F2327&lt;&gt;"",F2327&lt;B2327)),"Evento anterior à entrada",IF(AND(F2327&lt;&gt;"",E2327=""),"Conversa sem agendamento",IF(OR(E2327&gt;TODAY(),F2327&gt;TODAY()),"Verificar evento futuro","OK"))))))</f>
        <v/>
      </c>
    </row>
    <row r="2328" spans="9:12">
      <c r="I2328" s="5">
        <f>IF(OR(A2328="",B2328=""),"",B2328-WEEKDAY(B2328,2)+1)</f>
        <v/>
      </c>
      <c r="J2328" s="5">
        <f>IF(I2328="","",I2328+6)</f>
        <v/>
      </c>
      <c r="K2328" s="6">
        <f>IF(OR(A2328="",B2328=""),"",DATE(YEAR(B2328),MONTH(B2328),1))</f>
        <v/>
      </c>
      <c r="L2328" s="7">
        <f>IF(COUNTA(A2328,B2328)=0,"",IF(OR(A2328="",B2328=""),"Preencher CPF e entrada",IF(COUNTIFS($A$12:$A$5011,A2328,$B$12:$B$5011,B2328)&gt;1,"CPF + dia duplicado",IF(OR(AND(E2328&lt;&gt;"",E2328&lt;B2328),AND(F2328&lt;&gt;"",F2328&lt;B2328)),"Evento anterior à entrada",IF(AND(F2328&lt;&gt;"",E2328=""),"Conversa sem agendamento",IF(OR(E2328&gt;TODAY(),F2328&gt;TODAY()),"Verificar evento futuro","OK"))))))</f>
        <v/>
      </c>
    </row>
    <row r="2329" spans="9:12">
      <c r="I2329" s="5">
        <f>IF(OR(A2329="",B2329=""),"",B2329-WEEKDAY(B2329,2)+1)</f>
        <v/>
      </c>
      <c r="J2329" s="5">
        <f>IF(I2329="","",I2329+6)</f>
        <v/>
      </c>
      <c r="K2329" s="6">
        <f>IF(OR(A2329="",B2329=""),"",DATE(YEAR(B2329),MONTH(B2329),1))</f>
        <v/>
      </c>
      <c r="L2329" s="7">
        <f>IF(COUNTA(A2329,B2329)=0,"",IF(OR(A2329="",B2329=""),"Preencher CPF e entrada",IF(COUNTIFS($A$12:$A$5011,A2329,$B$12:$B$5011,B2329)&gt;1,"CPF + dia duplicado",IF(OR(AND(E2329&lt;&gt;"",E2329&lt;B2329),AND(F2329&lt;&gt;"",F2329&lt;B2329)),"Evento anterior à entrada",IF(AND(F2329&lt;&gt;"",E2329=""),"Conversa sem agendamento",IF(OR(E2329&gt;TODAY(),F2329&gt;TODAY()),"Verificar evento futuro","OK"))))))</f>
        <v/>
      </c>
    </row>
    <row r="2330" spans="9:12">
      <c r="I2330" s="5">
        <f>IF(OR(A2330="",B2330=""),"",B2330-WEEKDAY(B2330,2)+1)</f>
        <v/>
      </c>
      <c r="J2330" s="5">
        <f>IF(I2330="","",I2330+6)</f>
        <v/>
      </c>
      <c r="K2330" s="6">
        <f>IF(OR(A2330="",B2330=""),"",DATE(YEAR(B2330),MONTH(B2330),1))</f>
        <v/>
      </c>
      <c r="L2330" s="7">
        <f>IF(COUNTA(A2330,B2330)=0,"",IF(OR(A2330="",B2330=""),"Preencher CPF e entrada",IF(COUNTIFS($A$12:$A$5011,A2330,$B$12:$B$5011,B2330)&gt;1,"CPF + dia duplicado",IF(OR(AND(E2330&lt;&gt;"",E2330&lt;B2330),AND(F2330&lt;&gt;"",F2330&lt;B2330)),"Evento anterior à entrada",IF(AND(F2330&lt;&gt;"",E2330=""),"Conversa sem agendamento",IF(OR(E2330&gt;TODAY(),F2330&gt;TODAY()),"Verificar evento futuro","OK"))))))</f>
        <v/>
      </c>
    </row>
    <row r="2331" spans="9:12">
      <c r="I2331" s="5">
        <f>IF(OR(A2331="",B2331=""),"",B2331-WEEKDAY(B2331,2)+1)</f>
        <v/>
      </c>
      <c r="J2331" s="5">
        <f>IF(I2331="","",I2331+6)</f>
        <v/>
      </c>
      <c r="K2331" s="6">
        <f>IF(OR(A2331="",B2331=""),"",DATE(YEAR(B2331),MONTH(B2331),1))</f>
        <v/>
      </c>
      <c r="L2331" s="7">
        <f>IF(COUNTA(A2331,B2331)=0,"",IF(OR(A2331="",B2331=""),"Preencher CPF e entrada",IF(COUNTIFS($A$12:$A$5011,A2331,$B$12:$B$5011,B2331)&gt;1,"CPF + dia duplicado",IF(OR(AND(E2331&lt;&gt;"",E2331&lt;B2331),AND(F2331&lt;&gt;"",F2331&lt;B2331)),"Evento anterior à entrada",IF(AND(F2331&lt;&gt;"",E2331=""),"Conversa sem agendamento",IF(OR(E2331&gt;TODAY(),F2331&gt;TODAY()),"Verificar evento futuro","OK"))))))</f>
        <v/>
      </c>
    </row>
    <row r="2332" spans="9:12">
      <c r="I2332" s="5">
        <f>IF(OR(A2332="",B2332=""),"",B2332-WEEKDAY(B2332,2)+1)</f>
        <v/>
      </c>
      <c r="J2332" s="5">
        <f>IF(I2332="","",I2332+6)</f>
        <v/>
      </c>
      <c r="K2332" s="6">
        <f>IF(OR(A2332="",B2332=""),"",DATE(YEAR(B2332),MONTH(B2332),1))</f>
        <v/>
      </c>
      <c r="L2332" s="7">
        <f>IF(COUNTA(A2332,B2332)=0,"",IF(OR(A2332="",B2332=""),"Preencher CPF e entrada",IF(COUNTIFS($A$12:$A$5011,A2332,$B$12:$B$5011,B2332)&gt;1,"CPF + dia duplicado",IF(OR(AND(E2332&lt;&gt;"",E2332&lt;B2332),AND(F2332&lt;&gt;"",F2332&lt;B2332)),"Evento anterior à entrada",IF(AND(F2332&lt;&gt;"",E2332=""),"Conversa sem agendamento",IF(OR(E2332&gt;TODAY(),F2332&gt;TODAY()),"Verificar evento futuro","OK"))))))</f>
        <v/>
      </c>
    </row>
    <row r="2333" spans="9:12">
      <c r="I2333" s="5">
        <f>IF(OR(A2333="",B2333=""),"",B2333-WEEKDAY(B2333,2)+1)</f>
        <v/>
      </c>
      <c r="J2333" s="5">
        <f>IF(I2333="","",I2333+6)</f>
        <v/>
      </c>
      <c r="K2333" s="6">
        <f>IF(OR(A2333="",B2333=""),"",DATE(YEAR(B2333),MONTH(B2333),1))</f>
        <v/>
      </c>
      <c r="L2333" s="7">
        <f>IF(COUNTA(A2333,B2333)=0,"",IF(OR(A2333="",B2333=""),"Preencher CPF e entrada",IF(COUNTIFS($A$12:$A$5011,A2333,$B$12:$B$5011,B2333)&gt;1,"CPF + dia duplicado",IF(OR(AND(E2333&lt;&gt;"",E2333&lt;B2333),AND(F2333&lt;&gt;"",F2333&lt;B2333)),"Evento anterior à entrada",IF(AND(F2333&lt;&gt;"",E2333=""),"Conversa sem agendamento",IF(OR(E2333&gt;TODAY(),F2333&gt;TODAY()),"Verificar evento futuro","OK"))))))</f>
        <v/>
      </c>
    </row>
    <row r="2334" spans="9:12">
      <c r="I2334" s="5">
        <f>IF(OR(A2334="",B2334=""),"",B2334-WEEKDAY(B2334,2)+1)</f>
        <v/>
      </c>
      <c r="J2334" s="5">
        <f>IF(I2334="","",I2334+6)</f>
        <v/>
      </c>
      <c r="K2334" s="6">
        <f>IF(OR(A2334="",B2334=""),"",DATE(YEAR(B2334),MONTH(B2334),1))</f>
        <v/>
      </c>
      <c r="L2334" s="7">
        <f>IF(COUNTA(A2334,B2334)=0,"",IF(OR(A2334="",B2334=""),"Preencher CPF e entrada",IF(COUNTIFS($A$12:$A$5011,A2334,$B$12:$B$5011,B2334)&gt;1,"CPF + dia duplicado",IF(OR(AND(E2334&lt;&gt;"",E2334&lt;B2334),AND(F2334&lt;&gt;"",F2334&lt;B2334)),"Evento anterior à entrada",IF(AND(F2334&lt;&gt;"",E2334=""),"Conversa sem agendamento",IF(OR(E2334&gt;TODAY(),F2334&gt;TODAY()),"Verificar evento futuro","OK"))))))</f>
        <v/>
      </c>
    </row>
    <row r="2335" spans="9:12">
      <c r="I2335" s="5">
        <f>IF(OR(A2335="",B2335=""),"",B2335-WEEKDAY(B2335,2)+1)</f>
        <v/>
      </c>
      <c r="J2335" s="5">
        <f>IF(I2335="","",I2335+6)</f>
        <v/>
      </c>
      <c r="K2335" s="6">
        <f>IF(OR(A2335="",B2335=""),"",DATE(YEAR(B2335),MONTH(B2335),1))</f>
        <v/>
      </c>
      <c r="L2335" s="7">
        <f>IF(COUNTA(A2335,B2335)=0,"",IF(OR(A2335="",B2335=""),"Preencher CPF e entrada",IF(COUNTIFS($A$12:$A$5011,A2335,$B$12:$B$5011,B2335)&gt;1,"CPF + dia duplicado",IF(OR(AND(E2335&lt;&gt;"",E2335&lt;B2335),AND(F2335&lt;&gt;"",F2335&lt;B2335)),"Evento anterior à entrada",IF(AND(F2335&lt;&gt;"",E2335=""),"Conversa sem agendamento",IF(OR(E2335&gt;TODAY(),F2335&gt;TODAY()),"Verificar evento futuro","OK"))))))</f>
        <v/>
      </c>
    </row>
    <row r="2336" spans="9:12">
      <c r="I2336" s="5">
        <f>IF(OR(A2336="",B2336=""),"",B2336-WEEKDAY(B2336,2)+1)</f>
        <v/>
      </c>
      <c r="J2336" s="5">
        <f>IF(I2336="","",I2336+6)</f>
        <v/>
      </c>
      <c r="K2336" s="6">
        <f>IF(OR(A2336="",B2336=""),"",DATE(YEAR(B2336),MONTH(B2336),1))</f>
        <v/>
      </c>
      <c r="L2336" s="7">
        <f>IF(COUNTA(A2336,B2336)=0,"",IF(OR(A2336="",B2336=""),"Preencher CPF e entrada",IF(COUNTIFS($A$12:$A$5011,A2336,$B$12:$B$5011,B2336)&gt;1,"CPF + dia duplicado",IF(OR(AND(E2336&lt;&gt;"",E2336&lt;B2336),AND(F2336&lt;&gt;"",F2336&lt;B2336)),"Evento anterior à entrada",IF(AND(F2336&lt;&gt;"",E2336=""),"Conversa sem agendamento",IF(OR(E2336&gt;TODAY(),F2336&gt;TODAY()),"Verificar evento futuro","OK"))))))</f>
        <v/>
      </c>
    </row>
    <row r="2337" spans="9:12">
      <c r="I2337" s="5">
        <f>IF(OR(A2337="",B2337=""),"",B2337-WEEKDAY(B2337,2)+1)</f>
        <v/>
      </c>
      <c r="J2337" s="5">
        <f>IF(I2337="","",I2337+6)</f>
        <v/>
      </c>
      <c r="K2337" s="6">
        <f>IF(OR(A2337="",B2337=""),"",DATE(YEAR(B2337),MONTH(B2337),1))</f>
        <v/>
      </c>
      <c r="L2337" s="7">
        <f>IF(COUNTA(A2337,B2337)=0,"",IF(OR(A2337="",B2337=""),"Preencher CPF e entrada",IF(COUNTIFS($A$12:$A$5011,A2337,$B$12:$B$5011,B2337)&gt;1,"CPF + dia duplicado",IF(OR(AND(E2337&lt;&gt;"",E2337&lt;B2337),AND(F2337&lt;&gt;"",F2337&lt;B2337)),"Evento anterior à entrada",IF(AND(F2337&lt;&gt;"",E2337=""),"Conversa sem agendamento",IF(OR(E2337&gt;TODAY(),F2337&gt;TODAY()),"Verificar evento futuro","OK"))))))</f>
        <v/>
      </c>
    </row>
    <row r="2338" spans="9:12">
      <c r="I2338" s="5">
        <f>IF(OR(A2338="",B2338=""),"",B2338-WEEKDAY(B2338,2)+1)</f>
        <v/>
      </c>
      <c r="J2338" s="5">
        <f>IF(I2338="","",I2338+6)</f>
        <v/>
      </c>
      <c r="K2338" s="6">
        <f>IF(OR(A2338="",B2338=""),"",DATE(YEAR(B2338),MONTH(B2338),1))</f>
        <v/>
      </c>
      <c r="L2338" s="7">
        <f>IF(COUNTA(A2338,B2338)=0,"",IF(OR(A2338="",B2338=""),"Preencher CPF e entrada",IF(COUNTIFS($A$12:$A$5011,A2338,$B$12:$B$5011,B2338)&gt;1,"CPF + dia duplicado",IF(OR(AND(E2338&lt;&gt;"",E2338&lt;B2338),AND(F2338&lt;&gt;"",F2338&lt;B2338)),"Evento anterior à entrada",IF(AND(F2338&lt;&gt;"",E2338=""),"Conversa sem agendamento",IF(OR(E2338&gt;TODAY(),F2338&gt;TODAY()),"Verificar evento futuro","OK"))))))</f>
        <v/>
      </c>
    </row>
    <row r="2339" spans="9:12">
      <c r="I2339" s="5">
        <f>IF(OR(A2339="",B2339=""),"",B2339-WEEKDAY(B2339,2)+1)</f>
        <v/>
      </c>
      <c r="J2339" s="5">
        <f>IF(I2339="","",I2339+6)</f>
        <v/>
      </c>
      <c r="K2339" s="6">
        <f>IF(OR(A2339="",B2339=""),"",DATE(YEAR(B2339),MONTH(B2339),1))</f>
        <v/>
      </c>
      <c r="L2339" s="7">
        <f>IF(COUNTA(A2339,B2339)=0,"",IF(OR(A2339="",B2339=""),"Preencher CPF e entrada",IF(COUNTIFS($A$12:$A$5011,A2339,$B$12:$B$5011,B2339)&gt;1,"CPF + dia duplicado",IF(OR(AND(E2339&lt;&gt;"",E2339&lt;B2339),AND(F2339&lt;&gt;"",F2339&lt;B2339)),"Evento anterior à entrada",IF(AND(F2339&lt;&gt;"",E2339=""),"Conversa sem agendamento",IF(OR(E2339&gt;TODAY(),F2339&gt;TODAY()),"Verificar evento futuro","OK"))))))</f>
        <v/>
      </c>
    </row>
    <row r="2340" spans="9:12">
      <c r="I2340" s="5">
        <f>IF(OR(A2340="",B2340=""),"",B2340-WEEKDAY(B2340,2)+1)</f>
        <v/>
      </c>
      <c r="J2340" s="5">
        <f>IF(I2340="","",I2340+6)</f>
        <v/>
      </c>
      <c r="K2340" s="6">
        <f>IF(OR(A2340="",B2340=""),"",DATE(YEAR(B2340),MONTH(B2340),1))</f>
        <v/>
      </c>
      <c r="L2340" s="7">
        <f>IF(COUNTA(A2340,B2340)=0,"",IF(OR(A2340="",B2340=""),"Preencher CPF e entrada",IF(COUNTIFS($A$12:$A$5011,A2340,$B$12:$B$5011,B2340)&gt;1,"CPF + dia duplicado",IF(OR(AND(E2340&lt;&gt;"",E2340&lt;B2340),AND(F2340&lt;&gt;"",F2340&lt;B2340)),"Evento anterior à entrada",IF(AND(F2340&lt;&gt;"",E2340=""),"Conversa sem agendamento",IF(OR(E2340&gt;TODAY(),F2340&gt;TODAY()),"Verificar evento futuro","OK"))))))</f>
        <v/>
      </c>
    </row>
    <row r="2341" spans="9:12">
      <c r="I2341" s="5">
        <f>IF(OR(A2341="",B2341=""),"",B2341-WEEKDAY(B2341,2)+1)</f>
        <v/>
      </c>
      <c r="J2341" s="5">
        <f>IF(I2341="","",I2341+6)</f>
        <v/>
      </c>
      <c r="K2341" s="6">
        <f>IF(OR(A2341="",B2341=""),"",DATE(YEAR(B2341),MONTH(B2341),1))</f>
        <v/>
      </c>
      <c r="L2341" s="7">
        <f>IF(COUNTA(A2341,B2341)=0,"",IF(OR(A2341="",B2341=""),"Preencher CPF e entrada",IF(COUNTIFS($A$12:$A$5011,A2341,$B$12:$B$5011,B2341)&gt;1,"CPF + dia duplicado",IF(OR(AND(E2341&lt;&gt;"",E2341&lt;B2341),AND(F2341&lt;&gt;"",F2341&lt;B2341)),"Evento anterior à entrada",IF(AND(F2341&lt;&gt;"",E2341=""),"Conversa sem agendamento",IF(OR(E2341&gt;TODAY(),F2341&gt;TODAY()),"Verificar evento futuro","OK"))))))</f>
        <v/>
      </c>
    </row>
    <row r="2342" spans="9:12">
      <c r="I2342" s="5">
        <f>IF(OR(A2342="",B2342=""),"",B2342-WEEKDAY(B2342,2)+1)</f>
        <v/>
      </c>
      <c r="J2342" s="5">
        <f>IF(I2342="","",I2342+6)</f>
        <v/>
      </c>
      <c r="K2342" s="6">
        <f>IF(OR(A2342="",B2342=""),"",DATE(YEAR(B2342),MONTH(B2342),1))</f>
        <v/>
      </c>
      <c r="L2342" s="7">
        <f>IF(COUNTA(A2342,B2342)=0,"",IF(OR(A2342="",B2342=""),"Preencher CPF e entrada",IF(COUNTIFS($A$12:$A$5011,A2342,$B$12:$B$5011,B2342)&gt;1,"CPF + dia duplicado",IF(OR(AND(E2342&lt;&gt;"",E2342&lt;B2342),AND(F2342&lt;&gt;"",F2342&lt;B2342)),"Evento anterior à entrada",IF(AND(F2342&lt;&gt;"",E2342=""),"Conversa sem agendamento",IF(OR(E2342&gt;TODAY(),F2342&gt;TODAY()),"Verificar evento futuro","OK"))))))</f>
        <v/>
      </c>
    </row>
    <row r="2343" spans="9:12">
      <c r="I2343" s="5">
        <f>IF(OR(A2343="",B2343=""),"",B2343-WEEKDAY(B2343,2)+1)</f>
        <v/>
      </c>
      <c r="J2343" s="5">
        <f>IF(I2343="","",I2343+6)</f>
        <v/>
      </c>
      <c r="K2343" s="6">
        <f>IF(OR(A2343="",B2343=""),"",DATE(YEAR(B2343),MONTH(B2343),1))</f>
        <v/>
      </c>
      <c r="L2343" s="7">
        <f>IF(COUNTA(A2343,B2343)=0,"",IF(OR(A2343="",B2343=""),"Preencher CPF e entrada",IF(COUNTIFS($A$12:$A$5011,A2343,$B$12:$B$5011,B2343)&gt;1,"CPF + dia duplicado",IF(OR(AND(E2343&lt;&gt;"",E2343&lt;B2343),AND(F2343&lt;&gt;"",F2343&lt;B2343)),"Evento anterior à entrada",IF(AND(F2343&lt;&gt;"",E2343=""),"Conversa sem agendamento",IF(OR(E2343&gt;TODAY(),F2343&gt;TODAY()),"Verificar evento futuro","OK"))))))</f>
        <v/>
      </c>
    </row>
    <row r="2344" spans="9:12">
      <c r="I2344" s="5">
        <f>IF(OR(A2344="",B2344=""),"",B2344-WEEKDAY(B2344,2)+1)</f>
        <v/>
      </c>
      <c r="J2344" s="5">
        <f>IF(I2344="","",I2344+6)</f>
        <v/>
      </c>
      <c r="K2344" s="6">
        <f>IF(OR(A2344="",B2344=""),"",DATE(YEAR(B2344),MONTH(B2344),1))</f>
        <v/>
      </c>
      <c r="L2344" s="7">
        <f>IF(COUNTA(A2344,B2344)=0,"",IF(OR(A2344="",B2344=""),"Preencher CPF e entrada",IF(COUNTIFS($A$12:$A$5011,A2344,$B$12:$B$5011,B2344)&gt;1,"CPF + dia duplicado",IF(OR(AND(E2344&lt;&gt;"",E2344&lt;B2344),AND(F2344&lt;&gt;"",F2344&lt;B2344)),"Evento anterior à entrada",IF(AND(F2344&lt;&gt;"",E2344=""),"Conversa sem agendamento",IF(OR(E2344&gt;TODAY(),F2344&gt;TODAY()),"Verificar evento futuro","OK"))))))</f>
        <v/>
      </c>
    </row>
    <row r="2345" spans="9:12">
      <c r="I2345" s="5">
        <f>IF(OR(A2345="",B2345=""),"",B2345-WEEKDAY(B2345,2)+1)</f>
        <v/>
      </c>
      <c r="J2345" s="5">
        <f>IF(I2345="","",I2345+6)</f>
        <v/>
      </c>
      <c r="K2345" s="6">
        <f>IF(OR(A2345="",B2345=""),"",DATE(YEAR(B2345),MONTH(B2345),1))</f>
        <v/>
      </c>
      <c r="L2345" s="7">
        <f>IF(COUNTA(A2345,B2345)=0,"",IF(OR(A2345="",B2345=""),"Preencher CPF e entrada",IF(COUNTIFS($A$12:$A$5011,A2345,$B$12:$B$5011,B2345)&gt;1,"CPF + dia duplicado",IF(OR(AND(E2345&lt;&gt;"",E2345&lt;B2345),AND(F2345&lt;&gt;"",F2345&lt;B2345)),"Evento anterior à entrada",IF(AND(F2345&lt;&gt;"",E2345=""),"Conversa sem agendamento",IF(OR(E2345&gt;TODAY(),F2345&gt;TODAY()),"Verificar evento futuro","OK"))))))</f>
        <v/>
      </c>
    </row>
    <row r="2346" spans="9:12">
      <c r="I2346" s="5">
        <f>IF(OR(A2346="",B2346=""),"",B2346-WEEKDAY(B2346,2)+1)</f>
        <v/>
      </c>
      <c r="J2346" s="5">
        <f>IF(I2346="","",I2346+6)</f>
        <v/>
      </c>
      <c r="K2346" s="6">
        <f>IF(OR(A2346="",B2346=""),"",DATE(YEAR(B2346),MONTH(B2346),1))</f>
        <v/>
      </c>
      <c r="L2346" s="7">
        <f>IF(COUNTA(A2346,B2346)=0,"",IF(OR(A2346="",B2346=""),"Preencher CPF e entrada",IF(COUNTIFS($A$12:$A$5011,A2346,$B$12:$B$5011,B2346)&gt;1,"CPF + dia duplicado",IF(OR(AND(E2346&lt;&gt;"",E2346&lt;B2346),AND(F2346&lt;&gt;"",F2346&lt;B2346)),"Evento anterior à entrada",IF(AND(F2346&lt;&gt;"",E2346=""),"Conversa sem agendamento",IF(OR(E2346&gt;TODAY(),F2346&gt;TODAY()),"Verificar evento futuro","OK"))))))</f>
        <v/>
      </c>
    </row>
    <row r="2347" spans="9:12">
      <c r="I2347" s="5">
        <f>IF(OR(A2347="",B2347=""),"",B2347-WEEKDAY(B2347,2)+1)</f>
        <v/>
      </c>
      <c r="J2347" s="5">
        <f>IF(I2347="","",I2347+6)</f>
        <v/>
      </c>
      <c r="K2347" s="6">
        <f>IF(OR(A2347="",B2347=""),"",DATE(YEAR(B2347),MONTH(B2347),1))</f>
        <v/>
      </c>
      <c r="L2347" s="7">
        <f>IF(COUNTA(A2347,B2347)=0,"",IF(OR(A2347="",B2347=""),"Preencher CPF e entrada",IF(COUNTIFS($A$12:$A$5011,A2347,$B$12:$B$5011,B2347)&gt;1,"CPF + dia duplicado",IF(OR(AND(E2347&lt;&gt;"",E2347&lt;B2347),AND(F2347&lt;&gt;"",F2347&lt;B2347)),"Evento anterior à entrada",IF(AND(F2347&lt;&gt;"",E2347=""),"Conversa sem agendamento",IF(OR(E2347&gt;TODAY(),F2347&gt;TODAY()),"Verificar evento futuro","OK"))))))</f>
        <v/>
      </c>
    </row>
    <row r="2348" spans="9:12">
      <c r="I2348" s="5">
        <f>IF(OR(A2348="",B2348=""),"",B2348-WEEKDAY(B2348,2)+1)</f>
        <v/>
      </c>
      <c r="J2348" s="5">
        <f>IF(I2348="","",I2348+6)</f>
        <v/>
      </c>
      <c r="K2348" s="6">
        <f>IF(OR(A2348="",B2348=""),"",DATE(YEAR(B2348),MONTH(B2348),1))</f>
        <v/>
      </c>
      <c r="L2348" s="7">
        <f>IF(COUNTA(A2348,B2348)=0,"",IF(OR(A2348="",B2348=""),"Preencher CPF e entrada",IF(COUNTIFS($A$12:$A$5011,A2348,$B$12:$B$5011,B2348)&gt;1,"CPF + dia duplicado",IF(OR(AND(E2348&lt;&gt;"",E2348&lt;B2348),AND(F2348&lt;&gt;"",F2348&lt;B2348)),"Evento anterior à entrada",IF(AND(F2348&lt;&gt;"",E2348=""),"Conversa sem agendamento",IF(OR(E2348&gt;TODAY(),F2348&gt;TODAY()),"Verificar evento futuro","OK"))))))</f>
        <v/>
      </c>
    </row>
    <row r="2349" spans="9:12">
      <c r="I2349" s="5">
        <f>IF(OR(A2349="",B2349=""),"",B2349-WEEKDAY(B2349,2)+1)</f>
        <v/>
      </c>
      <c r="J2349" s="5">
        <f>IF(I2349="","",I2349+6)</f>
        <v/>
      </c>
      <c r="K2349" s="6">
        <f>IF(OR(A2349="",B2349=""),"",DATE(YEAR(B2349),MONTH(B2349),1))</f>
        <v/>
      </c>
      <c r="L2349" s="7">
        <f>IF(COUNTA(A2349,B2349)=0,"",IF(OR(A2349="",B2349=""),"Preencher CPF e entrada",IF(COUNTIFS($A$12:$A$5011,A2349,$B$12:$B$5011,B2349)&gt;1,"CPF + dia duplicado",IF(OR(AND(E2349&lt;&gt;"",E2349&lt;B2349),AND(F2349&lt;&gt;"",F2349&lt;B2349)),"Evento anterior à entrada",IF(AND(F2349&lt;&gt;"",E2349=""),"Conversa sem agendamento",IF(OR(E2349&gt;TODAY(),F2349&gt;TODAY()),"Verificar evento futuro","OK"))))))</f>
        <v/>
      </c>
    </row>
    <row r="2350" spans="9:12">
      <c r="I2350" s="5">
        <f>IF(OR(A2350="",B2350=""),"",B2350-WEEKDAY(B2350,2)+1)</f>
        <v/>
      </c>
      <c r="J2350" s="5">
        <f>IF(I2350="","",I2350+6)</f>
        <v/>
      </c>
      <c r="K2350" s="6">
        <f>IF(OR(A2350="",B2350=""),"",DATE(YEAR(B2350),MONTH(B2350),1))</f>
        <v/>
      </c>
      <c r="L2350" s="7">
        <f>IF(COUNTA(A2350,B2350)=0,"",IF(OR(A2350="",B2350=""),"Preencher CPF e entrada",IF(COUNTIFS($A$12:$A$5011,A2350,$B$12:$B$5011,B2350)&gt;1,"CPF + dia duplicado",IF(OR(AND(E2350&lt;&gt;"",E2350&lt;B2350),AND(F2350&lt;&gt;"",F2350&lt;B2350)),"Evento anterior à entrada",IF(AND(F2350&lt;&gt;"",E2350=""),"Conversa sem agendamento",IF(OR(E2350&gt;TODAY(),F2350&gt;TODAY()),"Verificar evento futuro","OK"))))))</f>
        <v/>
      </c>
    </row>
    <row r="2351" spans="9:12">
      <c r="I2351" s="5">
        <f>IF(OR(A2351="",B2351=""),"",B2351-WEEKDAY(B2351,2)+1)</f>
        <v/>
      </c>
      <c r="J2351" s="5">
        <f>IF(I2351="","",I2351+6)</f>
        <v/>
      </c>
      <c r="K2351" s="6">
        <f>IF(OR(A2351="",B2351=""),"",DATE(YEAR(B2351),MONTH(B2351),1))</f>
        <v/>
      </c>
      <c r="L2351" s="7">
        <f>IF(COUNTA(A2351,B2351)=0,"",IF(OR(A2351="",B2351=""),"Preencher CPF e entrada",IF(COUNTIFS($A$12:$A$5011,A2351,$B$12:$B$5011,B2351)&gt;1,"CPF + dia duplicado",IF(OR(AND(E2351&lt;&gt;"",E2351&lt;B2351),AND(F2351&lt;&gt;"",F2351&lt;B2351)),"Evento anterior à entrada",IF(AND(F2351&lt;&gt;"",E2351=""),"Conversa sem agendamento",IF(OR(E2351&gt;TODAY(),F2351&gt;TODAY()),"Verificar evento futuro","OK"))))))</f>
        <v/>
      </c>
    </row>
    <row r="2352" spans="9:12">
      <c r="I2352" s="5">
        <f>IF(OR(A2352="",B2352=""),"",B2352-WEEKDAY(B2352,2)+1)</f>
        <v/>
      </c>
      <c r="J2352" s="5">
        <f>IF(I2352="","",I2352+6)</f>
        <v/>
      </c>
      <c r="K2352" s="6">
        <f>IF(OR(A2352="",B2352=""),"",DATE(YEAR(B2352),MONTH(B2352),1))</f>
        <v/>
      </c>
      <c r="L2352" s="7">
        <f>IF(COUNTA(A2352,B2352)=0,"",IF(OR(A2352="",B2352=""),"Preencher CPF e entrada",IF(COUNTIFS($A$12:$A$5011,A2352,$B$12:$B$5011,B2352)&gt;1,"CPF + dia duplicado",IF(OR(AND(E2352&lt;&gt;"",E2352&lt;B2352),AND(F2352&lt;&gt;"",F2352&lt;B2352)),"Evento anterior à entrada",IF(AND(F2352&lt;&gt;"",E2352=""),"Conversa sem agendamento",IF(OR(E2352&gt;TODAY(),F2352&gt;TODAY()),"Verificar evento futuro","OK"))))))</f>
        <v/>
      </c>
    </row>
    <row r="2353" spans="9:12">
      <c r="I2353" s="5">
        <f>IF(OR(A2353="",B2353=""),"",B2353-WEEKDAY(B2353,2)+1)</f>
        <v/>
      </c>
      <c r="J2353" s="5">
        <f>IF(I2353="","",I2353+6)</f>
        <v/>
      </c>
      <c r="K2353" s="6">
        <f>IF(OR(A2353="",B2353=""),"",DATE(YEAR(B2353),MONTH(B2353),1))</f>
        <v/>
      </c>
      <c r="L2353" s="7">
        <f>IF(COUNTA(A2353,B2353)=0,"",IF(OR(A2353="",B2353=""),"Preencher CPF e entrada",IF(COUNTIFS($A$12:$A$5011,A2353,$B$12:$B$5011,B2353)&gt;1,"CPF + dia duplicado",IF(OR(AND(E2353&lt;&gt;"",E2353&lt;B2353),AND(F2353&lt;&gt;"",F2353&lt;B2353)),"Evento anterior à entrada",IF(AND(F2353&lt;&gt;"",E2353=""),"Conversa sem agendamento",IF(OR(E2353&gt;TODAY(),F2353&gt;TODAY()),"Verificar evento futuro","OK"))))))</f>
        <v/>
      </c>
    </row>
    <row r="2354" spans="9:12">
      <c r="I2354" s="5">
        <f>IF(OR(A2354="",B2354=""),"",B2354-WEEKDAY(B2354,2)+1)</f>
        <v/>
      </c>
      <c r="J2354" s="5">
        <f>IF(I2354="","",I2354+6)</f>
        <v/>
      </c>
      <c r="K2354" s="6">
        <f>IF(OR(A2354="",B2354=""),"",DATE(YEAR(B2354),MONTH(B2354),1))</f>
        <v/>
      </c>
      <c r="L2354" s="7">
        <f>IF(COUNTA(A2354,B2354)=0,"",IF(OR(A2354="",B2354=""),"Preencher CPF e entrada",IF(COUNTIFS($A$12:$A$5011,A2354,$B$12:$B$5011,B2354)&gt;1,"CPF + dia duplicado",IF(OR(AND(E2354&lt;&gt;"",E2354&lt;B2354),AND(F2354&lt;&gt;"",F2354&lt;B2354)),"Evento anterior à entrada",IF(AND(F2354&lt;&gt;"",E2354=""),"Conversa sem agendamento",IF(OR(E2354&gt;TODAY(),F2354&gt;TODAY()),"Verificar evento futuro","OK"))))))</f>
        <v/>
      </c>
    </row>
    <row r="2355" spans="9:12">
      <c r="I2355" s="5">
        <f>IF(OR(A2355="",B2355=""),"",B2355-WEEKDAY(B2355,2)+1)</f>
        <v/>
      </c>
      <c r="J2355" s="5">
        <f>IF(I2355="","",I2355+6)</f>
        <v/>
      </c>
      <c r="K2355" s="6">
        <f>IF(OR(A2355="",B2355=""),"",DATE(YEAR(B2355),MONTH(B2355),1))</f>
        <v/>
      </c>
      <c r="L2355" s="7">
        <f>IF(COUNTA(A2355,B2355)=0,"",IF(OR(A2355="",B2355=""),"Preencher CPF e entrada",IF(COUNTIFS($A$12:$A$5011,A2355,$B$12:$B$5011,B2355)&gt;1,"CPF + dia duplicado",IF(OR(AND(E2355&lt;&gt;"",E2355&lt;B2355),AND(F2355&lt;&gt;"",F2355&lt;B2355)),"Evento anterior à entrada",IF(AND(F2355&lt;&gt;"",E2355=""),"Conversa sem agendamento",IF(OR(E2355&gt;TODAY(),F2355&gt;TODAY()),"Verificar evento futuro","OK"))))))</f>
        <v/>
      </c>
    </row>
    <row r="2356" spans="9:12">
      <c r="I2356" s="5">
        <f>IF(OR(A2356="",B2356=""),"",B2356-WEEKDAY(B2356,2)+1)</f>
        <v/>
      </c>
      <c r="J2356" s="5">
        <f>IF(I2356="","",I2356+6)</f>
        <v/>
      </c>
      <c r="K2356" s="6">
        <f>IF(OR(A2356="",B2356=""),"",DATE(YEAR(B2356),MONTH(B2356),1))</f>
        <v/>
      </c>
      <c r="L2356" s="7">
        <f>IF(COUNTA(A2356,B2356)=0,"",IF(OR(A2356="",B2356=""),"Preencher CPF e entrada",IF(COUNTIFS($A$12:$A$5011,A2356,$B$12:$B$5011,B2356)&gt;1,"CPF + dia duplicado",IF(OR(AND(E2356&lt;&gt;"",E2356&lt;B2356),AND(F2356&lt;&gt;"",F2356&lt;B2356)),"Evento anterior à entrada",IF(AND(F2356&lt;&gt;"",E2356=""),"Conversa sem agendamento",IF(OR(E2356&gt;TODAY(),F2356&gt;TODAY()),"Verificar evento futuro","OK"))))))</f>
        <v/>
      </c>
    </row>
    <row r="2357" spans="9:12">
      <c r="I2357" s="5">
        <f>IF(OR(A2357="",B2357=""),"",B2357-WEEKDAY(B2357,2)+1)</f>
        <v/>
      </c>
      <c r="J2357" s="5">
        <f>IF(I2357="","",I2357+6)</f>
        <v/>
      </c>
      <c r="K2357" s="6">
        <f>IF(OR(A2357="",B2357=""),"",DATE(YEAR(B2357),MONTH(B2357),1))</f>
        <v/>
      </c>
      <c r="L2357" s="7">
        <f>IF(COUNTA(A2357,B2357)=0,"",IF(OR(A2357="",B2357=""),"Preencher CPF e entrada",IF(COUNTIFS($A$12:$A$5011,A2357,$B$12:$B$5011,B2357)&gt;1,"CPF + dia duplicado",IF(OR(AND(E2357&lt;&gt;"",E2357&lt;B2357),AND(F2357&lt;&gt;"",F2357&lt;B2357)),"Evento anterior à entrada",IF(AND(F2357&lt;&gt;"",E2357=""),"Conversa sem agendamento",IF(OR(E2357&gt;TODAY(),F2357&gt;TODAY()),"Verificar evento futuro","OK"))))))</f>
        <v/>
      </c>
    </row>
    <row r="2358" spans="9:12">
      <c r="I2358" s="5">
        <f>IF(OR(A2358="",B2358=""),"",B2358-WEEKDAY(B2358,2)+1)</f>
        <v/>
      </c>
      <c r="J2358" s="5">
        <f>IF(I2358="","",I2358+6)</f>
        <v/>
      </c>
      <c r="K2358" s="6">
        <f>IF(OR(A2358="",B2358=""),"",DATE(YEAR(B2358),MONTH(B2358),1))</f>
        <v/>
      </c>
      <c r="L2358" s="7">
        <f>IF(COUNTA(A2358,B2358)=0,"",IF(OR(A2358="",B2358=""),"Preencher CPF e entrada",IF(COUNTIFS($A$12:$A$5011,A2358,$B$12:$B$5011,B2358)&gt;1,"CPF + dia duplicado",IF(OR(AND(E2358&lt;&gt;"",E2358&lt;B2358),AND(F2358&lt;&gt;"",F2358&lt;B2358)),"Evento anterior à entrada",IF(AND(F2358&lt;&gt;"",E2358=""),"Conversa sem agendamento",IF(OR(E2358&gt;TODAY(),F2358&gt;TODAY()),"Verificar evento futuro","OK"))))))</f>
        <v/>
      </c>
    </row>
    <row r="2359" spans="9:12">
      <c r="I2359" s="5">
        <f>IF(OR(A2359="",B2359=""),"",B2359-WEEKDAY(B2359,2)+1)</f>
        <v/>
      </c>
      <c r="J2359" s="5">
        <f>IF(I2359="","",I2359+6)</f>
        <v/>
      </c>
      <c r="K2359" s="6">
        <f>IF(OR(A2359="",B2359=""),"",DATE(YEAR(B2359),MONTH(B2359),1))</f>
        <v/>
      </c>
      <c r="L2359" s="7">
        <f>IF(COUNTA(A2359,B2359)=0,"",IF(OR(A2359="",B2359=""),"Preencher CPF e entrada",IF(COUNTIFS($A$12:$A$5011,A2359,$B$12:$B$5011,B2359)&gt;1,"CPF + dia duplicado",IF(OR(AND(E2359&lt;&gt;"",E2359&lt;B2359),AND(F2359&lt;&gt;"",F2359&lt;B2359)),"Evento anterior à entrada",IF(AND(F2359&lt;&gt;"",E2359=""),"Conversa sem agendamento",IF(OR(E2359&gt;TODAY(),F2359&gt;TODAY()),"Verificar evento futuro","OK"))))))</f>
        <v/>
      </c>
    </row>
    <row r="2360" spans="9:12">
      <c r="I2360" s="5">
        <f>IF(OR(A2360="",B2360=""),"",B2360-WEEKDAY(B2360,2)+1)</f>
        <v/>
      </c>
      <c r="J2360" s="5">
        <f>IF(I2360="","",I2360+6)</f>
        <v/>
      </c>
      <c r="K2360" s="6">
        <f>IF(OR(A2360="",B2360=""),"",DATE(YEAR(B2360),MONTH(B2360),1))</f>
        <v/>
      </c>
      <c r="L2360" s="7">
        <f>IF(COUNTA(A2360,B2360)=0,"",IF(OR(A2360="",B2360=""),"Preencher CPF e entrada",IF(COUNTIFS($A$12:$A$5011,A2360,$B$12:$B$5011,B2360)&gt;1,"CPF + dia duplicado",IF(OR(AND(E2360&lt;&gt;"",E2360&lt;B2360),AND(F2360&lt;&gt;"",F2360&lt;B2360)),"Evento anterior à entrada",IF(AND(F2360&lt;&gt;"",E2360=""),"Conversa sem agendamento",IF(OR(E2360&gt;TODAY(),F2360&gt;TODAY()),"Verificar evento futuro","OK"))))))</f>
        <v/>
      </c>
    </row>
    <row r="2361" spans="9:12">
      <c r="I2361" s="5">
        <f>IF(OR(A2361="",B2361=""),"",B2361-WEEKDAY(B2361,2)+1)</f>
        <v/>
      </c>
      <c r="J2361" s="5">
        <f>IF(I2361="","",I2361+6)</f>
        <v/>
      </c>
      <c r="K2361" s="6">
        <f>IF(OR(A2361="",B2361=""),"",DATE(YEAR(B2361),MONTH(B2361),1))</f>
        <v/>
      </c>
      <c r="L2361" s="7">
        <f>IF(COUNTA(A2361,B2361)=0,"",IF(OR(A2361="",B2361=""),"Preencher CPF e entrada",IF(COUNTIFS($A$12:$A$5011,A2361,$B$12:$B$5011,B2361)&gt;1,"CPF + dia duplicado",IF(OR(AND(E2361&lt;&gt;"",E2361&lt;B2361),AND(F2361&lt;&gt;"",F2361&lt;B2361)),"Evento anterior à entrada",IF(AND(F2361&lt;&gt;"",E2361=""),"Conversa sem agendamento",IF(OR(E2361&gt;TODAY(),F2361&gt;TODAY()),"Verificar evento futuro","OK"))))))</f>
        <v/>
      </c>
    </row>
    <row r="2362" spans="9:12">
      <c r="I2362" s="5">
        <f>IF(OR(A2362="",B2362=""),"",B2362-WEEKDAY(B2362,2)+1)</f>
        <v/>
      </c>
      <c r="J2362" s="5">
        <f>IF(I2362="","",I2362+6)</f>
        <v/>
      </c>
      <c r="K2362" s="6">
        <f>IF(OR(A2362="",B2362=""),"",DATE(YEAR(B2362),MONTH(B2362),1))</f>
        <v/>
      </c>
      <c r="L2362" s="7">
        <f>IF(COUNTA(A2362,B2362)=0,"",IF(OR(A2362="",B2362=""),"Preencher CPF e entrada",IF(COUNTIFS($A$12:$A$5011,A2362,$B$12:$B$5011,B2362)&gt;1,"CPF + dia duplicado",IF(OR(AND(E2362&lt;&gt;"",E2362&lt;B2362),AND(F2362&lt;&gt;"",F2362&lt;B2362)),"Evento anterior à entrada",IF(AND(F2362&lt;&gt;"",E2362=""),"Conversa sem agendamento",IF(OR(E2362&gt;TODAY(),F2362&gt;TODAY()),"Verificar evento futuro","OK"))))))</f>
        <v/>
      </c>
    </row>
    <row r="2363" spans="9:12">
      <c r="I2363" s="5">
        <f>IF(OR(A2363="",B2363=""),"",B2363-WEEKDAY(B2363,2)+1)</f>
        <v/>
      </c>
      <c r="J2363" s="5">
        <f>IF(I2363="","",I2363+6)</f>
        <v/>
      </c>
      <c r="K2363" s="6">
        <f>IF(OR(A2363="",B2363=""),"",DATE(YEAR(B2363),MONTH(B2363),1))</f>
        <v/>
      </c>
      <c r="L2363" s="7">
        <f>IF(COUNTA(A2363,B2363)=0,"",IF(OR(A2363="",B2363=""),"Preencher CPF e entrada",IF(COUNTIFS($A$12:$A$5011,A2363,$B$12:$B$5011,B2363)&gt;1,"CPF + dia duplicado",IF(OR(AND(E2363&lt;&gt;"",E2363&lt;B2363),AND(F2363&lt;&gt;"",F2363&lt;B2363)),"Evento anterior à entrada",IF(AND(F2363&lt;&gt;"",E2363=""),"Conversa sem agendamento",IF(OR(E2363&gt;TODAY(),F2363&gt;TODAY()),"Verificar evento futuro","OK"))))))</f>
        <v/>
      </c>
    </row>
    <row r="2364" spans="9:12">
      <c r="I2364" s="5">
        <f>IF(OR(A2364="",B2364=""),"",B2364-WEEKDAY(B2364,2)+1)</f>
        <v/>
      </c>
      <c r="J2364" s="5">
        <f>IF(I2364="","",I2364+6)</f>
        <v/>
      </c>
      <c r="K2364" s="6">
        <f>IF(OR(A2364="",B2364=""),"",DATE(YEAR(B2364),MONTH(B2364),1))</f>
        <v/>
      </c>
      <c r="L2364" s="7">
        <f>IF(COUNTA(A2364,B2364)=0,"",IF(OR(A2364="",B2364=""),"Preencher CPF e entrada",IF(COUNTIFS($A$12:$A$5011,A2364,$B$12:$B$5011,B2364)&gt;1,"CPF + dia duplicado",IF(OR(AND(E2364&lt;&gt;"",E2364&lt;B2364),AND(F2364&lt;&gt;"",F2364&lt;B2364)),"Evento anterior à entrada",IF(AND(F2364&lt;&gt;"",E2364=""),"Conversa sem agendamento",IF(OR(E2364&gt;TODAY(),F2364&gt;TODAY()),"Verificar evento futuro","OK"))))))</f>
        <v/>
      </c>
    </row>
    <row r="2365" spans="9:12">
      <c r="I2365" s="5">
        <f>IF(OR(A2365="",B2365=""),"",B2365-WEEKDAY(B2365,2)+1)</f>
        <v/>
      </c>
      <c r="J2365" s="5">
        <f>IF(I2365="","",I2365+6)</f>
        <v/>
      </c>
      <c r="K2365" s="6">
        <f>IF(OR(A2365="",B2365=""),"",DATE(YEAR(B2365),MONTH(B2365),1))</f>
        <v/>
      </c>
      <c r="L2365" s="7">
        <f>IF(COUNTA(A2365,B2365)=0,"",IF(OR(A2365="",B2365=""),"Preencher CPF e entrada",IF(COUNTIFS($A$12:$A$5011,A2365,$B$12:$B$5011,B2365)&gt;1,"CPF + dia duplicado",IF(OR(AND(E2365&lt;&gt;"",E2365&lt;B2365),AND(F2365&lt;&gt;"",F2365&lt;B2365)),"Evento anterior à entrada",IF(AND(F2365&lt;&gt;"",E2365=""),"Conversa sem agendamento",IF(OR(E2365&gt;TODAY(),F2365&gt;TODAY()),"Verificar evento futuro","OK"))))))</f>
        <v/>
      </c>
    </row>
    <row r="2366" spans="9:12">
      <c r="I2366" s="5">
        <f>IF(OR(A2366="",B2366=""),"",B2366-WEEKDAY(B2366,2)+1)</f>
        <v/>
      </c>
      <c r="J2366" s="5">
        <f>IF(I2366="","",I2366+6)</f>
        <v/>
      </c>
      <c r="K2366" s="6">
        <f>IF(OR(A2366="",B2366=""),"",DATE(YEAR(B2366),MONTH(B2366),1))</f>
        <v/>
      </c>
      <c r="L2366" s="7">
        <f>IF(COUNTA(A2366,B2366)=0,"",IF(OR(A2366="",B2366=""),"Preencher CPF e entrada",IF(COUNTIFS($A$12:$A$5011,A2366,$B$12:$B$5011,B2366)&gt;1,"CPF + dia duplicado",IF(OR(AND(E2366&lt;&gt;"",E2366&lt;B2366),AND(F2366&lt;&gt;"",F2366&lt;B2366)),"Evento anterior à entrada",IF(AND(F2366&lt;&gt;"",E2366=""),"Conversa sem agendamento",IF(OR(E2366&gt;TODAY(),F2366&gt;TODAY()),"Verificar evento futuro","OK"))))))</f>
        <v/>
      </c>
    </row>
    <row r="2367" spans="9:12">
      <c r="I2367" s="5">
        <f>IF(OR(A2367="",B2367=""),"",B2367-WEEKDAY(B2367,2)+1)</f>
        <v/>
      </c>
      <c r="J2367" s="5">
        <f>IF(I2367="","",I2367+6)</f>
        <v/>
      </c>
      <c r="K2367" s="6">
        <f>IF(OR(A2367="",B2367=""),"",DATE(YEAR(B2367),MONTH(B2367),1))</f>
        <v/>
      </c>
      <c r="L2367" s="7">
        <f>IF(COUNTA(A2367,B2367)=0,"",IF(OR(A2367="",B2367=""),"Preencher CPF e entrada",IF(COUNTIFS($A$12:$A$5011,A2367,$B$12:$B$5011,B2367)&gt;1,"CPF + dia duplicado",IF(OR(AND(E2367&lt;&gt;"",E2367&lt;B2367),AND(F2367&lt;&gt;"",F2367&lt;B2367)),"Evento anterior à entrada",IF(AND(F2367&lt;&gt;"",E2367=""),"Conversa sem agendamento",IF(OR(E2367&gt;TODAY(),F2367&gt;TODAY()),"Verificar evento futuro","OK"))))))</f>
        <v/>
      </c>
    </row>
    <row r="2368" spans="9:12">
      <c r="I2368" s="5">
        <f>IF(OR(A2368="",B2368=""),"",B2368-WEEKDAY(B2368,2)+1)</f>
        <v/>
      </c>
      <c r="J2368" s="5">
        <f>IF(I2368="","",I2368+6)</f>
        <v/>
      </c>
      <c r="K2368" s="6">
        <f>IF(OR(A2368="",B2368=""),"",DATE(YEAR(B2368),MONTH(B2368),1))</f>
        <v/>
      </c>
      <c r="L2368" s="7">
        <f>IF(COUNTA(A2368,B2368)=0,"",IF(OR(A2368="",B2368=""),"Preencher CPF e entrada",IF(COUNTIFS($A$12:$A$5011,A2368,$B$12:$B$5011,B2368)&gt;1,"CPF + dia duplicado",IF(OR(AND(E2368&lt;&gt;"",E2368&lt;B2368),AND(F2368&lt;&gt;"",F2368&lt;B2368)),"Evento anterior à entrada",IF(AND(F2368&lt;&gt;"",E2368=""),"Conversa sem agendamento",IF(OR(E2368&gt;TODAY(),F2368&gt;TODAY()),"Verificar evento futuro","OK"))))))</f>
        <v/>
      </c>
    </row>
    <row r="2369" spans="9:12">
      <c r="I2369" s="5">
        <f>IF(OR(A2369="",B2369=""),"",B2369-WEEKDAY(B2369,2)+1)</f>
        <v/>
      </c>
      <c r="J2369" s="5">
        <f>IF(I2369="","",I2369+6)</f>
        <v/>
      </c>
      <c r="K2369" s="6">
        <f>IF(OR(A2369="",B2369=""),"",DATE(YEAR(B2369),MONTH(B2369),1))</f>
        <v/>
      </c>
      <c r="L2369" s="7">
        <f>IF(COUNTA(A2369,B2369)=0,"",IF(OR(A2369="",B2369=""),"Preencher CPF e entrada",IF(COUNTIFS($A$12:$A$5011,A2369,$B$12:$B$5011,B2369)&gt;1,"CPF + dia duplicado",IF(OR(AND(E2369&lt;&gt;"",E2369&lt;B2369),AND(F2369&lt;&gt;"",F2369&lt;B2369)),"Evento anterior à entrada",IF(AND(F2369&lt;&gt;"",E2369=""),"Conversa sem agendamento",IF(OR(E2369&gt;TODAY(),F2369&gt;TODAY()),"Verificar evento futuro","OK"))))))</f>
        <v/>
      </c>
    </row>
    <row r="2370" spans="9:12">
      <c r="I2370" s="5">
        <f>IF(OR(A2370="",B2370=""),"",B2370-WEEKDAY(B2370,2)+1)</f>
        <v/>
      </c>
      <c r="J2370" s="5">
        <f>IF(I2370="","",I2370+6)</f>
        <v/>
      </c>
      <c r="K2370" s="6">
        <f>IF(OR(A2370="",B2370=""),"",DATE(YEAR(B2370),MONTH(B2370),1))</f>
        <v/>
      </c>
      <c r="L2370" s="7">
        <f>IF(COUNTA(A2370,B2370)=0,"",IF(OR(A2370="",B2370=""),"Preencher CPF e entrada",IF(COUNTIFS($A$12:$A$5011,A2370,$B$12:$B$5011,B2370)&gt;1,"CPF + dia duplicado",IF(OR(AND(E2370&lt;&gt;"",E2370&lt;B2370),AND(F2370&lt;&gt;"",F2370&lt;B2370)),"Evento anterior à entrada",IF(AND(F2370&lt;&gt;"",E2370=""),"Conversa sem agendamento",IF(OR(E2370&gt;TODAY(),F2370&gt;TODAY()),"Verificar evento futuro","OK"))))))</f>
        <v/>
      </c>
    </row>
    <row r="2371" spans="9:12">
      <c r="I2371" s="5">
        <f>IF(OR(A2371="",B2371=""),"",B2371-WEEKDAY(B2371,2)+1)</f>
        <v/>
      </c>
      <c r="J2371" s="5">
        <f>IF(I2371="","",I2371+6)</f>
        <v/>
      </c>
      <c r="K2371" s="6">
        <f>IF(OR(A2371="",B2371=""),"",DATE(YEAR(B2371),MONTH(B2371),1))</f>
        <v/>
      </c>
      <c r="L2371" s="7">
        <f>IF(COUNTA(A2371,B2371)=0,"",IF(OR(A2371="",B2371=""),"Preencher CPF e entrada",IF(COUNTIFS($A$12:$A$5011,A2371,$B$12:$B$5011,B2371)&gt;1,"CPF + dia duplicado",IF(OR(AND(E2371&lt;&gt;"",E2371&lt;B2371),AND(F2371&lt;&gt;"",F2371&lt;B2371)),"Evento anterior à entrada",IF(AND(F2371&lt;&gt;"",E2371=""),"Conversa sem agendamento",IF(OR(E2371&gt;TODAY(),F2371&gt;TODAY()),"Verificar evento futuro","OK"))))))</f>
        <v/>
      </c>
    </row>
    <row r="2372" spans="9:12">
      <c r="I2372" s="5">
        <f>IF(OR(A2372="",B2372=""),"",B2372-WEEKDAY(B2372,2)+1)</f>
        <v/>
      </c>
      <c r="J2372" s="5">
        <f>IF(I2372="","",I2372+6)</f>
        <v/>
      </c>
      <c r="K2372" s="6">
        <f>IF(OR(A2372="",B2372=""),"",DATE(YEAR(B2372),MONTH(B2372),1))</f>
        <v/>
      </c>
      <c r="L2372" s="7">
        <f>IF(COUNTA(A2372,B2372)=0,"",IF(OR(A2372="",B2372=""),"Preencher CPF e entrada",IF(COUNTIFS($A$12:$A$5011,A2372,$B$12:$B$5011,B2372)&gt;1,"CPF + dia duplicado",IF(OR(AND(E2372&lt;&gt;"",E2372&lt;B2372),AND(F2372&lt;&gt;"",F2372&lt;B2372)),"Evento anterior à entrada",IF(AND(F2372&lt;&gt;"",E2372=""),"Conversa sem agendamento",IF(OR(E2372&gt;TODAY(),F2372&gt;TODAY()),"Verificar evento futuro","OK"))))))</f>
        <v/>
      </c>
    </row>
    <row r="2373" spans="9:12">
      <c r="I2373" s="5">
        <f>IF(OR(A2373="",B2373=""),"",B2373-WEEKDAY(B2373,2)+1)</f>
        <v/>
      </c>
      <c r="J2373" s="5">
        <f>IF(I2373="","",I2373+6)</f>
        <v/>
      </c>
      <c r="K2373" s="6">
        <f>IF(OR(A2373="",B2373=""),"",DATE(YEAR(B2373),MONTH(B2373),1))</f>
        <v/>
      </c>
      <c r="L2373" s="7">
        <f>IF(COUNTA(A2373,B2373)=0,"",IF(OR(A2373="",B2373=""),"Preencher CPF e entrada",IF(COUNTIFS($A$12:$A$5011,A2373,$B$12:$B$5011,B2373)&gt;1,"CPF + dia duplicado",IF(OR(AND(E2373&lt;&gt;"",E2373&lt;B2373),AND(F2373&lt;&gt;"",F2373&lt;B2373)),"Evento anterior à entrada",IF(AND(F2373&lt;&gt;"",E2373=""),"Conversa sem agendamento",IF(OR(E2373&gt;TODAY(),F2373&gt;TODAY()),"Verificar evento futuro","OK"))))))</f>
        <v/>
      </c>
    </row>
    <row r="2374" spans="9:12">
      <c r="I2374" s="5">
        <f>IF(OR(A2374="",B2374=""),"",B2374-WEEKDAY(B2374,2)+1)</f>
        <v/>
      </c>
      <c r="J2374" s="5">
        <f>IF(I2374="","",I2374+6)</f>
        <v/>
      </c>
      <c r="K2374" s="6">
        <f>IF(OR(A2374="",B2374=""),"",DATE(YEAR(B2374),MONTH(B2374),1))</f>
        <v/>
      </c>
      <c r="L2374" s="7">
        <f>IF(COUNTA(A2374,B2374)=0,"",IF(OR(A2374="",B2374=""),"Preencher CPF e entrada",IF(COUNTIFS($A$12:$A$5011,A2374,$B$12:$B$5011,B2374)&gt;1,"CPF + dia duplicado",IF(OR(AND(E2374&lt;&gt;"",E2374&lt;B2374),AND(F2374&lt;&gt;"",F2374&lt;B2374)),"Evento anterior à entrada",IF(AND(F2374&lt;&gt;"",E2374=""),"Conversa sem agendamento",IF(OR(E2374&gt;TODAY(),F2374&gt;TODAY()),"Verificar evento futuro","OK"))))))</f>
        <v/>
      </c>
    </row>
    <row r="2375" spans="9:12">
      <c r="I2375" s="5">
        <f>IF(OR(A2375="",B2375=""),"",B2375-WEEKDAY(B2375,2)+1)</f>
        <v/>
      </c>
      <c r="J2375" s="5">
        <f>IF(I2375="","",I2375+6)</f>
        <v/>
      </c>
      <c r="K2375" s="6">
        <f>IF(OR(A2375="",B2375=""),"",DATE(YEAR(B2375),MONTH(B2375),1))</f>
        <v/>
      </c>
      <c r="L2375" s="7">
        <f>IF(COUNTA(A2375,B2375)=0,"",IF(OR(A2375="",B2375=""),"Preencher CPF e entrada",IF(COUNTIFS($A$12:$A$5011,A2375,$B$12:$B$5011,B2375)&gt;1,"CPF + dia duplicado",IF(OR(AND(E2375&lt;&gt;"",E2375&lt;B2375),AND(F2375&lt;&gt;"",F2375&lt;B2375)),"Evento anterior à entrada",IF(AND(F2375&lt;&gt;"",E2375=""),"Conversa sem agendamento",IF(OR(E2375&gt;TODAY(),F2375&gt;TODAY()),"Verificar evento futuro","OK"))))))</f>
        <v/>
      </c>
    </row>
    <row r="2376" spans="9:12">
      <c r="I2376" s="5">
        <f>IF(OR(A2376="",B2376=""),"",B2376-WEEKDAY(B2376,2)+1)</f>
        <v/>
      </c>
      <c r="J2376" s="5">
        <f>IF(I2376="","",I2376+6)</f>
        <v/>
      </c>
      <c r="K2376" s="6">
        <f>IF(OR(A2376="",B2376=""),"",DATE(YEAR(B2376),MONTH(B2376),1))</f>
        <v/>
      </c>
      <c r="L2376" s="7">
        <f>IF(COUNTA(A2376,B2376)=0,"",IF(OR(A2376="",B2376=""),"Preencher CPF e entrada",IF(COUNTIFS($A$12:$A$5011,A2376,$B$12:$B$5011,B2376)&gt;1,"CPF + dia duplicado",IF(OR(AND(E2376&lt;&gt;"",E2376&lt;B2376),AND(F2376&lt;&gt;"",F2376&lt;B2376)),"Evento anterior à entrada",IF(AND(F2376&lt;&gt;"",E2376=""),"Conversa sem agendamento",IF(OR(E2376&gt;TODAY(),F2376&gt;TODAY()),"Verificar evento futuro","OK"))))))</f>
        <v/>
      </c>
    </row>
    <row r="2377" spans="9:12">
      <c r="I2377" s="5">
        <f>IF(OR(A2377="",B2377=""),"",B2377-WEEKDAY(B2377,2)+1)</f>
        <v/>
      </c>
      <c r="J2377" s="5">
        <f>IF(I2377="","",I2377+6)</f>
        <v/>
      </c>
      <c r="K2377" s="6">
        <f>IF(OR(A2377="",B2377=""),"",DATE(YEAR(B2377),MONTH(B2377),1))</f>
        <v/>
      </c>
      <c r="L2377" s="7">
        <f>IF(COUNTA(A2377,B2377)=0,"",IF(OR(A2377="",B2377=""),"Preencher CPF e entrada",IF(COUNTIFS($A$12:$A$5011,A2377,$B$12:$B$5011,B2377)&gt;1,"CPF + dia duplicado",IF(OR(AND(E2377&lt;&gt;"",E2377&lt;B2377),AND(F2377&lt;&gt;"",F2377&lt;B2377)),"Evento anterior à entrada",IF(AND(F2377&lt;&gt;"",E2377=""),"Conversa sem agendamento",IF(OR(E2377&gt;TODAY(),F2377&gt;TODAY()),"Verificar evento futuro","OK"))))))</f>
        <v/>
      </c>
    </row>
    <row r="2378" spans="9:12">
      <c r="I2378" s="5">
        <f>IF(OR(A2378="",B2378=""),"",B2378-WEEKDAY(B2378,2)+1)</f>
        <v/>
      </c>
      <c r="J2378" s="5">
        <f>IF(I2378="","",I2378+6)</f>
        <v/>
      </c>
      <c r="K2378" s="6">
        <f>IF(OR(A2378="",B2378=""),"",DATE(YEAR(B2378),MONTH(B2378),1))</f>
        <v/>
      </c>
      <c r="L2378" s="7">
        <f>IF(COUNTA(A2378,B2378)=0,"",IF(OR(A2378="",B2378=""),"Preencher CPF e entrada",IF(COUNTIFS($A$12:$A$5011,A2378,$B$12:$B$5011,B2378)&gt;1,"CPF + dia duplicado",IF(OR(AND(E2378&lt;&gt;"",E2378&lt;B2378),AND(F2378&lt;&gt;"",F2378&lt;B2378)),"Evento anterior à entrada",IF(AND(F2378&lt;&gt;"",E2378=""),"Conversa sem agendamento",IF(OR(E2378&gt;TODAY(),F2378&gt;TODAY()),"Verificar evento futuro","OK"))))))</f>
        <v/>
      </c>
    </row>
    <row r="2379" spans="9:12">
      <c r="I2379" s="5">
        <f>IF(OR(A2379="",B2379=""),"",B2379-WEEKDAY(B2379,2)+1)</f>
        <v/>
      </c>
      <c r="J2379" s="5">
        <f>IF(I2379="","",I2379+6)</f>
        <v/>
      </c>
      <c r="K2379" s="6">
        <f>IF(OR(A2379="",B2379=""),"",DATE(YEAR(B2379),MONTH(B2379),1))</f>
        <v/>
      </c>
      <c r="L2379" s="7">
        <f>IF(COUNTA(A2379,B2379)=0,"",IF(OR(A2379="",B2379=""),"Preencher CPF e entrada",IF(COUNTIFS($A$12:$A$5011,A2379,$B$12:$B$5011,B2379)&gt;1,"CPF + dia duplicado",IF(OR(AND(E2379&lt;&gt;"",E2379&lt;B2379),AND(F2379&lt;&gt;"",F2379&lt;B2379)),"Evento anterior à entrada",IF(AND(F2379&lt;&gt;"",E2379=""),"Conversa sem agendamento",IF(OR(E2379&gt;TODAY(),F2379&gt;TODAY()),"Verificar evento futuro","OK"))))))</f>
        <v/>
      </c>
    </row>
    <row r="2380" spans="9:12">
      <c r="I2380" s="5">
        <f>IF(OR(A2380="",B2380=""),"",B2380-WEEKDAY(B2380,2)+1)</f>
        <v/>
      </c>
      <c r="J2380" s="5">
        <f>IF(I2380="","",I2380+6)</f>
        <v/>
      </c>
      <c r="K2380" s="6">
        <f>IF(OR(A2380="",B2380=""),"",DATE(YEAR(B2380),MONTH(B2380),1))</f>
        <v/>
      </c>
      <c r="L2380" s="7">
        <f>IF(COUNTA(A2380,B2380)=0,"",IF(OR(A2380="",B2380=""),"Preencher CPF e entrada",IF(COUNTIFS($A$12:$A$5011,A2380,$B$12:$B$5011,B2380)&gt;1,"CPF + dia duplicado",IF(OR(AND(E2380&lt;&gt;"",E2380&lt;B2380),AND(F2380&lt;&gt;"",F2380&lt;B2380)),"Evento anterior à entrada",IF(AND(F2380&lt;&gt;"",E2380=""),"Conversa sem agendamento",IF(OR(E2380&gt;TODAY(),F2380&gt;TODAY()),"Verificar evento futuro","OK"))))))</f>
        <v/>
      </c>
    </row>
    <row r="2381" spans="9:12">
      <c r="I2381" s="5">
        <f>IF(OR(A2381="",B2381=""),"",B2381-WEEKDAY(B2381,2)+1)</f>
        <v/>
      </c>
      <c r="J2381" s="5">
        <f>IF(I2381="","",I2381+6)</f>
        <v/>
      </c>
      <c r="K2381" s="6">
        <f>IF(OR(A2381="",B2381=""),"",DATE(YEAR(B2381),MONTH(B2381),1))</f>
        <v/>
      </c>
      <c r="L2381" s="7">
        <f>IF(COUNTA(A2381,B2381)=0,"",IF(OR(A2381="",B2381=""),"Preencher CPF e entrada",IF(COUNTIFS($A$12:$A$5011,A2381,$B$12:$B$5011,B2381)&gt;1,"CPF + dia duplicado",IF(OR(AND(E2381&lt;&gt;"",E2381&lt;B2381),AND(F2381&lt;&gt;"",F2381&lt;B2381)),"Evento anterior à entrada",IF(AND(F2381&lt;&gt;"",E2381=""),"Conversa sem agendamento",IF(OR(E2381&gt;TODAY(),F2381&gt;TODAY()),"Verificar evento futuro","OK"))))))</f>
        <v/>
      </c>
    </row>
    <row r="2382" spans="9:12">
      <c r="I2382" s="5">
        <f>IF(OR(A2382="",B2382=""),"",B2382-WEEKDAY(B2382,2)+1)</f>
        <v/>
      </c>
      <c r="J2382" s="5">
        <f>IF(I2382="","",I2382+6)</f>
        <v/>
      </c>
      <c r="K2382" s="6">
        <f>IF(OR(A2382="",B2382=""),"",DATE(YEAR(B2382),MONTH(B2382),1))</f>
        <v/>
      </c>
      <c r="L2382" s="7">
        <f>IF(COUNTA(A2382,B2382)=0,"",IF(OR(A2382="",B2382=""),"Preencher CPF e entrada",IF(COUNTIFS($A$12:$A$5011,A2382,$B$12:$B$5011,B2382)&gt;1,"CPF + dia duplicado",IF(OR(AND(E2382&lt;&gt;"",E2382&lt;B2382),AND(F2382&lt;&gt;"",F2382&lt;B2382)),"Evento anterior à entrada",IF(AND(F2382&lt;&gt;"",E2382=""),"Conversa sem agendamento",IF(OR(E2382&gt;TODAY(),F2382&gt;TODAY()),"Verificar evento futuro","OK"))))))</f>
        <v/>
      </c>
    </row>
    <row r="2383" spans="9:12">
      <c r="I2383" s="5">
        <f>IF(OR(A2383="",B2383=""),"",B2383-WEEKDAY(B2383,2)+1)</f>
        <v/>
      </c>
      <c r="J2383" s="5">
        <f>IF(I2383="","",I2383+6)</f>
        <v/>
      </c>
      <c r="K2383" s="6">
        <f>IF(OR(A2383="",B2383=""),"",DATE(YEAR(B2383),MONTH(B2383),1))</f>
        <v/>
      </c>
      <c r="L2383" s="7">
        <f>IF(COUNTA(A2383,B2383)=0,"",IF(OR(A2383="",B2383=""),"Preencher CPF e entrada",IF(COUNTIFS($A$12:$A$5011,A2383,$B$12:$B$5011,B2383)&gt;1,"CPF + dia duplicado",IF(OR(AND(E2383&lt;&gt;"",E2383&lt;B2383),AND(F2383&lt;&gt;"",F2383&lt;B2383)),"Evento anterior à entrada",IF(AND(F2383&lt;&gt;"",E2383=""),"Conversa sem agendamento",IF(OR(E2383&gt;TODAY(),F2383&gt;TODAY()),"Verificar evento futuro","OK"))))))</f>
        <v/>
      </c>
    </row>
    <row r="2384" spans="9:12">
      <c r="I2384" s="5">
        <f>IF(OR(A2384="",B2384=""),"",B2384-WEEKDAY(B2384,2)+1)</f>
        <v/>
      </c>
      <c r="J2384" s="5">
        <f>IF(I2384="","",I2384+6)</f>
        <v/>
      </c>
      <c r="K2384" s="6">
        <f>IF(OR(A2384="",B2384=""),"",DATE(YEAR(B2384),MONTH(B2384),1))</f>
        <v/>
      </c>
      <c r="L2384" s="7">
        <f>IF(COUNTA(A2384,B2384)=0,"",IF(OR(A2384="",B2384=""),"Preencher CPF e entrada",IF(COUNTIFS($A$12:$A$5011,A2384,$B$12:$B$5011,B2384)&gt;1,"CPF + dia duplicado",IF(OR(AND(E2384&lt;&gt;"",E2384&lt;B2384),AND(F2384&lt;&gt;"",F2384&lt;B2384)),"Evento anterior à entrada",IF(AND(F2384&lt;&gt;"",E2384=""),"Conversa sem agendamento",IF(OR(E2384&gt;TODAY(),F2384&gt;TODAY()),"Verificar evento futuro","OK"))))))</f>
        <v/>
      </c>
    </row>
    <row r="2385" spans="9:12">
      <c r="I2385" s="5">
        <f>IF(OR(A2385="",B2385=""),"",B2385-WEEKDAY(B2385,2)+1)</f>
        <v/>
      </c>
      <c r="J2385" s="5">
        <f>IF(I2385="","",I2385+6)</f>
        <v/>
      </c>
      <c r="K2385" s="6">
        <f>IF(OR(A2385="",B2385=""),"",DATE(YEAR(B2385),MONTH(B2385),1))</f>
        <v/>
      </c>
      <c r="L2385" s="7">
        <f>IF(COUNTA(A2385,B2385)=0,"",IF(OR(A2385="",B2385=""),"Preencher CPF e entrada",IF(COUNTIFS($A$12:$A$5011,A2385,$B$12:$B$5011,B2385)&gt;1,"CPF + dia duplicado",IF(OR(AND(E2385&lt;&gt;"",E2385&lt;B2385),AND(F2385&lt;&gt;"",F2385&lt;B2385)),"Evento anterior à entrada",IF(AND(F2385&lt;&gt;"",E2385=""),"Conversa sem agendamento",IF(OR(E2385&gt;TODAY(),F2385&gt;TODAY()),"Verificar evento futuro","OK"))))))</f>
        <v/>
      </c>
    </row>
    <row r="2386" spans="9:12">
      <c r="I2386" s="5">
        <f>IF(OR(A2386="",B2386=""),"",B2386-WEEKDAY(B2386,2)+1)</f>
        <v/>
      </c>
      <c r="J2386" s="5">
        <f>IF(I2386="","",I2386+6)</f>
        <v/>
      </c>
      <c r="K2386" s="6">
        <f>IF(OR(A2386="",B2386=""),"",DATE(YEAR(B2386),MONTH(B2386),1))</f>
        <v/>
      </c>
      <c r="L2386" s="7">
        <f>IF(COUNTA(A2386,B2386)=0,"",IF(OR(A2386="",B2386=""),"Preencher CPF e entrada",IF(COUNTIFS($A$12:$A$5011,A2386,$B$12:$B$5011,B2386)&gt;1,"CPF + dia duplicado",IF(OR(AND(E2386&lt;&gt;"",E2386&lt;B2386),AND(F2386&lt;&gt;"",F2386&lt;B2386)),"Evento anterior à entrada",IF(AND(F2386&lt;&gt;"",E2386=""),"Conversa sem agendamento",IF(OR(E2386&gt;TODAY(),F2386&gt;TODAY()),"Verificar evento futuro","OK"))))))</f>
        <v/>
      </c>
    </row>
    <row r="2387" spans="9:12">
      <c r="I2387" s="5">
        <f>IF(OR(A2387="",B2387=""),"",B2387-WEEKDAY(B2387,2)+1)</f>
        <v/>
      </c>
      <c r="J2387" s="5">
        <f>IF(I2387="","",I2387+6)</f>
        <v/>
      </c>
      <c r="K2387" s="6">
        <f>IF(OR(A2387="",B2387=""),"",DATE(YEAR(B2387),MONTH(B2387),1))</f>
        <v/>
      </c>
      <c r="L2387" s="7">
        <f>IF(COUNTA(A2387,B2387)=0,"",IF(OR(A2387="",B2387=""),"Preencher CPF e entrada",IF(COUNTIFS($A$12:$A$5011,A2387,$B$12:$B$5011,B2387)&gt;1,"CPF + dia duplicado",IF(OR(AND(E2387&lt;&gt;"",E2387&lt;B2387),AND(F2387&lt;&gt;"",F2387&lt;B2387)),"Evento anterior à entrada",IF(AND(F2387&lt;&gt;"",E2387=""),"Conversa sem agendamento",IF(OR(E2387&gt;TODAY(),F2387&gt;TODAY()),"Verificar evento futuro","OK"))))))</f>
        <v/>
      </c>
    </row>
    <row r="2388" spans="9:12">
      <c r="I2388" s="5">
        <f>IF(OR(A2388="",B2388=""),"",B2388-WEEKDAY(B2388,2)+1)</f>
        <v/>
      </c>
      <c r="J2388" s="5">
        <f>IF(I2388="","",I2388+6)</f>
        <v/>
      </c>
      <c r="K2388" s="6">
        <f>IF(OR(A2388="",B2388=""),"",DATE(YEAR(B2388),MONTH(B2388),1))</f>
        <v/>
      </c>
      <c r="L2388" s="7">
        <f>IF(COUNTA(A2388,B2388)=0,"",IF(OR(A2388="",B2388=""),"Preencher CPF e entrada",IF(COUNTIFS($A$12:$A$5011,A2388,$B$12:$B$5011,B2388)&gt;1,"CPF + dia duplicado",IF(OR(AND(E2388&lt;&gt;"",E2388&lt;B2388),AND(F2388&lt;&gt;"",F2388&lt;B2388)),"Evento anterior à entrada",IF(AND(F2388&lt;&gt;"",E2388=""),"Conversa sem agendamento",IF(OR(E2388&gt;TODAY(),F2388&gt;TODAY()),"Verificar evento futuro","OK"))))))</f>
        <v/>
      </c>
    </row>
    <row r="2389" spans="9:12">
      <c r="I2389" s="5">
        <f>IF(OR(A2389="",B2389=""),"",B2389-WEEKDAY(B2389,2)+1)</f>
        <v/>
      </c>
      <c r="J2389" s="5">
        <f>IF(I2389="","",I2389+6)</f>
        <v/>
      </c>
      <c r="K2389" s="6">
        <f>IF(OR(A2389="",B2389=""),"",DATE(YEAR(B2389),MONTH(B2389),1))</f>
        <v/>
      </c>
      <c r="L2389" s="7">
        <f>IF(COUNTA(A2389,B2389)=0,"",IF(OR(A2389="",B2389=""),"Preencher CPF e entrada",IF(COUNTIFS($A$12:$A$5011,A2389,$B$12:$B$5011,B2389)&gt;1,"CPF + dia duplicado",IF(OR(AND(E2389&lt;&gt;"",E2389&lt;B2389),AND(F2389&lt;&gt;"",F2389&lt;B2389)),"Evento anterior à entrada",IF(AND(F2389&lt;&gt;"",E2389=""),"Conversa sem agendamento",IF(OR(E2389&gt;TODAY(),F2389&gt;TODAY()),"Verificar evento futuro","OK"))))))</f>
        <v/>
      </c>
    </row>
    <row r="2390" spans="9:12">
      <c r="I2390" s="5">
        <f>IF(OR(A2390="",B2390=""),"",B2390-WEEKDAY(B2390,2)+1)</f>
        <v/>
      </c>
      <c r="J2390" s="5">
        <f>IF(I2390="","",I2390+6)</f>
        <v/>
      </c>
      <c r="K2390" s="6">
        <f>IF(OR(A2390="",B2390=""),"",DATE(YEAR(B2390),MONTH(B2390),1))</f>
        <v/>
      </c>
      <c r="L2390" s="7">
        <f>IF(COUNTA(A2390,B2390)=0,"",IF(OR(A2390="",B2390=""),"Preencher CPF e entrada",IF(COUNTIFS($A$12:$A$5011,A2390,$B$12:$B$5011,B2390)&gt;1,"CPF + dia duplicado",IF(OR(AND(E2390&lt;&gt;"",E2390&lt;B2390),AND(F2390&lt;&gt;"",F2390&lt;B2390)),"Evento anterior à entrada",IF(AND(F2390&lt;&gt;"",E2390=""),"Conversa sem agendamento",IF(OR(E2390&gt;TODAY(),F2390&gt;TODAY()),"Verificar evento futuro","OK"))))))</f>
        <v/>
      </c>
    </row>
    <row r="2391" spans="9:12">
      <c r="I2391" s="5">
        <f>IF(OR(A2391="",B2391=""),"",B2391-WEEKDAY(B2391,2)+1)</f>
        <v/>
      </c>
      <c r="J2391" s="5">
        <f>IF(I2391="","",I2391+6)</f>
        <v/>
      </c>
      <c r="K2391" s="6">
        <f>IF(OR(A2391="",B2391=""),"",DATE(YEAR(B2391),MONTH(B2391),1))</f>
        <v/>
      </c>
      <c r="L2391" s="7">
        <f>IF(COUNTA(A2391,B2391)=0,"",IF(OR(A2391="",B2391=""),"Preencher CPF e entrada",IF(COUNTIFS($A$12:$A$5011,A2391,$B$12:$B$5011,B2391)&gt;1,"CPF + dia duplicado",IF(OR(AND(E2391&lt;&gt;"",E2391&lt;B2391),AND(F2391&lt;&gt;"",F2391&lt;B2391)),"Evento anterior à entrada",IF(AND(F2391&lt;&gt;"",E2391=""),"Conversa sem agendamento",IF(OR(E2391&gt;TODAY(),F2391&gt;TODAY()),"Verificar evento futuro","OK"))))))</f>
        <v/>
      </c>
    </row>
    <row r="2392" spans="9:12">
      <c r="I2392" s="5">
        <f>IF(OR(A2392="",B2392=""),"",B2392-WEEKDAY(B2392,2)+1)</f>
        <v/>
      </c>
      <c r="J2392" s="5">
        <f>IF(I2392="","",I2392+6)</f>
        <v/>
      </c>
      <c r="K2392" s="6">
        <f>IF(OR(A2392="",B2392=""),"",DATE(YEAR(B2392),MONTH(B2392),1))</f>
        <v/>
      </c>
      <c r="L2392" s="7">
        <f>IF(COUNTA(A2392,B2392)=0,"",IF(OR(A2392="",B2392=""),"Preencher CPF e entrada",IF(COUNTIFS($A$12:$A$5011,A2392,$B$12:$B$5011,B2392)&gt;1,"CPF + dia duplicado",IF(OR(AND(E2392&lt;&gt;"",E2392&lt;B2392),AND(F2392&lt;&gt;"",F2392&lt;B2392)),"Evento anterior à entrada",IF(AND(F2392&lt;&gt;"",E2392=""),"Conversa sem agendamento",IF(OR(E2392&gt;TODAY(),F2392&gt;TODAY()),"Verificar evento futuro","OK"))))))</f>
        <v/>
      </c>
    </row>
    <row r="2393" spans="9:12">
      <c r="I2393" s="5">
        <f>IF(OR(A2393="",B2393=""),"",B2393-WEEKDAY(B2393,2)+1)</f>
        <v/>
      </c>
      <c r="J2393" s="5">
        <f>IF(I2393="","",I2393+6)</f>
        <v/>
      </c>
      <c r="K2393" s="6">
        <f>IF(OR(A2393="",B2393=""),"",DATE(YEAR(B2393),MONTH(B2393),1))</f>
        <v/>
      </c>
      <c r="L2393" s="7">
        <f>IF(COUNTA(A2393,B2393)=0,"",IF(OR(A2393="",B2393=""),"Preencher CPF e entrada",IF(COUNTIFS($A$12:$A$5011,A2393,$B$12:$B$5011,B2393)&gt;1,"CPF + dia duplicado",IF(OR(AND(E2393&lt;&gt;"",E2393&lt;B2393),AND(F2393&lt;&gt;"",F2393&lt;B2393)),"Evento anterior à entrada",IF(AND(F2393&lt;&gt;"",E2393=""),"Conversa sem agendamento",IF(OR(E2393&gt;TODAY(),F2393&gt;TODAY()),"Verificar evento futuro","OK"))))))</f>
        <v/>
      </c>
    </row>
    <row r="2394" spans="9:12">
      <c r="I2394" s="5">
        <f>IF(OR(A2394="",B2394=""),"",B2394-WEEKDAY(B2394,2)+1)</f>
        <v/>
      </c>
      <c r="J2394" s="5">
        <f>IF(I2394="","",I2394+6)</f>
        <v/>
      </c>
      <c r="K2394" s="6">
        <f>IF(OR(A2394="",B2394=""),"",DATE(YEAR(B2394),MONTH(B2394),1))</f>
        <v/>
      </c>
      <c r="L2394" s="7">
        <f>IF(COUNTA(A2394,B2394)=0,"",IF(OR(A2394="",B2394=""),"Preencher CPF e entrada",IF(COUNTIFS($A$12:$A$5011,A2394,$B$12:$B$5011,B2394)&gt;1,"CPF + dia duplicado",IF(OR(AND(E2394&lt;&gt;"",E2394&lt;B2394),AND(F2394&lt;&gt;"",F2394&lt;B2394)),"Evento anterior à entrada",IF(AND(F2394&lt;&gt;"",E2394=""),"Conversa sem agendamento",IF(OR(E2394&gt;TODAY(),F2394&gt;TODAY()),"Verificar evento futuro","OK"))))))</f>
        <v/>
      </c>
    </row>
    <row r="2395" spans="9:12">
      <c r="I2395" s="5">
        <f>IF(OR(A2395="",B2395=""),"",B2395-WEEKDAY(B2395,2)+1)</f>
        <v/>
      </c>
      <c r="J2395" s="5">
        <f>IF(I2395="","",I2395+6)</f>
        <v/>
      </c>
      <c r="K2395" s="6">
        <f>IF(OR(A2395="",B2395=""),"",DATE(YEAR(B2395),MONTH(B2395),1))</f>
        <v/>
      </c>
      <c r="L2395" s="7">
        <f>IF(COUNTA(A2395,B2395)=0,"",IF(OR(A2395="",B2395=""),"Preencher CPF e entrada",IF(COUNTIFS($A$12:$A$5011,A2395,$B$12:$B$5011,B2395)&gt;1,"CPF + dia duplicado",IF(OR(AND(E2395&lt;&gt;"",E2395&lt;B2395),AND(F2395&lt;&gt;"",F2395&lt;B2395)),"Evento anterior à entrada",IF(AND(F2395&lt;&gt;"",E2395=""),"Conversa sem agendamento",IF(OR(E2395&gt;TODAY(),F2395&gt;TODAY()),"Verificar evento futuro","OK"))))))</f>
        <v/>
      </c>
    </row>
    <row r="2396" spans="9:12">
      <c r="I2396" s="5">
        <f>IF(OR(A2396="",B2396=""),"",B2396-WEEKDAY(B2396,2)+1)</f>
        <v/>
      </c>
      <c r="J2396" s="5">
        <f>IF(I2396="","",I2396+6)</f>
        <v/>
      </c>
      <c r="K2396" s="6">
        <f>IF(OR(A2396="",B2396=""),"",DATE(YEAR(B2396),MONTH(B2396),1))</f>
        <v/>
      </c>
      <c r="L2396" s="7">
        <f>IF(COUNTA(A2396,B2396)=0,"",IF(OR(A2396="",B2396=""),"Preencher CPF e entrada",IF(COUNTIFS($A$12:$A$5011,A2396,$B$12:$B$5011,B2396)&gt;1,"CPF + dia duplicado",IF(OR(AND(E2396&lt;&gt;"",E2396&lt;B2396),AND(F2396&lt;&gt;"",F2396&lt;B2396)),"Evento anterior à entrada",IF(AND(F2396&lt;&gt;"",E2396=""),"Conversa sem agendamento",IF(OR(E2396&gt;TODAY(),F2396&gt;TODAY()),"Verificar evento futuro","OK"))))))</f>
        <v/>
      </c>
    </row>
    <row r="2397" spans="9:12">
      <c r="I2397" s="5">
        <f>IF(OR(A2397="",B2397=""),"",B2397-WEEKDAY(B2397,2)+1)</f>
        <v/>
      </c>
      <c r="J2397" s="5">
        <f>IF(I2397="","",I2397+6)</f>
        <v/>
      </c>
      <c r="K2397" s="6">
        <f>IF(OR(A2397="",B2397=""),"",DATE(YEAR(B2397),MONTH(B2397),1))</f>
        <v/>
      </c>
      <c r="L2397" s="7">
        <f>IF(COUNTA(A2397,B2397)=0,"",IF(OR(A2397="",B2397=""),"Preencher CPF e entrada",IF(COUNTIFS($A$12:$A$5011,A2397,$B$12:$B$5011,B2397)&gt;1,"CPF + dia duplicado",IF(OR(AND(E2397&lt;&gt;"",E2397&lt;B2397),AND(F2397&lt;&gt;"",F2397&lt;B2397)),"Evento anterior à entrada",IF(AND(F2397&lt;&gt;"",E2397=""),"Conversa sem agendamento",IF(OR(E2397&gt;TODAY(),F2397&gt;TODAY()),"Verificar evento futuro","OK"))))))</f>
        <v/>
      </c>
    </row>
    <row r="2398" spans="9:12">
      <c r="I2398" s="5">
        <f>IF(OR(A2398="",B2398=""),"",B2398-WEEKDAY(B2398,2)+1)</f>
        <v/>
      </c>
      <c r="J2398" s="5">
        <f>IF(I2398="","",I2398+6)</f>
        <v/>
      </c>
      <c r="K2398" s="6">
        <f>IF(OR(A2398="",B2398=""),"",DATE(YEAR(B2398),MONTH(B2398),1))</f>
        <v/>
      </c>
      <c r="L2398" s="7">
        <f>IF(COUNTA(A2398,B2398)=0,"",IF(OR(A2398="",B2398=""),"Preencher CPF e entrada",IF(COUNTIFS($A$12:$A$5011,A2398,$B$12:$B$5011,B2398)&gt;1,"CPF + dia duplicado",IF(OR(AND(E2398&lt;&gt;"",E2398&lt;B2398),AND(F2398&lt;&gt;"",F2398&lt;B2398)),"Evento anterior à entrada",IF(AND(F2398&lt;&gt;"",E2398=""),"Conversa sem agendamento",IF(OR(E2398&gt;TODAY(),F2398&gt;TODAY()),"Verificar evento futuro","OK"))))))</f>
        <v/>
      </c>
    </row>
    <row r="2399" spans="9:12">
      <c r="I2399" s="5">
        <f>IF(OR(A2399="",B2399=""),"",B2399-WEEKDAY(B2399,2)+1)</f>
        <v/>
      </c>
      <c r="J2399" s="5">
        <f>IF(I2399="","",I2399+6)</f>
        <v/>
      </c>
      <c r="K2399" s="6">
        <f>IF(OR(A2399="",B2399=""),"",DATE(YEAR(B2399),MONTH(B2399),1))</f>
        <v/>
      </c>
      <c r="L2399" s="7">
        <f>IF(COUNTA(A2399,B2399)=0,"",IF(OR(A2399="",B2399=""),"Preencher CPF e entrada",IF(COUNTIFS($A$12:$A$5011,A2399,$B$12:$B$5011,B2399)&gt;1,"CPF + dia duplicado",IF(OR(AND(E2399&lt;&gt;"",E2399&lt;B2399),AND(F2399&lt;&gt;"",F2399&lt;B2399)),"Evento anterior à entrada",IF(AND(F2399&lt;&gt;"",E2399=""),"Conversa sem agendamento",IF(OR(E2399&gt;TODAY(),F2399&gt;TODAY()),"Verificar evento futuro","OK"))))))</f>
        <v/>
      </c>
    </row>
    <row r="2400" spans="9:12">
      <c r="I2400" s="5">
        <f>IF(OR(A2400="",B2400=""),"",B2400-WEEKDAY(B2400,2)+1)</f>
        <v/>
      </c>
      <c r="J2400" s="5">
        <f>IF(I2400="","",I2400+6)</f>
        <v/>
      </c>
      <c r="K2400" s="6">
        <f>IF(OR(A2400="",B2400=""),"",DATE(YEAR(B2400),MONTH(B2400),1))</f>
        <v/>
      </c>
      <c r="L2400" s="7">
        <f>IF(COUNTA(A2400,B2400)=0,"",IF(OR(A2400="",B2400=""),"Preencher CPF e entrada",IF(COUNTIFS($A$12:$A$5011,A2400,$B$12:$B$5011,B2400)&gt;1,"CPF + dia duplicado",IF(OR(AND(E2400&lt;&gt;"",E2400&lt;B2400),AND(F2400&lt;&gt;"",F2400&lt;B2400)),"Evento anterior à entrada",IF(AND(F2400&lt;&gt;"",E2400=""),"Conversa sem agendamento",IF(OR(E2400&gt;TODAY(),F2400&gt;TODAY()),"Verificar evento futuro","OK"))))))</f>
        <v/>
      </c>
    </row>
    <row r="2401" spans="9:12">
      <c r="I2401" s="5">
        <f>IF(OR(A2401="",B2401=""),"",B2401-WEEKDAY(B2401,2)+1)</f>
        <v/>
      </c>
      <c r="J2401" s="5">
        <f>IF(I2401="","",I2401+6)</f>
        <v/>
      </c>
      <c r="K2401" s="6">
        <f>IF(OR(A2401="",B2401=""),"",DATE(YEAR(B2401),MONTH(B2401),1))</f>
        <v/>
      </c>
      <c r="L2401" s="7">
        <f>IF(COUNTA(A2401,B2401)=0,"",IF(OR(A2401="",B2401=""),"Preencher CPF e entrada",IF(COUNTIFS($A$12:$A$5011,A2401,$B$12:$B$5011,B2401)&gt;1,"CPF + dia duplicado",IF(OR(AND(E2401&lt;&gt;"",E2401&lt;B2401),AND(F2401&lt;&gt;"",F2401&lt;B2401)),"Evento anterior à entrada",IF(AND(F2401&lt;&gt;"",E2401=""),"Conversa sem agendamento",IF(OR(E2401&gt;TODAY(),F2401&gt;TODAY()),"Verificar evento futuro","OK"))))))</f>
        <v/>
      </c>
    </row>
    <row r="2402" spans="9:12">
      <c r="I2402" s="5">
        <f>IF(OR(A2402="",B2402=""),"",B2402-WEEKDAY(B2402,2)+1)</f>
        <v/>
      </c>
      <c r="J2402" s="5">
        <f>IF(I2402="","",I2402+6)</f>
        <v/>
      </c>
      <c r="K2402" s="6">
        <f>IF(OR(A2402="",B2402=""),"",DATE(YEAR(B2402),MONTH(B2402),1))</f>
        <v/>
      </c>
      <c r="L2402" s="7">
        <f>IF(COUNTA(A2402,B2402)=0,"",IF(OR(A2402="",B2402=""),"Preencher CPF e entrada",IF(COUNTIFS($A$12:$A$5011,A2402,$B$12:$B$5011,B2402)&gt;1,"CPF + dia duplicado",IF(OR(AND(E2402&lt;&gt;"",E2402&lt;B2402),AND(F2402&lt;&gt;"",F2402&lt;B2402)),"Evento anterior à entrada",IF(AND(F2402&lt;&gt;"",E2402=""),"Conversa sem agendamento",IF(OR(E2402&gt;TODAY(),F2402&gt;TODAY()),"Verificar evento futuro","OK"))))))</f>
        <v/>
      </c>
    </row>
    <row r="2403" spans="9:12">
      <c r="I2403" s="5">
        <f>IF(OR(A2403="",B2403=""),"",B2403-WEEKDAY(B2403,2)+1)</f>
        <v/>
      </c>
      <c r="J2403" s="5">
        <f>IF(I2403="","",I2403+6)</f>
        <v/>
      </c>
      <c r="K2403" s="6">
        <f>IF(OR(A2403="",B2403=""),"",DATE(YEAR(B2403),MONTH(B2403),1))</f>
        <v/>
      </c>
      <c r="L2403" s="7">
        <f>IF(COUNTA(A2403,B2403)=0,"",IF(OR(A2403="",B2403=""),"Preencher CPF e entrada",IF(COUNTIFS($A$12:$A$5011,A2403,$B$12:$B$5011,B2403)&gt;1,"CPF + dia duplicado",IF(OR(AND(E2403&lt;&gt;"",E2403&lt;B2403),AND(F2403&lt;&gt;"",F2403&lt;B2403)),"Evento anterior à entrada",IF(AND(F2403&lt;&gt;"",E2403=""),"Conversa sem agendamento",IF(OR(E2403&gt;TODAY(),F2403&gt;TODAY()),"Verificar evento futuro","OK"))))))</f>
        <v/>
      </c>
    </row>
    <row r="2404" spans="9:12">
      <c r="I2404" s="5">
        <f>IF(OR(A2404="",B2404=""),"",B2404-WEEKDAY(B2404,2)+1)</f>
        <v/>
      </c>
      <c r="J2404" s="5">
        <f>IF(I2404="","",I2404+6)</f>
        <v/>
      </c>
      <c r="K2404" s="6">
        <f>IF(OR(A2404="",B2404=""),"",DATE(YEAR(B2404),MONTH(B2404),1))</f>
        <v/>
      </c>
      <c r="L2404" s="7">
        <f>IF(COUNTA(A2404,B2404)=0,"",IF(OR(A2404="",B2404=""),"Preencher CPF e entrada",IF(COUNTIFS($A$12:$A$5011,A2404,$B$12:$B$5011,B2404)&gt;1,"CPF + dia duplicado",IF(OR(AND(E2404&lt;&gt;"",E2404&lt;B2404),AND(F2404&lt;&gt;"",F2404&lt;B2404)),"Evento anterior à entrada",IF(AND(F2404&lt;&gt;"",E2404=""),"Conversa sem agendamento",IF(OR(E2404&gt;TODAY(),F2404&gt;TODAY()),"Verificar evento futuro","OK"))))))</f>
        <v/>
      </c>
    </row>
    <row r="2405" spans="9:12">
      <c r="I2405" s="5">
        <f>IF(OR(A2405="",B2405=""),"",B2405-WEEKDAY(B2405,2)+1)</f>
        <v/>
      </c>
      <c r="J2405" s="5">
        <f>IF(I2405="","",I2405+6)</f>
        <v/>
      </c>
      <c r="K2405" s="6">
        <f>IF(OR(A2405="",B2405=""),"",DATE(YEAR(B2405),MONTH(B2405),1))</f>
        <v/>
      </c>
      <c r="L2405" s="7">
        <f>IF(COUNTA(A2405,B2405)=0,"",IF(OR(A2405="",B2405=""),"Preencher CPF e entrada",IF(COUNTIFS($A$12:$A$5011,A2405,$B$12:$B$5011,B2405)&gt;1,"CPF + dia duplicado",IF(OR(AND(E2405&lt;&gt;"",E2405&lt;B2405),AND(F2405&lt;&gt;"",F2405&lt;B2405)),"Evento anterior à entrada",IF(AND(F2405&lt;&gt;"",E2405=""),"Conversa sem agendamento",IF(OR(E2405&gt;TODAY(),F2405&gt;TODAY()),"Verificar evento futuro","OK"))))))</f>
        <v/>
      </c>
    </row>
    <row r="2406" spans="9:12">
      <c r="I2406" s="5">
        <f>IF(OR(A2406="",B2406=""),"",B2406-WEEKDAY(B2406,2)+1)</f>
        <v/>
      </c>
      <c r="J2406" s="5">
        <f>IF(I2406="","",I2406+6)</f>
        <v/>
      </c>
      <c r="K2406" s="6">
        <f>IF(OR(A2406="",B2406=""),"",DATE(YEAR(B2406),MONTH(B2406),1))</f>
        <v/>
      </c>
      <c r="L2406" s="7">
        <f>IF(COUNTA(A2406,B2406)=0,"",IF(OR(A2406="",B2406=""),"Preencher CPF e entrada",IF(COUNTIFS($A$12:$A$5011,A2406,$B$12:$B$5011,B2406)&gt;1,"CPF + dia duplicado",IF(OR(AND(E2406&lt;&gt;"",E2406&lt;B2406),AND(F2406&lt;&gt;"",F2406&lt;B2406)),"Evento anterior à entrada",IF(AND(F2406&lt;&gt;"",E2406=""),"Conversa sem agendamento",IF(OR(E2406&gt;TODAY(),F2406&gt;TODAY()),"Verificar evento futuro","OK"))))))</f>
        <v/>
      </c>
    </row>
    <row r="2407" spans="9:12">
      <c r="I2407" s="5">
        <f>IF(OR(A2407="",B2407=""),"",B2407-WEEKDAY(B2407,2)+1)</f>
        <v/>
      </c>
      <c r="J2407" s="5">
        <f>IF(I2407="","",I2407+6)</f>
        <v/>
      </c>
      <c r="K2407" s="6">
        <f>IF(OR(A2407="",B2407=""),"",DATE(YEAR(B2407),MONTH(B2407),1))</f>
        <v/>
      </c>
      <c r="L2407" s="7">
        <f>IF(COUNTA(A2407,B2407)=0,"",IF(OR(A2407="",B2407=""),"Preencher CPF e entrada",IF(COUNTIFS($A$12:$A$5011,A2407,$B$12:$B$5011,B2407)&gt;1,"CPF + dia duplicado",IF(OR(AND(E2407&lt;&gt;"",E2407&lt;B2407),AND(F2407&lt;&gt;"",F2407&lt;B2407)),"Evento anterior à entrada",IF(AND(F2407&lt;&gt;"",E2407=""),"Conversa sem agendamento",IF(OR(E2407&gt;TODAY(),F2407&gt;TODAY()),"Verificar evento futuro","OK"))))))</f>
        <v/>
      </c>
    </row>
    <row r="2408" spans="9:12">
      <c r="I2408" s="5">
        <f>IF(OR(A2408="",B2408=""),"",B2408-WEEKDAY(B2408,2)+1)</f>
        <v/>
      </c>
      <c r="J2408" s="5">
        <f>IF(I2408="","",I2408+6)</f>
        <v/>
      </c>
      <c r="K2408" s="6">
        <f>IF(OR(A2408="",B2408=""),"",DATE(YEAR(B2408),MONTH(B2408),1))</f>
        <v/>
      </c>
      <c r="L2408" s="7">
        <f>IF(COUNTA(A2408,B2408)=0,"",IF(OR(A2408="",B2408=""),"Preencher CPF e entrada",IF(COUNTIFS($A$12:$A$5011,A2408,$B$12:$B$5011,B2408)&gt;1,"CPF + dia duplicado",IF(OR(AND(E2408&lt;&gt;"",E2408&lt;B2408),AND(F2408&lt;&gt;"",F2408&lt;B2408)),"Evento anterior à entrada",IF(AND(F2408&lt;&gt;"",E2408=""),"Conversa sem agendamento",IF(OR(E2408&gt;TODAY(),F2408&gt;TODAY()),"Verificar evento futuro","OK"))))))</f>
        <v/>
      </c>
    </row>
    <row r="2409" spans="9:12">
      <c r="I2409" s="5">
        <f>IF(OR(A2409="",B2409=""),"",B2409-WEEKDAY(B2409,2)+1)</f>
        <v/>
      </c>
      <c r="J2409" s="5">
        <f>IF(I2409="","",I2409+6)</f>
        <v/>
      </c>
      <c r="K2409" s="6">
        <f>IF(OR(A2409="",B2409=""),"",DATE(YEAR(B2409),MONTH(B2409),1))</f>
        <v/>
      </c>
      <c r="L2409" s="7">
        <f>IF(COUNTA(A2409,B2409)=0,"",IF(OR(A2409="",B2409=""),"Preencher CPF e entrada",IF(COUNTIFS($A$12:$A$5011,A2409,$B$12:$B$5011,B2409)&gt;1,"CPF + dia duplicado",IF(OR(AND(E2409&lt;&gt;"",E2409&lt;B2409),AND(F2409&lt;&gt;"",F2409&lt;B2409)),"Evento anterior à entrada",IF(AND(F2409&lt;&gt;"",E2409=""),"Conversa sem agendamento",IF(OR(E2409&gt;TODAY(),F2409&gt;TODAY()),"Verificar evento futuro","OK"))))))</f>
        <v/>
      </c>
    </row>
    <row r="2410" spans="9:12">
      <c r="I2410" s="5">
        <f>IF(OR(A2410="",B2410=""),"",B2410-WEEKDAY(B2410,2)+1)</f>
        <v/>
      </c>
      <c r="J2410" s="5">
        <f>IF(I2410="","",I2410+6)</f>
        <v/>
      </c>
      <c r="K2410" s="6">
        <f>IF(OR(A2410="",B2410=""),"",DATE(YEAR(B2410),MONTH(B2410),1))</f>
        <v/>
      </c>
      <c r="L2410" s="7">
        <f>IF(COUNTA(A2410,B2410)=0,"",IF(OR(A2410="",B2410=""),"Preencher CPF e entrada",IF(COUNTIFS($A$12:$A$5011,A2410,$B$12:$B$5011,B2410)&gt;1,"CPF + dia duplicado",IF(OR(AND(E2410&lt;&gt;"",E2410&lt;B2410),AND(F2410&lt;&gt;"",F2410&lt;B2410)),"Evento anterior à entrada",IF(AND(F2410&lt;&gt;"",E2410=""),"Conversa sem agendamento",IF(OR(E2410&gt;TODAY(),F2410&gt;TODAY()),"Verificar evento futuro","OK"))))))</f>
        <v/>
      </c>
    </row>
    <row r="2411" spans="9:12">
      <c r="I2411" s="5">
        <f>IF(OR(A2411="",B2411=""),"",B2411-WEEKDAY(B2411,2)+1)</f>
        <v/>
      </c>
      <c r="J2411" s="5">
        <f>IF(I2411="","",I2411+6)</f>
        <v/>
      </c>
      <c r="K2411" s="6">
        <f>IF(OR(A2411="",B2411=""),"",DATE(YEAR(B2411),MONTH(B2411),1))</f>
        <v/>
      </c>
      <c r="L2411" s="7">
        <f>IF(COUNTA(A2411,B2411)=0,"",IF(OR(A2411="",B2411=""),"Preencher CPF e entrada",IF(COUNTIFS($A$12:$A$5011,A2411,$B$12:$B$5011,B2411)&gt;1,"CPF + dia duplicado",IF(OR(AND(E2411&lt;&gt;"",E2411&lt;B2411),AND(F2411&lt;&gt;"",F2411&lt;B2411)),"Evento anterior à entrada",IF(AND(F2411&lt;&gt;"",E2411=""),"Conversa sem agendamento",IF(OR(E2411&gt;TODAY(),F2411&gt;TODAY()),"Verificar evento futuro","OK"))))))</f>
        <v/>
      </c>
    </row>
    <row r="2412" spans="9:12">
      <c r="I2412" s="5">
        <f>IF(OR(A2412="",B2412=""),"",B2412-WEEKDAY(B2412,2)+1)</f>
        <v/>
      </c>
      <c r="J2412" s="5">
        <f>IF(I2412="","",I2412+6)</f>
        <v/>
      </c>
      <c r="K2412" s="6">
        <f>IF(OR(A2412="",B2412=""),"",DATE(YEAR(B2412),MONTH(B2412),1))</f>
        <v/>
      </c>
      <c r="L2412" s="7">
        <f>IF(COUNTA(A2412,B2412)=0,"",IF(OR(A2412="",B2412=""),"Preencher CPF e entrada",IF(COUNTIFS($A$12:$A$5011,A2412,$B$12:$B$5011,B2412)&gt;1,"CPF + dia duplicado",IF(OR(AND(E2412&lt;&gt;"",E2412&lt;B2412),AND(F2412&lt;&gt;"",F2412&lt;B2412)),"Evento anterior à entrada",IF(AND(F2412&lt;&gt;"",E2412=""),"Conversa sem agendamento",IF(OR(E2412&gt;TODAY(),F2412&gt;TODAY()),"Verificar evento futuro","OK"))))))</f>
        <v/>
      </c>
    </row>
    <row r="2413" spans="9:12">
      <c r="I2413" s="5">
        <f>IF(OR(A2413="",B2413=""),"",B2413-WEEKDAY(B2413,2)+1)</f>
        <v/>
      </c>
      <c r="J2413" s="5">
        <f>IF(I2413="","",I2413+6)</f>
        <v/>
      </c>
      <c r="K2413" s="6">
        <f>IF(OR(A2413="",B2413=""),"",DATE(YEAR(B2413),MONTH(B2413),1))</f>
        <v/>
      </c>
      <c r="L2413" s="7">
        <f>IF(COUNTA(A2413,B2413)=0,"",IF(OR(A2413="",B2413=""),"Preencher CPF e entrada",IF(COUNTIFS($A$12:$A$5011,A2413,$B$12:$B$5011,B2413)&gt;1,"CPF + dia duplicado",IF(OR(AND(E2413&lt;&gt;"",E2413&lt;B2413),AND(F2413&lt;&gt;"",F2413&lt;B2413)),"Evento anterior à entrada",IF(AND(F2413&lt;&gt;"",E2413=""),"Conversa sem agendamento",IF(OR(E2413&gt;TODAY(),F2413&gt;TODAY()),"Verificar evento futuro","OK"))))))</f>
        <v/>
      </c>
    </row>
    <row r="2414" spans="9:12">
      <c r="I2414" s="5">
        <f>IF(OR(A2414="",B2414=""),"",B2414-WEEKDAY(B2414,2)+1)</f>
        <v/>
      </c>
      <c r="J2414" s="5">
        <f>IF(I2414="","",I2414+6)</f>
        <v/>
      </c>
      <c r="K2414" s="6">
        <f>IF(OR(A2414="",B2414=""),"",DATE(YEAR(B2414),MONTH(B2414),1))</f>
        <v/>
      </c>
      <c r="L2414" s="7">
        <f>IF(COUNTA(A2414,B2414)=0,"",IF(OR(A2414="",B2414=""),"Preencher CPF e entrada",IF(COUNTIFS($A$12:$A$5011,A2414,$B$12:$B$5011,B2414)&gt;1,"CPF + dia duplicado",IF(OR(AND(E2414&lt;&gt;"",E2414&lt;B2414),AND(F2414&lt;&gt;"",F2414&lt;B2414)),"Evento anterior à entrada",IF(AND(F2414&lt;&gt;"",E2414=""),"Conversa sem agendamento",IF(OR(E2414&gt;TODAY(),F2414&gt;TODAY()),"Verificar evento futuro","OK"))))))</f>
        <v/>
      </c>
    </row>
    <row r="2415" spans="9:12">
      <c r="I2415" s="5">
        <f>IF(OR(A2415="",B2415=""),"",B2415-WEEKDAY(B2415,2)+1)</f>
        <v/>
      </c>
      <c r="J2415" s="5">
        <f>IF(I2415="","",I2415+6)</f>
        <v/>
      </c>
      <c r="K2415" s="6">
        <f>IF(OR(A2415="",B2415=""),"",DATE(YEAR(B2415),MONTH(B2415),1))</f>
        <v/>
      </c>
      <c r="L2415" s="7">
        <f>IF(COUNTA(A2415,B2415)=0,"",IF(OR(A2415="",B2415=""),"Preencher CPF e entrada",IF(COUNTIFS($A$12:$A$5011,A2415,$B$12:$B$5011,B2415)&gt;1,"CPF + dia duplicado",IF(OR(AND(E2415&lt;&gt;"",E2415&lt;B2415),AND(F2415&lt;&gt;"",F2415&lt;B2415)),"Evento anterior à entrada",IF(AND(F2415&lt;&gt;"",E2415=""),"Conversa sem agendamento",IF(OR(E2415&gt;TODAY(),F2415&gt;TODAY()),"Verificar evento futuro","OK"))))))</f>
        <v/>
      </c>
    </row>
    <row r="2416" spans="9:12">
      <c r="I2416" s="5">
        <f>IF(OR(A2416="",B2416=""),"",B2416-WEEKDAY(B2416,2)+1)</f>
        <v/>
      </c>
      <c r="J2416" s="5">
        <f>IF(I2416="","",I2416+6)</f>
        <v/>
      </c>
      <c r="K2416" s="6">
        <f>IF(OR(A2416="",B2416=""),"",DATE(YEAR(B2416),MONTH(B2416),1))</f>
        <v/>
      </c>
      <c r="L2416" s="7">
        <f>IF(COUNTA(A2416,B2416)=0,"",IF(OR(A2416="",B2416=""),"Preencher CPF e entrada",IF(COUNTIFS($A$12:$A$5011,A2416,$B$12:$B$5011,B2416)&gt;1,"CPF + dia duplicado",IF(OR(AND(E2416&lt;&gt;"",E2416&lt;B2416),AND(F2416&lt;&gt;"",F2416&lt;B2416)),"Evento anterior à entrada",IF(AND(F2416&lt;&gt;"",E2416=""),"Conversa sem agendamento",IF(OR(E2416&gt;TODAY(),F2416&gt;TODAY()),"Verificar evento futuro","OK"))))))</f>
        <v/>
      </c>
    </row>
    <row r="2417" spans="9:12">
      <c r="I2417" s="5">
        <f>IF(OR(A2417="",B2417=""),"",B2417-WEEKDAY(B2417,2)+1)</f>
        <v/>
      </c>
      <c r="J2417" s="5">
        <f>IF(I2417="","",I2417+6)</f>
        <v/>
      </c>
      <c r="K2417" s="6">
        <f>IF(OR(A2417="",B2417=""),"",DATE(YEAR(B2417),MONTH(B2417),1))</f>
        <v/>
      </c>
      <c r="L2417" s="7">
        <f>IF(COUNTA(A2417,B2417)=0,"",IF(OR(A2417="",B2417=""),"Preencher CPF e entrada",IF(COUNTIFS($A$12:$A$5011,A2417,$B$12:$B$5011,B2417)&gt;1,"CPF + dia duplicado",IF(OR(AND(E2417&lt;&gt;"",E2417&lt;B2417),AND(F2417&lt;&gt;"",F2417&lt;B2417)),"Evento anterior à entrada",IF(AND(F2417&lt;&gt;"",E2417=""),"Conversa sem agendamento",IF(OR(E2417&gt;TODAY(),F2417&gt;TODAY()),"Verificar evento futuro","OK"))))))</f>
        <v/>
      </c>
    </row>
    <row r="2418" spans="9:12">
      <c r="I2418" s="5">
        <f>IF(OR(A2418="",B2418=""),"",B2418-WEEKDAY(B2418,2)+1)</f>
        <v/>
      </c>
      <c r="J2418" s="5">
        <f>IF(I2418="","",I2418+6)</f>
        <v/>
      </c>
      <c r="K2418" s="6">
        <f>IF(OR(A2418="",B2418=""),"",DATE(YEAR(B2418),MONTH(B2418),1))</f>
        <v/>
      </c>
      <c r="L2418" s="7">
        <f>IF(COUNTA(A2418,B2418)=0,"",IF(OR(A2418="",B2418=""),"Preencher CPF e entrada",IF(COUNTIFS($A$12:$A$5011,A2418,$B$12:$B$5011,B2418)&gt;1,"CPF + dia duplicado",IF(OR(AND(E2418&lt;&gt;"",E2418&lt;B2418),AND(F2418&lt;&gt;"",F2418&lt;B2418)),"Evento anterior à entrada",IF(AND(F2418&lt;&gt;"",E2418=""),"Conversa sem agendamento",IF(OR(E2418&gt;TODAY(),F2418&gt;TODAY()),"Verificar evento futuro","OK"))))))</f>
        <v/>
      </c>
    </row>
    <row r="2419" spans="9:12">
      <c r="I2419" s="5">
        <f>IF(OR(A2419="",B2419=""),"",B2419-WEEKDAY(B2419,2)+1)</f>
        <v/>
      </c>
      <c r="J2419" s="5">
        <f>IF(I2419="","",I2419+6)</f>
        <v/>
      </c>
      <c r="K2419" s="6">
        <f>IF(OR(A2419="",B2419=""),"",DATE(YEAR(B2419),MONTH(B2419),1))</f>
        <v/>
      </c>
      <c r="L2419" s="7">
        <f>IF(COUNTA(A2419,B2419)=0,"",IF(OR(A2419="",B2419=""),"Preencher CPF e entrada",IF(COUNTIFS($A$12:$A$5011,A2419,$B$12:$B$5011,B2419)&gt;1,"CPF + dia duplicado",IF(OR(AND(E2419&lt;&gt;"",E2419&lt;B2419),AND(F2419&lt;&gt;"",F2419&lt;B2419)),"Evento anterior à entrada",IF(AND(F2419&lt;&gt;"",E2419=""),"Conversa sem agendamento",IF(OR(E2419&gt;TODAY(),F2419&gt;TODAY()),"Verificar evento futuro","OK"))))))</f>
        <v/>
      </c>
    </row>
    <row r="2420" spans="9:12">
      <c r="I2420" s="5">
        <f>IF(OR(A2420="",B2420=""),"",B2420-WEEKDAY(B2420,2)+1)</f>
        <v/>
      </c>
      <c r="J2420" s="5">
        <f>IF(I2420="","",I2420+6)</f>
        <v/>
      </c>
      <c r="K2420" s="6">
        <f>IF(OR(A2420="",B2420=""),"",DATE(YEAR(B2420),MONTH(B2420),1))</f>
        <v/>
      </c>
      <c r="L2420" s="7">
        <f>IF(COUNTA(A2420,B2420)=0,"",IF(OR(A2420="",B2420=""),"Preencher CPF e entrada",IF(COUNTIFS($A$12:$A$5011,A2420,$B$12:$B$5011,B2420)&gt;1,"CPF + dia duplicado",IF(OR(AND(E2420&lt;&gt;"",E2420&lt;B2420),AND(F2420&lt;&gt;"",F2420&lt;B2420)),"Evento anterior à entrada",IF(AND(F2420&lt;&gt;"",E2420=""),"Conversa sem agendamento",IF(OR(E2420&gt;TODAY(),F2420&gt;TODAY()),"Verificar evento futuro","OK"))))))</f>
        <v/>
      </c>
    </row>
    <row r="2421" spans="9:12">
      <c r="I2421" s="5">
        <f>IF(OR(A2421="",B2421=""),"",B2421-WEEKDAY(B2421,2)+1)</f>
        <v/>
      </c>
      <c r="J2421" s="5">
        <f>IF(I2421="","",I2421+6)</f>
        <v/>
      </c>
      <c r="K2421" s="6">
        <f>IF(OR(A2421="",B2421=""),"",DATE(YEAR(B2421),MONTH(B2421),1))</f>
        <v/>
      </c>
      <c r="L2421" s="7">
        <f>IF(COUNTA(A2421,B2421)=0,"",IF(OR(A2421="",B2421=""),"Preencher CPF e entrada",IF(COUNTIFS($A$12:$A$5011,A2421,$B$12:$B$5011,B2421)&gt;1,"CPF + dia duplicado",IF(OR(AND(E2421&lt;&gt;"",E2421&lt;B2421),AND(F2421&lt;&gt;"",F2421&lt;B2421)),"Evento anterior à entrada",IF(AND(F2421&lt;&gt;"",E2421=""),"Conversa sem agendamento",IF(OR(E2421&gt;TODAY(),F2421&gt;TODAY()),"Verificar evento futuro","OK"))))))</f>
        <v/>
      </c>
    </row>
    <row r="2422" spans="9:12">
      <c r="I2422" s="5">
        <f>IF(OR(A2422="",B2422=""),"",B2422-WEEKDAY(B2422,2)+1)</f>
        <v/>
      </c>
      <c r="J2422" s="5">
        <f>IF(I2422="","",I2422+6)</f>
        <v/>
      </c>
      <c r="K2422" s="6">
        <f>IF(OR(A2422="",B2422=""),"",DATE(YEAR(B2422),MONTH(B2422),1))</f>
        <v/>
      </c>
      <c r="L2422" s="7">
        <f>IF(COUNTA(A2422,B2422)=0,"",IF(OR(A2422="",B2422=""),"Preencher CPF e entrada",IF(COUNTIFS($A$12:$A$5011,A2422,$B$12:$B$5011,B2422)&gt;1,"CPF + dia duplicado",IF(OR(AND(E2422&lt;&gt;"",E2422&lt;B2422),AND(F2422&lt;&gt;"",F2422&lt;B2422)),"Evento anterior à entrada",IF(AND(F2422&lt;&gt;"",E2422=""),"Conversa sem agendamento",IF(OR(E2422&gt;TODAY(),F2422&gt;TODAY()),"Verificar evento futuro","OK"))))))</f>
        <v/>
      </c>
    </row>
    <row r="2423" spans="9:12">
      <c r="I2423" s="5">
        <f>IF(OR(A2423="",B2423=""),"",B2423-WEEKDAY(B2423,2)+1)</f>
        <v/>
      </c>
      <c r="J2423" s="5">
        <f>IF(I2423="","",I2423+6)</f>
        <v/>
      </c>
      <c r="K2423" s="6">
        <f>IF(OR(A2423="",B2423=""),"",DATE(YEAR(B2423),MONTH(B2423),1))</f>
        <v/>
      </c>
      <c r="L2423" s="7">
        <f>IF(COUNTA(A2423,B2423)=0,"",IF(OR(A2423="",B2423=""),"Preencher CPF e entrada",IF(COUNTIFS($A$12:$A$5011,A2423,$B$12:$B$5011,B2423)&gt;1,"CPF + dia duplicado",IF(OR(AND(E2423&lt;&gt;"",E2423&lt;B2423),AND(F2423&lt;&gt;"",F2423&lt;B2423)),"Evento anterior à entrada",IF(AND(F2423&lt;&gt;"",E2423=""),"Conversa sem agendamento",IF(OR(E2423&gt;TODAY(),F2423&gt;TODAY()),"Verificar evento futuro","OK"))))))</f>
        <v/>
      </c>
    </row>
    <row r="2424" spans="9:12">
      <c r="I2424" s="5">
        <f>IF(OR(A2424="",B2424=""),"",B2424-WEEKDAY(B2424,2)+1)</f>
        <v/>
      </c>
      <c r="J2424" s="5">
        <f>IF(I2424="","",I2424+6)</f>
        <v/>
      </c>
      <c r="K2424" s="6">
        <f>IF(OR(A2424="",B2424=""),"",DATE(YEAR(B2424),MONTH(B2424),1))</f>
        <v/>
      </c>
      <c r="L2424" s="7">
        <f>IF(COUNTA(A2424,B2424)=0,"",IF(OR(A2424="",B2424=""),"Preencher CPF e entrada",IF(COUNTIFS($A$12:$A$5011,A2424,$B$12:$B$5011,B2424)&gt;1,"CPF + dia duplicado",IF(OR(AND(E2424&lt;&gt;"",E2424&lt;B2424),AND(F2424&lt;&gt;"",F2424&lt;B2424)),"Evento anterior à entrada",IF(AND(F2424&lt;&gt;"",E2424=""),"Conversa sem agendamento",IF(OR(E2424&gt;TODAY(),F2424&gt;TODAY()),"Verificar evento futuro","OK"))))))</f>
        <v/>
      </c>
    </row>
    <row r="2425" spans="9:12">
      <c r="I2425" s="5">
        <f>IF(OR(A2425="",B2425=""),"",B2425-WEEKDAY(B2425,2)+1)</f>
        <v/>
      </c>
      <c r="J2425" s="5">
        <f>IF(I2425="","",I2425+6)</f>
        <v/>
      </c>
      <c r="K2425" s="6">
        <f>IF(OR(A2425="",B2425=""),"",DATE(YEAR(B2425),MONTH(B2425),1))</f>
        <v/>
      </c>
      <c r="L2425" s="7">
        <f>IF(COUNTA(A2425,B2425)=0,"",IF(OR(A2425="",B2425=""),"Preencher CPF e entrada",IF(COUNTIFS($A$12:$A$5011,A2425,$B$12:$B$5011,B2425)&gt;1,"CPF + dia duplicado",IF(OR(AND(E2425&lt;&gt;"",E2425&lt;B2425),AND(F2425&lt;&gt;"",F2425&lt;B2425)),"Evento anterior à entrada",IF(AND(F2425&lt;&gt;"",E2425=""),"Conversa sem agendamento",IF(OR(E2425&gt;TODAY(),F2425&gt;TODAY()),"Verificar evento futuro","OK"))))))</f>
        <v/>
      </c>
    </row>
    <row r="2426" spans="9:12">
      <c r="I2426" s="5">
        <f>IF(OR(A2426="",B2426=""),"",B2426-WEEKDAY(B2426,2)+1)</f>
        <v/>
      </c>
      <c r="J2426" s="5">
        <f>IF(I2426="","",I2426+6)</f>
        <v/>
      </c>
      <c r="K2426" s="6">
        <f>IF(OR(A2426="",B2426=""),"",DATE(YEAR(B2426),MONTH(B2426),1))</f>
        <v/>
      </c>
      <c r="L2426" s="7">
        <f>IF(COUNTA(A2426,B2426)=0,"",IF(OR(A2426="",B2426=""),"Preencher CPF e entrada",IF(COUNTIFS($A$12:$A$5011,A2426,$B$12:$B$5011,B2426)&gt;1,"CPF + dia duplicado",IF(OR(AND(E2426&lt;&gt;"",E2426&lt;B2426),AND(F2426&lt;&gt;"",F2426&lt;B2426)),"Evento anterior à entrada",IF(AND(F2426&lt;&gt;"",E2426=""),"Conversa sem agendamento",IF(OR(E2426&gt;TODAY(),F2426&gt;TODAY()),"Verificar evento futuro","OK"))))))</f>
        <v/>
      </c>
    </row>
    <row r="2427" spans="9:12">
      <c r="I2427" s="5">
        <f>IF(OR(A2427="",B2427=""),"",B2427-WEEKDAY(B2427,2)+1)</f>
        <v/>
      </c>
      <c r="J2427" s="5">
        <f>IF(I2427="","",I2427+6)</f>
        <v/>
      </c>
      <c r="K2427" s="6">
        <f>IF(OR(A2427="",B2427=""),"",DATE(YEAR(B2427),MONTH(B2427),1))</f>
        <v/>
      </c>
      <c r="L2427" s="7">
        <f>IF(COUNTA(A2427,B2427)=0,"",IF(OR(A2427="",B2427=""),"Preencher CPF e entrada",IF(COUNTIFS($A$12:$A$5011,A2427,$B$12:$B$5011,B2427)&gt;1,"CPF + dia duplicado",IF(OR(AND(E2427&lt;&gt;"",E2427&lt;B2427),AND(F2427&lt;&gt;"",F2427&lt;B2427)),"Evento anterior à entrada",IF(AND(F2427&lt;&gt;"",E2427=""),"Conversa sem agendamento",IF(OR(E2427&gt;TODAY(),F2427&gt;TODAY()),"Verificar evento futuro","OK"))))))</f>
        <v/>
      </c>
    </row>
    <row r="2428" spans="9:12">
      <c r="I2428" s="5">
        <f>IF(OR(A2428="",B2428=""),"",B2428-WEEKDAY(B2428,2)+1)</f>
        <v/>
      </c>
      <c r="J2428" s="5">
        <f>IF(I2428="","",I2428+6)</f>
        <v/>
      </c>
      <c r="K2428" s="6">
        <f>IF(OR(A2428="",B2428=""),"",DATE(YEAR(B2428),MONTH(B2428),1))</f>
        <v/>
      </c>
      <c r="L2428" s="7">
        <f>IF(COUNTA(A2428,B2428)=0,"",IF(OR(A2428="",B2428=""),"Preencher CPF e entrada",IF(COUNTIFS($A$12:$A$5011,A2428,$B$12:$B$5011,B2428)&gt;1,"CPF + dia duplicado",IF(OR(AND(E2428&lt;&gt;"",E2428&lt;B2428),AND(F2428&lt;&gt;"",F2428&lt;B2428)),"Evento anterior à entrada",IF(AND(F2428&lt;&gt;"",E2428=""),"Conversa sem agendamento",IF(OR(E2428&gt;TODAY(),F2428&gt;TODAY()),"Verificar evento futuro","OK"))))))</f>
        <v/>
      </c>
    </row>
    <row r="2429" spans="9:12">
      <c r="I2429" s="5">
        <f>IF(OR(A2429="",B2429=""),"",B2429-WEEKDAY(B2429,2)+1)</f>
        <v/>
      </c>
      <c r="J2429" s="5">
        <f>IF(I2429="","",I2429+6)</f>
        <v/>
      </c>
      <c r="K2429" s="6">
        <f>IF(OR(A2429="",B2429=""),"",DATE(YEAR(B2429),MONTH(B2429),1))</f>
        <v/>
      </c>
      <c r="L2429" s="7">
        <f>IF(COUNTA(A2429,B2429)=0,"",IF(OR(A2429="",B2429=""),"Preencher CPF e entrada",IF(COUNTIFS($A$12:$A$5011,A2429,$B$12:$B$5011,B2429)&gt;1,"CPF + dia duplicado",IF(OR(AND(E2429&lt;&gt;"",E2429&lt;B2429),AND(F2429&lt;&gt;"",F2429&lt;B2429)),"Evento anterior à entrada",IF(AND(F2429&lt;&gt;"",E2429=""),"Conversa sem agendamento",IF(OR(E2429&gt;TODAY(),F2429&gt;TODAY()),"Verificar evento futuro","OK"))))))</f>
        <v/>
      </c>
    </row>
    <row r="2430" spans="9:12">
      <c r="I2430" s="5">
        <f>IF(OR(A2430="",B2430=""),"",B2430-WEEKDAY(B2430,2)+1)</f>
        <v/>
      </c>
      <c r="J2430" s="5">
        <f>IF(I2430="","",I2430+6)</f>
        <v/>
      </c>
      <c r="K2430" s="6">
        <f>IF(OR(A2430="",B2430=""),"",DATE(YEAR(B2430),MONTH(B2430),1))</f>
        <v/>
      </c>
      <c r="L2430" s="7">
        <f>IF(COUNTA(A2430,B2430)=0,"",IF(OR(A2430="",B2430=""),"Preencher CPF e entrada",IF(COUNTIFS($A$12:$A$5011,A2430,$B$12:$B$5011,B2430)&gt;1,"CPF + dia duplicado",IF(OR(AND(E2430&lt;&gt;"",E2430&lt;B2430),AND(F2430&lt;&gt;"",F2430&lt;B2430)),"Evento anterior à entrada",IF(AND(F2430&lt;&gt;"",E2430=""),"Conversa sem agendamento",IF(OR(E2430&gt;TODAY(),F2430&gt;TODAY()),"Verificar evento futuro","OK"))))))</f>
        <v/>
      </c>
    </row>
    <row r="2431" spans="9:12">
      <c r="I2431" s="5">
        <f>IF(OR(A2431="",B2431=""),"",B2431-WEEKDAY(B2431,2)+1)</f>
        <v/>
      </c>
      <c r="J2431" s="5">
        <f>IF(I2431="","",I2431+6)</f>
        <v/>
      </c>
      <c r="K2431" s="6">
        <f>IF(OR(A2431="",B2431=""),"",DATE(YEAR(B2431),MONTH(B2431),1))</f>
        <v/>
      </c>
      <c r="L2431" s="7">
        <f>IF(COUNTA(A2431,B2431)=0,"",IF(OR(A2431="",B2431=""),"Preencher CPF e entrada",IF(COUNTIFS($A$12:$A$5011,A2431,$B$12:$B$5011,B2431)&gt;1,"CPF + dia duplicado",IF(OR(AND(E2431&lt;&gt;"",E2431&lt;B2431),AND(F2431&lt;&gt;"",F2431&lt;B2431)),"Evento anterior à entrada",IF(AND(F2431&lt;&gt;"",E2431=""),"Conversa sem agendamento",IF(OR(E2431&gt;TODAY(),F2431&gt;TODAY()),"Verificar evento futuro","OK"))))))</f>
        <v/>
      </c>
    </row>
    <row r="2432" spans="9:12">
      <c r="I2432" s="5">
        <f>IF(OR(A2432="",B2432=""),"",B2432-WEEKDAY(B2432,2)+1)</f>
        <v/>
      </c>
      <c r="J2432" s="5">
        <f>IF(I2432="","",I2432+6)</f>
        <v/>
      </c>
      <c r="K2432" s="6">
        <f>IF(OR(A2432="",B2432=""),"",DATE(YEAR(B2432),MONTH(B2432),1))</f>
        <v/>
      </c>
      <c r="L2432" s="7">
        <f>IF(COUNTA(A2432,B2432)=0,"",IF(OR(A2432="",B2432=""),"Preencher CPF e entrada",IF(COUNTIFS($A$12:$A$5011,A2432,$B$12:$B$5011,B2432)&gt;1,"CPF + dia duplicado",IF(OR(AND(E2432&lt;&gt;"",E2432&lt;B2432),AND(F2432&lt;&gt;"",F2432&lt;B2432)),"Evento anterior à entrada",IF(AND(F2432&lt;&gt;"",E2432=""),"Conversa sem agendamento",IF(OR(E2432&gt;TODAY(),F2432&gt;TODAY()),"Verificar evento futuro","OK"))))))</f>
        <v/>
      </c>
    </row>
    <row r="2433" spans="9:12">
      <c r="I2433" s="5">
        <f>IF(OR(A2433="",B2433=""),"",B2433-WEEKDAY(B2433,2)+1)</f>
        <v/>
      </c>
      <c r="J2433" s="5">
        <f>IF(I2433="","",I2433+6)</f>
        <v/>
      </c>
      <c r="K2433" s="6">
        <f>IF(OR(A2433="",B2433=""),"",DATE(YEAR(B2433),MONTH(B2433),1))</f>
        <v/>
      </c>
      <c r="L2433" s="7">
        <f>IF(COUNTA(A2433,B2433)=0,"",IF(OR(A2433="",B2433=""),"Preencher CPF e entrada",IF(COUNTIFS($A$12:$A$5011,A2433,$B$12:$B$5011,B2433)&gt;1,"CPF + dia duplicado",IF(OR(AND(E2433&lt;&gt;"",E2433&lt;B2433),AND(F2433&lt;&gt;"",F2433&lt;B2433)),"Evento anterior à entrada",IF(AND(F2433&lt;&gt;"",E2433=""),"Conversa sem agendamento",IF(OR(E2433&gt;TODAY(),F2433&gt;TODAY()),"Verificar evento futuro","OK"))))))</f>
        <v/>
      </c>
    </row>
    <row r="2434" spans="9:12">
      <c r="I2434" s="5">
        <f>IF(OR(A2434="",B2434=""),"",B2434-WEEKDAY(B2434,2)+1)</f>
        <v/>
      </c>
      <c r="J2434" s="5">
        <f>IF(I2434="","",I2434+6)</f>
        <v/>
      </c>
      <c r="K2434" s="6">
        <f>IF(OR(A2434="",B2434=""),"",DATE(YEAR(B2434),MONTH(B2434),1))</f>
        <v/>
      </c>
      <c r="L2434" s="7">
        <f>IF(COUNTA(A2434,B2434)=0,"",IF(OR(A2434="",B2434=""),"Preencher CPF e entrada",IF(COUNTIFS($A$12:$A$5011,A2434,$B$12:$B$5011,B2434)&gt;1,"CPF + dia duplicado",IF(OR(AND(E2434&lt;&gt;"",E2434&lt;B2434),AND(F2434&lt;&gt;"",F2434&lt;B2434)),"Evento anterior à entrada",IF(AND(F2434&lt;&gt;"",E2434=""),"Conversa sem agendamento",IF(OR(E2434&gt;TODAY(),F2434&gt;TODAY()),"Verificar evento futuro","OK"))))))</f>
        <v/>
      </c>
    </row>
    <row r="2435" spans="9:12">
      <c r="I2435" s="5">
        <f>IF(OR(A2435="",B2435=""),"",B2435-WEEKDAY(B2435,2)+1)</f>
        <v/>
      </c>
      <c r="J2435" s="5">
        <f>IF(I2435="","",I2435+6)</f>
        <v/>
      </c>
      <c r="K2435" s="6">
        <f>IF(OR(A2435="",B2435=""),"",DATE(YEAR(B2435),MONTH(B2435),1))</f>
        <v/>
      </c>
      <c r="L2435" s="7">
        <f>IF(COUNTA(A2435,B2435)=0,"",IF(OR(A2435="",B2435=""),"Preencher CPF e entrada",IF(COUNTIFS($A$12:$A$5011,A2435,$B$12:$B$5011,B2435)&gt;1,"CPF + dia duplicado",IF(OR(AND(E2435&lt;&gt;"",E2435&lt;B2435),AND(F2435&lt;&gt;"",F2435&lt;B2435)),"Evento anterior à entrada",IF(AND(F2435&lt;&gt;"",E2435=""),"Conversa sem agendamento",IF(OR(E2435&gt;TODAY(),F2435&gt;TODAY()),"Verificar evento futuro","OK"))))))</f>
        <v/>
      </c>
    </row>
    <row r="2436" spans="9:12">
      <c r="I2436" s="5">
        <f>IF(OR(A2436="",B2436=""),"",B2436-WEEKDAY(B2436,2)+1)</f>
        <v/>
      </c>
      <c r="J2436" s="5">
        <f>IF(I2436="","",I2436+6)</f>
        <v/>
      </c>
      <c r="K2436" s="6">
        <f>IF(OR(A2436="",B2436=""),"",DATE(YEAR(B2436),MONTH(B2436),1))</f>
        <v/>
      </c>
      <c r="L2436" s="7">
        <f>IF(COUNTA(A2436,B2436)=0,"",IF(OR(A2436="",B2436=""),"Preencher CPF e entrada",IF(COUNTIFS($A$12:$A$5011,A2436,$B$12:$B$5011,B2436)&gt;1,"CPF + dia duplicado",IF(OR(AND(E2436&lt;&gt;"",E2436&lt;B2436),AND(F2436&lt;&gt;"",F2436&lt;B2436)),"Evento anterior à entrada",IF(AND(F2436&lt;&gt;"",E2436=""),"Conversa sem agendamento",IF(OR(E2436&gt;TODAY(),F2436&gt;TODAY()),"Verificar evento futuro","OK"))))))</f>
        <v/>
      </c>
    </row>
    <row r="2437" spans="9:12">
      <c r="I2437" s="5">
        <f>IF(OR(A2437="",B2437=""),"",B2437-WEEKDAY(B2437,2)+1)</f>
        <v/>
      </c>
      <c r="J2437" s="5">
        <f>IF(I2437="","",I2437+6)</f>
        <v/>
      </c>
      <c r="K2437" s="6">
        <f>IF(OR(A2437="",B2437=""),"",DATE(YEAR(B2437),MONTH(B2437),1))</f>
        <v/>
      </c>
      <c r="L2437" s="7">
        <f>IF(COUNTA(A2437,B2437)=0,"",IF(OR(A2437="",B2437=""),"Preencher CPF e entrada",IF(COUNTIFS($A$12:$A$5011,A2437,$B$12:$B$5011,B2437)&gt;1,"CPF + dia duplicado",IF(OR(AND(E2437&lt;&gt;"",E2437&lt;B2437),AND(F2437&lt;&gt;"",F2437&lt;B2437)),"Evento anterior à entrada",IF(AND(F2437&lt;&gt;"",E2437=""),"Conversa sem agendamento",IF(OR(E2437&gt;TODAY(),F2437&gt;TODAY()),"Verificar evento futuro","OK"))))))</f>
        <v/>
      </c>
    </row>
    <row r="2438" spans="9:12">
      <c r="I2438" s="5">
        <f>IF(OR(A2438="",B2438=""),"",B2438-WEEKDAY(B2438,2)+1)</f>
        <v/>
      </c>
      <c r="J2438" s="5">
        <f>IF(I2438="","",I2438+6)</f>
        <v/>
      </c>
      <c r="K2438" s="6">
        <f>IF(OR(A2438="",B2438=""),"",DATE(YEAR(B2438),MONTH(B2438),1))</f>
        <v/>
      </c>
      <c r="L2438" s="7">
        <f>IF(COUNTA(A2438,B2438)=0,"",IF(OR(A2438="",B2438=""),"Preencher CPF e entrada",IF(COUNTIFS($A$12:$A$5011,A2438,$B$12:$B$5011,B2438)&gt;1,"CPF + dia duplicado",IF(OR(AND(E2438&lt;&gt;"",E2438&lt;B2438),AND(F2438&lt;&gt;"",F2438&lt;B2438)),"Evento anterior à entrada",IF(AND(F2438&lt;&gt;"",E2438=""),"Conversa sem agendamento",IF(OR(E2438&gt;TODAY(),F2438&gt;TODAY()),"Verificar evento futuro","OK"))))))</f>
        <v/>
      </c>
    </row>
    <row r="2439" spans="9:12">
      <c r="I2439" s="5">
        <f>IF(OR(A2439="",B2439=""),"",B2439-WEEKDAY(B2439,2)+1)</f>
        <v/>
      </c>
      <c r="J2439" s="5">
        <f>IF(I2439="","",I2439+6)</f>
        <v/>
      </c>
      <c r="K2439" s="6">
        <f>IF(OR(A2439="",B2439=""),"",DATE(YEAR(B2439),MONTH(B2439),1))</f>
        <v/>
      </c>
      <c r="L2439" s="7">
        <f>IF(COUNTA(A2439,B2439)=0,"",IF(OR(A2439="",B2439=""),"Preencher CPF e entrada",IF(COUNTIFS($A$12:$A$5011,A2439,$B$12:$B$5011,B2439)&gt;1,"CPF + dia duplicado",IF(OR(AND(E2439&lt;&gt;"",E2439&lt;B2439),AND(F2439&lt;&gt;"",F2439&lt;B2439)),"Evento anterior à entrada",IF(AND(F2439&lt;&gt;"",E2439=""),"Conversa sem agendamento",IF(OR(E2439&gt;TODAY(),F2439&gt;TODAY()),"Verificar evento futuro","OK"))))))</f>
        <v/>
      </c>
    </row>
    <row r="2440" spans="9:12">
      <c r="I2440" s="5">
        <f>IF(OR(A2440="",B2440=""),"",B2440-WEEKDAY(B2440,2)+1)</f>
        <v/>
      </c>
      <c r="J2440" s="5">
        <f>IF(I2440="","",I2440+6)</f>
        <v/>
      </c>
      <c r="K2440" s="6">
        <f>IF(OR(A2440="",B2440=""),"",DATE(YEAR(B2440),MONTH(B2440),1))</f>
        <v/>
      </c>
      <c r="L2440" s="7">
        <f>IF(COUNTA(A2440,B2440)=0,"",IF(OR(A2440="",B2440=""),"Preencher CPF e entrada",IF(COUNTIFS($A$12:$A$5011,A2440,$B$12:$B$5011,B2440)&gt;1,"CPF + dia duplicado",IF(OR(AND(E2440&lt;&gt;"",E2440&lt;B2440),AND(F2440&lt;&gt;"",F2440&lt;B2440)),"Evento anterior à entrada",IF(AND(F2440&lt;&gt;"",E2440=""),"Conversa sem agendamento",IF(OR(E2440&gt;TODAY(),F2440&gt;TODAY()),"Verificar evento futuro","OK"))))))</f>
        <v/>
      </c>
    </row>
    <row r="2441" spans="9:12">
      <c r="I2441" s="5">
        <f>IF(OR(A2441="",B2441=""),"",B2441-WEEKDAY(B2441,2)+1)</f>
        <v/>
      </c>
      <c r="J2441" s="5">
        <f>IF(I2441="","",I2441+6)</f>
        <v/>
      </c>
      <c r="K2441" s="6">
        <f>IF(OR(A2441="",B2441=""),"",DATE(YEAR(B2441),MONTH(B2441),1))</f>
        <v/>
      </c>
      <c r="L2441" s="7">
        <f>IF(COUNTA(A2441,B2441)=0,"",IF(OR(A2441="",B2441=""),"Preencher CPF e entrada",IF(COUNTIFS($A$12:$A$5011,A2441,$B$12:$B$5011,B2441)&gt;1,"CPF + dia duplicado",IF(OR(AND(E2441&lt;&gt;"",E2441&lt;B2441),AND(F2441&lt;&gt;"",F2441&lt;B2441)),"Evento anterior à entrada",IF(AND(F2441&lt;&gt;"",E2441=""),"Conversa sem agendamento",IF(OR(E2441&gt;TODAY(),F2441&gt;TODAY()),"Verificar evento futuro","OK"))))))</f>
        <v/>
      </c>
    </row>
    <row r="2442" spans="9:12">
      <c r="I2442" s="5">
        <f>IF(OR(A2442="",B2442=""),"",B2442-WEEKDAY(B2442,2)+1)</f>
        <v/>
      </c>
      <c r="J2442" s="5">
        <f>IF(I2442="","",I2442+6)</f>
        <v/>
      </c>
      <c r="K2442" s="6">
        <f>IF(OR(A2442="",B2442=""),"",DATE(YEAR(B2442),MONTH(B2442),1))</f>
        <v/>
      </c>
      <c r="L2442" s="7">
        <f>IF(COUNTA(A2442,B2442)=0,"",IF(OR(A2442="",B2442=""),"Preencher CPF e entrada",IF(COUNTIFS($A$12:$A$5011,A2442,$B$12:$B$5011,B2442)&gt;1,"CPF + dia duplicado",IF(OR(AND(E2442&lt;&gt;"",E2442&lt;B2442),AND(F2442&lt;&gt;"",F2442&lt;B2442)),"Evento anterior à entrada",IF(AND(F2442&lt;&gt;"",E2442=""),"Conversa sem agendamento",IF(OR(E2442&gt;TODAY(),F2442&gt;TODAY()),"Verificar evento futuro","OK"))))))</f>
        <v/>
      </c>
    </row>
    <row r="2443" spans="9:12">
      <c r="I2443" s="5">
        <f>IF(OR(A2443="",B2443=""),"",B2443-WEEKDAY(B2443,2)+1)</f>
        <v/>
      </c>
      <c r="J2443" s="5">
        <f>IF(I2443="","",I2443+6)</f>
        <v/>
      </c>
      <c r="K2443" s="6">
        <f>IF(OR(A2443="",B2443=""),"",DATE(YEAR(B2443),MONTH(B2443),1))</f>
        <v/>
      </c>
      <c r="L2443" s="7">
        <f>IF(COUNTA(A2443,B2443)=0,"",IF(OR(A2443="",B2443=""),"Preencher CPF e entrada",IF(COUNTIFS($A$12:$A$5011,A2443,$B$12:$B$5011,B2443)&gt;1,"CPF + dia duplicado",IF(OR(AND(E2443&lt;&gt;"",E2443&lt;B2443),AND(F2443&lt;&gt;"",F2443&lt;B2443)),"Evento anterior à entrada",IF(AND(F2443&lt;&gt;"",E2443=""),"Conversa sem agendamento",IF(OR(E2443&gt;TODAY(),F2443&gt;TODAY()),"Verificar evento futuro","OK"))))))</f>
        <v/>
      </c>
    </row>
    <row r="2444" spans="9:12">
      <c r="I2444" s="5">
        <f>IF(OR(A2444="",B2444=""),"",B2444-WEEKDAY(B2444,2)+1)</f>
        <v/>
      </c>
      <c r="J2444" s="5">
        <f>IF(I2444="","",I2444+6)</f>
        <v/>
      </c>
      <c r="K2444" s="6">
        <f>IF(OR(A2444="",B2444=""),"",DATE(YEAR(B2444),MONTH(B2444),1))</f>
        <v/>
      </c>
      <c r="L2444" s="7">
        <f>IF(COUNTA(A2444,B2444)=0,"",IF(OR(A2444="",B2444=""),"Preencher CPF e entrada",IF(COUNTIFS($A$12:$A$5011,A2444,$B$12:$B$5011,B2444)&gt;1,"CPF + dia duplicado",IF(OR(AND(E2444&lt;&gt;"",E2444&lt;B2444),AND(F2444&lt;&gt;"",F2444&lt;B2444)),"Evento anterior à entrada",IF(AND(F2444&lt;&gt;"",E2444=""),"Conversa sem agendamento",IF(OR(E2444&gt;TODAY(),F2444&gt;TODAY()),"Verificar evento futuro","OK"))))))</f>
        <v/>
      </c>
    </row>
    <row r="2445" spans="9:12">
      <c r="I2445" s="5">
        <f>IF(OR(A2445="",B2445=""),"",B2445-WEEKDAY(B2445,2)+1)</f>
        <v/>
      </c>
      <c r="J2445" s="5">
        <f>IF(I2445="","",I2445+6)</f>
        <v/>
      </c>
      <c r="K2445" s="6">
        <f>IF(OR(A2445="",B2445=""),"",DATE(YEAR(B2445),MONTH(B2445),1))</f>
        <v/>
      </c>
      <c r="L2445" s="7">
        <f>IF(COUNTA(A2445,B2445)=0,"",IF(OR(A2445="",B2445=""),"Preencher CPF e entrada",IF(COUNTIFS($A$12:$A$5011,A2445,$B$12:$B$5011,B2445)&gt;1,"CPF + dia duplicado",IF(OR(AND(E2445&lt;&gt;"",E2445&lt;B2445),AND(F2445&lt;&gt;"",F2445&lt;B2445)),"Evento anterior à entrada",IF(AND(F2445&lt;&gt;"",E2445=""),"Conversa sem agendamento",IF(OR(E2445&gt;TODAY(),F2445&gt;TODAY()),"Verificar evento futuro","OK"))))))</f>
        <v/>
      </c>
    </row>
    <row r="2446" spans="9:12">
      <c r="I2446" s="5">
        <f>IF(OR(A2446="",B2446=""),"",B2446-WEEKDAY(B2446,2)+1)</f>
        <v/>
      </c>
      <c r="J2446" s="5">
        <f>IF(I2446="","",I2446+6)</f>
        <v/>
      </c>
      <c r="K2446" s="6">
        <f>IF(OR(A2446="",B2446=""),"",DATE(YEAR(B2446),MONTH(B2446),1))</f>
        <v/>
      </c>
      <c r="L2446" s="7">
        <f>IF(COUNTA(A2446,B2446)=0,"",IF(OR(A2446="",B2446=""),"Preencher CPF e entrada",IF(COUNTIFS($A$12:$A$5011,A2446,$B$12:$B$5011,B2446)&gt;1,"CPF + dia duplicado",IF(OR(AND(E2446&lt;&gt;"",E2446&lt;B2446),AND(F2446&lt;&gt;"",F2446&lt;B2446)),"Evento anterior à entrada",IF(AND(F2446&lt;&gt;"",E2446=""),"Conversa sem agendamento",IF(OR(E2446&gt;TODAY(),F2446&gt;TODAY()),"Verificar evento futuro","OK"))))))</f>
        <v/>
      </c>
    </row>
    <row r="2447" spans="9:12">
      <c r="I2447" s="5">
        <f>IF(OR(A2447="",B2447=""),"",B2447-WEEKDAY(B2447,2)+1)</f>
        <v/>
      </c>
      <c r="J2447" s="5">
        <f>IF(I2447="","",I2447+6)</f>
        <v/>
      </c>
      <c r="K2447" s="6">
        <f>IF(OR(A2447="",B2447=""),"",DATE(YEAR(B2447),MONTH(B2447),1))</f>
        <v/>
      </c>
      <c r="L2447" s="7">
        <f>IF(COUNTA(A2447,B2447)=0,"",IF(OR(A2447="",B2447=""),"Preencher CPF e entrada",IF(COUNTIFS($A$12:$A$5011,A2447,$B$12:$B$5011,B2447)&gt;1,"CPF + dia duplicado",IF(OR(AND(E2447&lt;&gt;"",E2447&lt;B2447),AND(F2447&lt;&gt;"",F2447&lt;B2447)),"Evento anterior à entrada",IF(AND(F2447&lt;&gt;"",E2447=""),"Conversa sem agendamento",IF(OR(E2447&gt;TODAY(),F2447&gt;TODAY()),"Verificar evento futuro","OK"))))))</f>
        <v/>
      </c>
    </row>
    <row r="2448" spans="9:12">
      <c r="I2448" s="5">
        <f>IF(OR(A2448="",B2448=""),"",B2448-WEEKDAY(B2448,2)+1)</f>
        <v/>
      </c>
      <c r="J2448" s="5">
        <f>IF(I2448="","",I2448+6)</f>
        <v/>
      </c>
      <c r="K2448" s="6">
        <f>IF(OR(A2448="",B2448=""),"",DATE(YEAR(B2448),MONTH(B2448),1))</f>
        <v/>
      </c>
      <c r="L2448" s="7">
        <f>IF(COUNTA(A2448,B2448)=0,"",IF(OR(A2448="",B2448=""),"Preencher CPF e entrada",IF(COUNTIFS($A$12:$A$5011,A2448,$B$12:$B$5011,B2448)&gt;1,"CPF + dia duplicado",IF(OR(AND(E2448&lt;&gt;"",E2448&lt;B2448),AND(F2448&lt;&gt;"",F2448&lt;B2448)),"Evento anterior à entrada",IF(AND(F2448&lt;&gt;"",E2448=""),"Conversa sem agendamento",IF(OR(E2448&gt;TODAY(),F2448&gt;TODAY()),"Verificar evento futuro","OK"))))))</f>
        <v/>
      </c>
    </row>
    <row r="2449" spans="9:12">
      <c r="I2449" s="5">
        <f>IF(OR(A2449="",B2449=""),"",B2449-WEEKDAY(B2449,2)+1)</f>
        <v/>
      </c>
      <c r="J2449" s="5">
        <f>IF(I2449="","",I2449+6)</f>
        <v/>
      </c>
      <c r="K2449" s="6">
        <f>IF(OR(A2449="",B2449=""),"",DATE(YEAR(B2449),MONTH(B2449),1))</f>
        <v/>
      </c>
      <c r="L2449" s="7">
        <f>IF(COUNTA(A2449,B2449)=0,"",IF(OR(A2449="",B2449=""),"Preencher CPF e entrada",IF(COUNTIFS($A$12:$A$5011,A2449,$B$12:$B$5011,B2449)&gt;1,"CPF + dia duplicado",IF(OR(AND(E2449&lt;&gt;"",E2449&lt;B2449),AND(F2449&lt;&gt;"",F2449&lt;B2449)),"Evento anterior à entrada",IF(AND(F2449&lt;&gt;"",E2449=""),"Conversa sem agendamento",IF(OR(E2449&gt;TODAY(),F2449&gt;TODAY()),"Verificar evento futuro","OK"))))))</f>
        <v/>
      </c>
    </row>
    <row r="2450" spans="9:12">
      <c r="I2450" s="5">
        <f>IF(OR(A2450="",B2450=""),"",B2450-WEEKDAY(B2450,2)+1)</f>
        <v/>
      </c>
      <c r="J2450" s="5">
        <f>IF(I2450="","",I2450+6)</f>
        <v/>
      </c>
      <c r="K2450" s="6">
        <f>IF(OR(A2450="",B2450=""),"",DATE(YEAR(B2450),MONTH(B2450),1))</f>
        <v/>
      </c>
      <c r="L2450" s="7">
        <f>IF(COUNTA(A2450,B2450)=0,"",IF(OR(A2450="",B2450=""),"Preencher CPF e entrada",IF(COUNTIFS($A$12:$A$5011,A2450,$B$12:$B$5011,B2450)&gt;1,"CPF + dia duplicado",IF(OR(AND(E2450&lt;&gt;"",E2450&lt;B2450),AND(F2450&lt;&gt;"",F2450&lt;B2450)),"Evento anterior à entrada",IF(AND(F2450&lt;&gt;"",E2450=""),"Conversa sem agendamento",IF(OR(E2450&gt;TODAY(),F2450&gt;TODAY()),"Verificar evento futuro","OK"))))))</f>
        <v/>
      </c>
    </row>
    <row r="2451" spans="9:12">
      <c r="I2451" s="5">
        <f>IF(OR(A2451="",B2451=""),"",B2451-WEEKDAY(B2451,2)+1)</f>
        <v/>
      </c>
      <c r="J2451" s="5">
        <f>IF(I2451="","",I2451+6)</f>
        <v/>
      </c>
      <c r="K2451" s="6">
        <f>IF(OR(A2451="",B2451=""),"",DATE(YEAR(B2451),MONTH(B2451),1))</f>
        <v/>
      </c>
      <c r="L2451" s="7">
        <f>IF(COUNTA(A2451,B2451)=0,"",IF(OR(A2451="",B2451=""),"Preencher CPF e entrada",IF(COUNTIFS($A$12:$A$5011,A2451,$B$12:$B$5011,B2451)&gt;1,"CPF + dia duplicado",IF(OR(AND(E2451&lt;&gt;"",E2451&lt;B2451),AND(F2451&lt;&gt;"",F2451&lt;B2451)),"Evento anterior à entrada",IF(AND(F2451&lt;&gt;"",E2451=""),"Conversa sem agendamento",IF(OR(E2451&gt;TODAY(),F2451&gt;TODAY()),"Verificar evento futuro","OK"))))))</f>
        <v/>
      </c>
    </row>
    <row r="2452" spans="9:12">
      <c r="I2452" s="5">
        <f>IF(OR(A2452="",B2452=""),"",B2452-WEEKDAY(B2452,2)+1)</f>
        <v/>
      </c>
      <c r="J2452" s="5">
        <f>IF(I2452="","",I2452+6)</f>
        <v/>
      </c>
      <c r="K2452" s="6">
        <f>IF(OR(A2452="",B2452=""),"",DATE(YEAR(B2452),MONTH(B2452),1))</f>
        <v/>
      </c>
      <c r="L2452" s="7">
        <f>IF(COUNTA(A2452,B2452)=0,"",IF(OR(A2452="",B2452=""),"Preencher CPF e entrada",IF(COUNTIFS($A$12:$A$5011,A2452,$B$12:$B$5011,B2452)&gt;1,"CPF + dia duplicado",IF(OR(AND(E2452&lt;&gt;"",E2452&lt;B2452),AND(F2452&lt;&gt;"",F2452&lt;B2452)),"Evento anterior à entrada",IF(AND(F2452&lt;&gt;"",E2452=""),"Conversa sem agendamento",IF(OR(E2452&gt;TODAY(),F2452&gt;TODAY()),"Verificar evento futuro","OK"))))))</f>
        <v/>
      </c>
    </row>
    <row r="2453" spans="9:12">
      <c r="I2453" s="5">
        <f>IF(OR(A2453="",B2453=""),"",B2453-WEEKDAY(B2453,2)+1)</f>
        <v/>
      </c>
      <c r="J2453" s="5">
        <f>IF(I2453="","",I2453+6)</f>
        <v/>
      </c>
      <c r="K2453" s="6">
        <f>IF(OR(A2453="",B2453=""),"",DATE(YEAR(B2453),MONTH(B2453),1))</f>
        <v/>
      </c>
      <c r="L2453" s="7">
        <f>IF(COUNTA(A2453,B2453)=0,"",IF(OR(A2453="",B2453=""),"Preencher CPF e entrada",IF(COUNTIFS($A$12:$A$5011,A2453,$B$12:$B$5011,B2453)&gt;1,"CPF + dia duplicado",IF(OR(AND(E2453&lt;&gt;"",E2453&lt;B2453),AND(F2453&lt;&gt;"",F2453&lt;B2453)),"Evento anterior à entrada",IF(AND(F2453&lt;&gt;"",E2453=""),"Conversa sem agendamento",IF(OR(E2453&gt;TODAY(),F2453&gt;TODAY()),"Verificar evento futuro","OK"))))))</f>
        <v/>
      </c>
    </row>
    <row r="2454" spans="9:12">
      <c r="I2454" s="5">
        <f>IF(OR(A2454="",B2454=""),"",B2454-WEEKDAY(B2454,2)+1)</f>
        <v/>
      </c>
      <c r="J2454" s="5">
        <f>IF(I2454="","",I2454+6)</f>
        <v/>
      </c>
      <c r="K2454" s="6">
        <f>IF(OR(A2454="",B2454=""),"",DATE(YEAR(B2454),MONTH(B2454),1))</f>
        <v/>
      </c>
      <c r="L2454" s="7">
        <f>IF(COUNTA(A2454,B2454)=0,"",IF(OR(A2454="",B2454=""),"Preencher CPF e entrada",IF(COUNTIFS($A$12:$A$5011,A2454,$B$12:$B$5011,B2454)&gt;1,"CPF + dia duplicado",IF(OR(AND(E2454&lt;&gt;"",E2454&lt;B2454),AND(F2454&lt;&gt;"",F2454&lt;B2454)),"Evento anterior à entrada",IF(AND(F2454&lt;&gt;"",E2454=""),"Conversa sem agendamento",IF(OR(E2454&gt;TODAY(),F2454&gt;TODAY()),"Verificar evento futuro","OK"))))))</f>
        <v/>
      </c>
    </row>
    <row r="2455" spans="9:12">
      <c r="I2455" s="5">
        <f>IF(OR(A2455="",B2455=""),"",B2455-WEEKDAY(B2455,2)+1)</f>
        <v/>
      </c>
      <c r="J2455" s="5">
        <f>IF(I2455="","",I2455+6)</f>
        <v/>
      </c>
      <c r="K2455" s="6">
        <f>IF(OR(A2455="",B2455=""),"",DATE(YEAR(B2455),MONTH(B2455),1))</f>
        <v/>
      </c>
      <c r="L2455" s="7">
        <f>IF(COUNTA(A2455,B2455)=0,"",IF(OR(A2455="",B2455=""),"Preencher CPF e entrada",IF(COUNTIFS($A$12:$A$5011,A2455,$B$12:$B$5011,B2455)&gt;1,"CPF + dia duplicado",IF(OR(AND(E2455&lt;&gt;"",E2455&lt;B2455),AND(F2455&lt;&gt;"",F2455&lt;B2455)),"Evento anterior à entrada",IF(AND(F2455&lt;&gt;"",E2455=""),"Conversa sem agendamento",IF(OR(E2455&gt;TODAY(),F2455&gt;TODAY()),"Verificar evento futuro","OK"))))))</f>
        <v/>
      </c>
    </row>
    <row r="2456" spans="9:12">
      <c r="I2456" s="5">
        <f>IF(OR(A2456="",B2456=""),"",B2456-WEEKDAY(B2456,2)+1)</f>
        <v/>
      </c>
      <c r="J2456" s="5">
        <f>IF(I2456="","",I2456+6)</f>
        <v/>
      </c>
      <c r="K2456" s="6">
        <f>IF(OR(A2456="",B2456=""),"",DATE(YEAR(B2456),MONTH(B2456),1))</f>
        <v/>
      </c>
      <c r="L2456" s="7">
        <f>IF(COUNTA(A2456,B2456)=0,"",IF(OR(A2456="",B2456=""),"Preencher CPF e entrada",IF(COUNTIFS($A$12:$A$5011,A2456,$B$12:$B$5011,B2456)&gt;1,"CPF + dia duplicado",IF(OR(AND(E2456&lt;&gt;"",E2456&lt;B2456),AND(F2456&lt;&gt;"",F2456&lt;B2456)),"Evento anterior à entrada",IF(AND(F2456&lt;&gt;"",E2456=""),"Conversa sem agendamento",IF(OR(E2456&gt;TODAY(),F2456&gt;TODAY()),"Verificar evento futuro","OK"))))))</f>
        <v/>
      </c>
    </row>
    <row r="2457" spans="9:12">
      <c r="I2457" s="5">
        <f>IF(OR(A2457="",B2457=""),"",B2457-WEEKDAY(B2457,2)+1)</f>
        <v/>
      </c>
      <c r="J2457" s="5">
        <f>IF(I2457="","",I2457+6)</f>
        <v/>
      </c>
      <c r="K2457" s="6">
        <f>IF(OR(A2457="",B2457=""),"",DATE(YEAR(B2457),MONTH(B2457),1))</f>
        <v/>
      </c>
      <c r="L2457" s="7">
        <f>IF(COUNTA(A2457,B2457)=0,"",IF(OR(A2457="",B2457=""),"Preencher CPF e entrada",IF(COUNTIFS($A$12:$A$5011,A2457,$B$12:$B$5011,B2457)&gt;1,"CPF + dia duplicado",IF(OR(AND(E2457&lt;&gt;"",E2457&lt;B2457),AND(F2457&lt;&gt;"",F2457&lt;B2457)),"Evento anterior à entrada",IF(AND(F2457&lt;&gt;"",E2457=""),"Conversa sem agendamento",IF(OR(E2457&gt;TODAY(),F2457&gt;TODAY()),"Verificar evento futuro","OK"))))))</f>
        <v/>
      </c>
    </row>
    <row r="2458" spans="9:12">
      <c r="I2458" s="5">
        <f>IF(OR(A2458="",B2458=""),"",B2458-WEEKDAY(B2458,2)+1)</f>
        <v/>
      </c>
      <c r="J2458" s="5">
        <f>IF(I2458="","",I2458+6)</f>
        <v/>
      </c>
      <c r="K2458" s="6">
        <f>IF(OR(A2458="",B2458=""),"",DATE(YEAR(B2458),MONTH(B2458),1))</f>
        <v/>
      </c>
      <c r="L2458" s="7">
        <f>IF(COUNTA(A2458,B2458)=0,"",IF(OR(A2458="",B2458=""),"Preencher CPF e entrada",IF(COUNTIFS($A$12:$A$5011,A2458,$B$12:$B$5011,B2458)&gt;1,"CPF + dia duplicado",IF(OR(AND(E2458&lt;&gt;"",E2458&lt;B2458),AND(F2458&lt;&gt;"",F2458&lt;B2458)),"Evento anterior à entrada",IF(AND(F2458&lt;&gt;"",E2458=""),"Conversa sem agendamento",IF(OR(E2458&gt;TODAY(),F2458&gt;TODAY()),"Verificar evento futuro","OK"))))))</f>
        <v/>
      </c>
    </row>
    <row r="2459" spans="9:12">
      <c r="I2459" s="5">
        <f>IF(OR(A2459="",B2459=""),"",B2459-WEEKDAY(B2459,2)+1)</f>
        <v/>
      </c>
      <c r="J2459" s="5">
        <f>IF(I2459="","",I2459+6)</f>
        <v/>
      </c>
      <c r="K2459" s="6">
        <f>IF(OR(A2459="",B2459=""),"",DATE(YEAR(B2459),MONTH(B2459),1))</f>
        <v/>
      </c>
      <c r="L2459" s="7">
        <f>IF(COUNTA(A2459,B2459)=0,"",IF(OR(A2459="",B2459=""),"Preencher CPF e entrada",IF(COUNTIFS($A$12:$A$5011,A2459,$B$12:$B$5011,B2459)&gt;1,"CPF + dia duplicado",IF(OR(AND(E2459&lt;&gt;"",E2459&lt;B2459),AND(F2459&lt;&gt;"",F2459&lt;B2459)),"Evento anterior à entrada",IF(AND(F2459&lt;&gt;"",E2459=""),"Conversa sem agendamento",IF(OR(E2459&gt;TODAY(),F2459&gt;TODAY()),"Verificar evento futuro","OK"))))))</f>
        <v/>
      </c>
    </row>
    <row r="2460" spans="9:12">
      <c r="I2460" s="5">
        <f>IF(OR(A2460="",B2460=""),"",B2460-WEEKDAY(B2460,2)+1)</f>
        <v/>
      </c>
      <c r="J2460" s="5">
        <f>IF(I2460="","",I2460+6)</f>
        <v/>
      </c>
      <c r="K2460" s="6">
        <f>IF(OR(A2460="",B2460=""),"",DATE(YEAR(B2460),MONTH(B2460),1))</f>
        <v/>
      </c>
      <c r="L2460" s="7">
        <f>IF(COUNTA(A2460,B2460)=0,"",IF(OR(A2460="",B2460=""),"Preencher CPF e entrada",IF(COUNTIFS($A$12:$A$5011,A2460,$B$12:$B$5011,B2460)&gt;1,"CPF + dia duplicado",IF(OR(AND(E2460&lt;&gt;"",E2460&lt;B2460),AND(F2460&lt;&gt;"",F2460&lt;B2460)),"Evento anterior à entrada",IF(AND(F2460&lt;&gt;"",E2460=""),"Conversa sem agendamento",IF(OR(E2460&gt;TODAY(),F2460&gt;TODAY()),"Verificar evento futuro","OK"))))))</f>
        <v/>
      </c>
    </row>
    <row r="2461" spans="9:12">
      <c r="I2461" s="5">
        <f>IF(OR(A2461="",B2461=""),"",B2461-WEEKDAY(B2461,2)+1)</f>
        <v/>
      </c>
      <c r="J2461" s="5">
        <f>IF(I2461="","",I2461+6)</f>
        <v/>
      </c>
      <c r="K2461" s="6">
        <f>IF(OR(A2461="",B2461=""),"",DATE(YEAR(B2461),MONTH(B2461),1))</f>
        <v/>
      </c>
      <c r="L2461" s="7">
        <f>IF(COUNTA(A2461,B2461)=0,"",IF(OR(A2461="",B2461=""),"Preencher CPF e entrada",IF(COUNTIFS($A$12:$A$5011,A2461,$B$12:$B$5011,B2461)&gt;1,"CPF + dia duplicado",IF(OR(AND(E2461&lt;&gt;"",E2461&lt;B2461),AND(F2461&lt;&gt;"",F2461&lt;B2461)),"Evento anterior à entrada",IF(AND(F2461&lt;&gt;"",E2461=""),"Conversa sem agendamento",IF(OR(E2461&gt;TODAY(),F2461&gt;TODAY()),"Verificar evento futuro","OK"))))))</f>
        <v/>
      </c>
    </row>
    <row r="2462" spans="9:12">
      <c r="I2462" s="5">
        <f>IF(OR(A2462="",B2462=""),"",B2462-WEEKDAY(B2462,2)+1)</f>
        <v/>
      </c>
      <c r="J2462" s="5">
        <f>IF(I2462="","",I2462+6)</f>
        <v/>
      </c>
      <c r="K2462" s="6">
        <f>IF(OR(A2462="",B2462=""),"",DATE(YEAR(B2462),MONTH(B2462),1))</f>
        <v/>
      </c>
      <c r="L2462" s="7">
        <f>IF(COUNTA(A2462,B2462)=0,"",IF(OR(A2462="",B2462=""),"Preencher CPF e entrada",IF(COUNTIFS($A$12:$A$5011,A2462,$B$12:$B$5011,B2462)&gt;1,"CPF + dia duplicado",IF(OR(AND(E2462&lt;&gt;"",E2462&lt;B2462),AND(F2462&lt;&gt;"",F2462&lt;B2462)),"Evento anterior à entrada",IF(AND(F2462&lt;&gt;"",E2462=""),"Conversa sem agendamento",IF(OR(E2462&gt;TODAY(),F2462&gt;TODAY()),"Verificar evento futuro","OK"))))))</f>
        <v/>
      </c>
    </row>
    <row r="2463" spans="9:12">
      <c r="I2463" s="5">
        <f>IF(OR(A2463="",B2463=""),"",B2463-WEEKDAY(B2463,2)+1)</f>
        <v/>
      </c>
      <c r="J2463" s="5">
        <f>IF(I2463="","",I2463+6)</f>
        <v/>
      </c>
      <c r="K2463" s="6">
        <f>IF(OR(A2463="",B2463=""),"",DATE(YEAR(B2463),MONTH(B2463),1))</f>
        <v/>
      </c>
      <c r="L2463" s="7">
        <f>IF(COUNTA(A2463,B2463)=0,"",IF(OR(A2463="",B2463=""),"Preencher CPF e entrada",IF(COUNTIFS($A$12:$A$5011,A2463,$B$12:$B$5011,B2463)&gt;1,"CPF + dia duplicado",IF(OR(AND(E2463&lt;&gt;"",E2463&lt;B2463),AND(F2463&lt;&gt;"",F2463&lt;B2463)),"Evento anterior à entrada",IF(AND(F2463&lt;&gt;"",E2463=""),"Conversa sem agendamento",IF(OR(E2463&gt;TODAY(),F2463&gt;TODAY()),"Verificar evento futuro","OK"))))))</f>
        <v/>
      </c>
    </row>
    <row r="2464" spans="9:12">
      <c r="I2464" s="5">
        <f>IF(OR(A2464="",B2464=""),"",B2464-WEEKDAY(B2464,2)+1)</f>
        <v/>
      </c>
      <c r="J2464" s="5">
        <f>IF(I2464="","",I2464+6)</f>
        <v/>
      </c>
      <c r="K2464" s="6">
        <f>IF(OR(A2464="",B2464=""),"",DATE(YEAR(B2464),MONTH(B2464),1))</f>
        <v/>
      </c>
      <c r="L2464" s="7">
        <f>IF(COUNTA(A2464,B2464)=0,"",IF(OR(A2464="",B2464=""),"Preencher CPF e entrada",IF(COUNTIFS($A$12:$A$5011,A2464,$B$12:$B$5011,B2464)&gt;1,"CPF + dia duplicado",IF(OR(AND(E2464&lt;&gt;"",E2464&lt;B2464),AND(F2464&lt;&gt;"",F2464&lt;B2464)),"Evento anterior à entrada",IF(AND(F2464&lt;&gt;"",E2464=""),"Conversa sem agendamento",IF(OR(E2464&gt;TODAY(),F2464&gt;TODAY()),"Verificar evento futuro","OK"))))))</f>
        <v/>
      </c>
    </row>
    <row r="2465" spans="9:12">
      <c r="I2465" s="5">
        <f>IF(OR(A2465="",B2465=""),"",B2465-WEEKDAY(B2465,2)+1)</f>
        <v/>
      </c>
      <c r="J2465" s="5">
        <f>IF(I2465="","",I2465+6)</f>
        <v/>
      </c>
      <c r="K2465" s="6">
        <f>IF(OR(A2465="",B2465=""),"",DATE(YEAR(B2465),MONTH(B2465),1))</f>
        <v/>
      </c>
      <c r="L2465" s="7">
        <f>IF(COUNTA(A2465,B2465)=0,"",IF(OR(A2465="",B2465=""),"Preencher CPF e entrada",IF(COUNTIFS($A$12:$A$5011,A2465,$B$12:$B$5011,B2465)&gt;1,"CPF + dia duplicado",IF(OR(AND(E2465&lt;&gt;"",E2465&lt;B2465),AND(F2465&lt;&gt;"",F2465&lt;B2465)),"Evento anterior à entrada",IF(AND(F2465&lt;&gt;"",E2465=""),"Conversa sem agendamento",IF(OR(E2465&gt;TODAY(),F2465&gt;TODAY()),"Verificar evento futuro","OK"))))))</f>
        <v/>
      </c>
    </row>
    <row r="2466" spans="9:12">
      <c r="I2466" s="5">
        <f>IF(OR(A2466="",B2466=""),"",B2466-WEEKDAY(B2466,2)+1)</f>
        <v/>
      </c>
      <c r="J2466" s="5">
        <f>IF(I2466="","",I2466+6)</f>
        <v/>
      </c>
      <c r="K2466" s="6">
        <f>IF(OR(A2466="",B2466=""),"",DATE(YEAR(B2466),MONTH(B2466),1))</f>
        <v/>
      </c>
      <c r="L2466" s="7">
        <f>IF(COUNTA(A2466,B2466)=0,"",IF(OR(A2466="",B2466=""),"Preencher CPF e entrada",IF(COUNTIFS($A$12:$A$5011,A2466,$B$12:$B$5011,B2466)&gt;1,"CPF + dia duplicado",IF(OR(AND(E2466&lt;&gt;"",E2466&lt;B2466),AND(F2466&lt;&gt;"",F2466&lt;B2466)),"Evento anterior à entrada",IF(AND(F2466&lt;&gt;"",E2466=""),"Conversa sem agendamento",IF(OR(E2466&gt;TODAY(),F2466&gt;TODAY()),"Verificar evento futuro","OK"))))))</f>
        <v/>
      </c>
    </row>
    <row r="2467" spans="9:12">
      <c r="I2467" s="5">
        <f>IF(OR(A2467="",B2467=""),"",B2467-WEEKDAY(B2467,2)+1)</f>
        <v/>
      </c>
      <c r="J2467" s="5">
        <f>IF(I2467="","",I2467+6)</f>
        <v/>
      </c>
      <c r="K2467" s="6">
        <f>IF(OR(A2467="",B2467=""),"",DATE(YEAR(B2467),MONTH(B2467),1))</f>
        <v/>
      </c>
      <c r="L2467" s="7">
        <f>IF(COUNTA(A2467,B2467)=0,"",IF(OR(A2467="",B2467=""),"Preencher CPF e entrada",IF(COUNTIFS($A$12:$A$5011,A2467,$B$12:$B$5011,B2467)&gt;1,"CPF + dia duplicado",IF(OR(AND(E2467&lt;&gt;"",E2467&lt;B2467),AND(F2467&lt;&gt;"",F2467&lt;B2467)),"Evento anterior à entrada",IF(AND(F2467&lt;&gt;"",E2467=""),"Conversa sem agendamento",IF(OR(E2467&gt;TODAY(),F2467&gt;TODAY()),"Verificar evento futuro","OK"))))))</f>
        <v/>
      </c>
    </row>
    <row r="2468" spans="9:12">
      <c r="I2468" s="5">
        <f>IF(OR(A2468="",B2468=""),"",B2468-WEEKDAY(B2468,2)+1)</f>
        <v/>
      </c>
      <c r="J2468" s="5">
        <f>IF(I2468="","",I2468+6)</f>
        <v/>
      </c>
      <c r="K2468" s="6">
        <f>IF(OR(A2468="",B2468=""),"",DATE(YEAR(B2468),MONTH(B2468),1))</f>
        <v/>
      </c>
      <c r="L2468" s="7">
        <f>IF(COUNTA(A2468,B2468)=0,"",IF(OR(A2468="",B2468=""),"Preencher CPF e entrada",IF(COUNTIFS($A$12:$A$5011,A2468,$B$12:$B$5011,B2468)&gt;1,"CPF + dia duplicado",IF(OR(AND(E2468&lt;&gt;"",E2468&lt;B2468),AND(F2468&lt;&gt;"",F2468&lt;B2468)),"Evento anterior à entrada",IF(AND(F2468&lt;&gt;"",E2468=""),"Conversa sem agendamento",IF(OR(E2468&gt;TODAY(),F2468&gt;TODAY()),"Verificar evento futuro","OK"))))))</f>
        <v/>
      </c>
    </row>
    <row r="2469" spans="9:12">
      <c r="I2469" s="5">
        <f>IF(OR(A2469="",B2469=""),"",B2469-WEEKDAY(B2469,2)+1)</f>
        <v/>
      </c>
      <c r="J2469" s="5">
        <f>IF(I2469="","",I2469+6)</f>
        <v/>
      </c>
      <c r="K2469" s="6">
        <f>IF(OR(A2469="",B2469=""),"",DATE(YEAR(B2469),MONTH(B2469),1))</f>
        <v/>
      </c>
      <c r="L2469" s="7">
        <f>IF(COUNTA(A2469,B2469)=0,"",IF(OR(A2469="",B2469=""),"Preencher CPF e entrada",IF(COUNTIFS($A$12:$A$5011,A2469,$B$12:$B$5011,B2469)&gt;1,"CPF + dia duplicado",IF(OR(AND(E2469&lt;&gt;"",E2469&lt;B2469),AND(F2469&lt;&gt;"",F2469&lt;B2469)),"Evento anterior à entrada",IF(AND(F2469&lt;&gt;"",E2469=""),"Conversa sem agendamento",IF(OR(E2469&gt;TODAY(),F2469&gt;TODAY()),"Verificar evento futuro","OK"))))))</f>
        <v/>
      </c>
    </row>
    <row r="2470" spans="9:12">
      <c r="I2470" s="5">
        <f>IF(OR(A2470="",B2470=""),"",B2470-WEEKDAY(B2470,2)+1)</f>
        <v/>
      </c>
      <c r="J2470" s="5">
        <f>IF(I2470="","",I2470+6)</f>
        <v/>
      </c>
      <c r="K2470" s="6">
        <f>IF(OR(A2470="",B2470=""),"",DATE(YEAR(B2470),MONTH(B2470),1))</f>
        <v/>
      </c>
      <c r="L2470" s="7">
        <f>IF(COUNTA(A2470,B2470)=0,"",IF(OR(A2470="",B2470=""),"Preencher CPF e entrada",IF(COUNTIFS($A$12:$A$5011,A2470,$B$12:$B$5011,B2470)&gt;1,"CPF + dia duplicado",IF(OR(AND(E2470&lt;&gt;"",E2470&lt;B2470),AND(F2470&lt;&gt;"",F2470&lt;B2470)),"Evento anterior à entrada",IF(AND(F2470&lt;&gt;"",E2470=""),"Conversa sem agendamento",IF(OR(E2470&gt;TODAY(),F2470&gt;TODAY()),"Verificar evento futuro","OK"))))))</f>
        <v/>
      </c>
    </row>
    <row r="2471" spans="9:12">
      <c r="I2471" s="5">
        <f>IF(OR(A2471="",B2471=""),"",B2471-WEEKDAY(B2471,2)+1)</f>
        <v/>
      </c>
      <c r="J2471" s="5">
        <f>IF(I2471="","",I2471+6)</f>
        <v/>
      </c>
      <c r="K2471" s="6">
        <f>IF(OR(A2471="",B2471=""),"",DATE(YEAR(B2471),MONTH(B2471),1))</f>
        <v/>
      </c>
      <c r="L2471" s="7">
        <f>IF(COUNTA(A2471,B2471)=0,"",IF(OR(A2471="",B2471=""),"Preencher CPF e entrada",IF(COUNTIFS($A$12:$A$5011,A2471,$B$12:$B$5011,B2471)&gt;1,"CPF + dia duplicado",IF(OR(AND(E2471&lt;&gt;"",E2471&lt;B2471),AND(F2471&lt;&gt;"",F2471&lt;B2471)),"Evento anterior à entrada",IF(AND(F2471&lt;&gt;"",E2471=""),"Conversa sem agendamento",IF(OR(E2471&gt;TODAY(),F2471&gt;TODAY()),"Verificar evento futuro","OK"))))))</f>
        <v/>
      </c>
    </row>
    <row r="2472" spans="9:12">
      <c r="I2472" s="5">
        <f>IF(OR(A2472="",B2472=""),"",B2472-WEEKDAY(B2472,2)+1)</f>
        <v/>
      </c>
      <c r="J2472" s="5">
        <f>IF(I2472="","",I2472+6)</f>
        <v/>
      </c>
      <c r="K2472" s="6">
        <f>IF(OR(A2472="",B2472=""),"",DATE(YEAR(B2472),MONTH(B2472),1))</f>
        <v/>
      </c>
      <c r="L2472" s="7">
        <f>IF(COUNTA(A2472,B2472)=0,"",IF(OR(A2472="",B2472=""),"Preencher CPF e entrada",IF(COUNTIFS($A$12:$A$5011,A2472,$B$12:$B$5011,B2472)&gt;1,"CPF + dia duplicado",IF(OR(AND(E2472&lt;&gt;"",E2472&lt;B2472),AND(F2472&lt;&gt;"",F2472&lt;B2472)),"Evento anterior à entrada",IF(AND(F2472&lt;&gt;"",E2472=""),"Conversa sem agendamento",IF(OR(E2472&gt;TODAY(),F2472&gt;TODAY()),"Verificar evento futuro","OK"))))))</f>
        <v/>
      </c>
    </row>
    <row r="2473" spans="9:12">
      <c r="I2473" s="5">
        <f>IF(OR(A2473="",B2473=""),"",B2473-WEEKDAY(B2473,2)+1)</f>
        <v/>
      </c>
      <c r="J2473" s="5">
        <f>IF(I2473="","",I2473+6)</f>
        <v/>
      </c>
      <c r="K2473" s="6">
        <f>IF(OR(A2473="",B2473=""),"",DATE(YEAR(B2473),MONTH(B2473),1))</f>
        <v/>
      </c>
      <c r="L2473" s="7">
        <f>IF(COUNTA(A2473,B2473)=0,"",IF(OR(A2473="",B2473=""),"Preencher CPF e entrada",IF(COUNTIFS($A$12:$A$5011,A2473,$B$12:$B$5011,B2473)&gt;1,"CPF + dia duplicado",IF(OR(AND(E2473&lt;&gt;"",E2473&lt;B2473),AND(F2473&lt;&gt;"",F2473&lt;B2473)),"Evento anterior à entrada",IF(AND(F2473&lt;&gt;"",E2473=""),"Conversa sem agendamento",IF(OR(E2473&gt;TODAY(),F2473&gt;TODAY()),"Verificar evento futuro","OK"))))))</f>
        <v/>
      </c>
    </row>
    <row r="2474" spans="9:12">
      <c r="I2474" s="5">
        <f>IF(OR(A2474="",B2474=""),"",B2474-WEEKDAY(B2474,2)+1)</f>
        <v/>
      </c>
      <c r="J2474" s="5">
        <f>IF(I2474="","",I2474+6)</f>
        <v/>
      </c>
      <c r="K2474" s="6">
        <f>IF(OR(A2474="",B2474=""),"",DATE(YEAR(B2474),MONTH(B2474),1))</f>
        <v/>
      </c>
      <c r="L2474" s="7">
        <f>IF(COUNTA(A2474,B2474)=0,"",IF(OR(A2474="",B2474=""),"Preencher CPF e entrada",IF(COUNTIFS($A$12:$A$5011,A2474,$B$12:$B$5011,B2474)&gt;1,"CPF + dia duplicado",IF(OR(AND(E2474&lt;&gt;"",E2474&lt;B2474),AND(F2474&lt;&gt;"",F2474&lt;B2474)),"Evento anterior à entrada",IF(AND(F2474&lt;&gt;"",E2474=""),"Conversa sem agendamento",IF(OR(E2474&gt;TODAY(),F2474&gt;TODAY()),"Verificar evento futuro","OK"))))))</f>
        <v/>
      </c>
    </row>
    <row r="2475" spans="9:12">
      <c r="I2475" s="5">
        <f>IF(OR(A2475="",B2475=""),"",B2475-WEEKDAY(B2475,2)+1)</f>
        <v/>
      </c>
      <c r="J2475" s="5">
        <f>IF(I2475="","",I2475+6)</f>
        <v/>
      </c>
      <c r="K2475" s="6">
        <f>IF(OR(A2475="",B2475=""),"",DATE(YEAR(B2475),MONTH(B2475),1))</f>
        <v/>
      </c>
      <c r="L2475" s="7">
        <f>IF(COUNTA(A2475,B2475)=0,"",IF(OR(A2475="",B2475=""),"Preencher CPF e entrada",IF(COUNTIFS($A$12:$A$5011,A2475,$B$12:$B$5011,B2475)&gt;1,"CPF + dia duplicado",IF(OR(AND(E2475&lt;&gt;"",E2475&lt;B2475),AND(F2475&lt;&gt;"",F2475&lt;B2475)),"Evento anterior à entrada",IF(AND(F2475&lt;&gt;"",E2475=""),"Conversa sem agendamento",IF(OR(E2475&gt;TODAY(),F2475&gt;TODAY()),"Verificar evento futuro","OK"))))))</f>
        <v/>
      </c>
    </row>
    <row r="2476" spans="9:12">
      <c r="I2476" s="5">
        <f>IF(OR(A2476="",B2476=""),"",B2476-WEEKDAY(B2476,2)+1)</f>
        <v/>
      </c>
      <c r="J2476" s="5">
        <f>IF(I2476="","",I2476+6)</f>
        <v/>
      </c>
      <c r="K2476" s="6">
        <f>IF(OR(A2476="",B2476=""),"",DATE(YEAR(B2476),MONTH(B2476),1))</f>
        <v/>
      </c>
      <c r="L2476" s="7">
        <f>IF(COUNTA(A2476,B2476)=0,"",IF(OR(A2476="",B2476=""),"Preencher CPF e entrada",IF(COUNTIFS($A$12:$A$5011,A2476,$B$12:$B$5011,B2476)&gt;1,"CPF + dia duplicado",IF(OR(AND(E2476&lt;&gt;"",E2476&lt;B2476),AND(F2476&lt;&gt;"",F2476&lt;B2476)),"Evento anterior à entrada",IF(AND(F2476&lt;&gt;"",E2476=""),"Conversa sem agendamento",IF(OR(E2476&gt;TODAY(),F2476&gt;TODAY()),"Verificar evento futuro","OK"))))))</f>
        <v/>
      </c>
    </row>
    <row r="2477" spans="9:12">
      <c r="I2477" s="5">
        <f>IF(OR(A2477="",B2477=""),"",B2477-WEEKDAY(B2477,2)+1)</f>
        <v/>
      </c>
      <c r="J2477" s="5">
        <f>IF(I2477="","",I2477+6)</f>
        <v/>
      </c>
      <c r="K2477" s="6">
        <f>IF(OR(A2477="",B2477=""),"",DATE(YEAR(B2477),MONTH(B2477),1))</f>
        <v/>
      </c>
      <c r="L2477" s="7">
        <f>IF(COUNTA(A2477,B2477)=0,"",IF(OR(A2477="",B2477=""),"Preencher CPF e entrada",IF(COUNTIFS($A$12:$A$5011,A2477,$B$12:$B$5011,B2477)&gt;1,"CPF + dia duplicado",IF(OR(AND(E2477&lt;&gt;"",E2477&lt;B2477),AND(F2477&lt;&gt;"",F2477&lt;B2477)),"Evento anterior à entrada",IF(AND(F2477&lt;&gt;"",E2477=""),"Conversa sem agendamento",IF(OR(E2477&gt;TODAY(),F2477&gt;TODAY()),"Verificar evento futuro","OK"))))))</f>
        <v/>
      </c>
    </row>
    <row r="2478" spans="9:12">
      <c r="I2478" s="5">
        <f>IF(OR(A2478="",B2478=""),"",B2478-WEEKDAY(B2478,2)+1)</f>
        <v/>
      </c>
      <c r="J2478" s="5">
        <f>IF(I2478="","",I2478+6)</f>
        <v/>
      </c>
      <c r="K2478" s="6">
        <f>IF(OR(A2478="",B2478=""),"",DATE(YEAR(B2478),MONTH(B2478),1))</f>
        <v/>
      </c>
      <c r="L2478" s="7">
        <f>IF(COUNTA(A2478,B2478)=0,"",IF(OR(A2478="",B2478=""),"Preencher CPF e entrada",IF(COUNTIFS($A$12:$A$5011,A2478,$B$12:$B$5011,B2478)&gt;1,"CPF + dia duplicado",IF(OR(AND(E2478&lt;&gt;"",E2478&lt;B2478),AND(F2478&lt;&gt;"",F2478&lt;B2478)),"Evento anterior à entrada",IF(AND(F2478&lt;&gt;"",E2478=""),"Conversa sem agendamento",IF(OR(E2478&gt;TODAY(),F2478&gt;TODAY()),"Verificar evento futuro","OK"))))))</f>
        <v/>
      </c>
    </row>
    <row r="2479" spans="9:12">
      <c r="I2479" s="5">
        <f>IF(OR(A2479="",B2479=""),"",B2479-WEEKDAY(B2479,2)+1)</f>
        <v/>
      </c>
      <c r="J2479" s="5">
        <f>IF(I2479="","",I2479+6)</f>
        <v/>
      </c>
      <c r="K2479" s="6">
        <f>IF(OR(A2479="",B2479=""),"",DATE(YEAR(B2479),MONTH(B2479),1))</f>
        <v/>
      </c>
      <c r="L2479" s="7">
        <f>IF(COUNTA(A2479,B2479)=0,"",IF(OR(A2479="",B2479=""),"Preencher CPF e entrada",IF(COUNTIFS($A$12:$A$5011,A2479,$B$12:$B$5011,B2479)&gt;1,"CPF + dia duplicado",IF(OR(AND(E2479&lt;&gt;"",E2479&lt;B2479),AND(F2479&lt;&gt;"",F2479&lt;B2479)),"Evento anterior à entrada",IF(AND(F2479&lt;&gt;"",E2479=""),"Conversa sem agendamento",IF(OR(E2479&gt;TODAY(),F2479&gt;TODAY()),"Verificar evento futuro","OK"))))))</f>
        <v/>
      </c>
    </row>
    <row r="2480" spans="9:12">
      <c r="I2480" s="5">
        <f>IF(OR(A2480="",B2480=""),"",B2480-WEEKDAY(B2480,2)+1)</f>
        <v/>
      </c>
      <c r="J2480" s="5">
        <f>IF(I2480="","",I2480+6)</f>
        <v/>
      </c>
      <c r="K2480" s="6">
        <f>IF(OR(A2480="",B2480=""),"",DATE(YEAR(B2480),MONTH(B2480),1))</f>
        <v/>
      </c>
      <c r="L2480" s="7">
        <f>IF(COUNTA(A2480,B2480)=0,"",IF(OR(A2480="",B2480=""),"Preencher CPF e entrada",IF(COUNTIFS($A$12:$A$5011,A2480,$B$12:$B$5011,B2480)&gt;1,"CPF + dia duplicado",IF(OR(AND(E2480&lt;&gt;"",E2480&lt;B2480),AND(F2480&lt;&gt;"",F2480&lt;B2480)),"Evento anterior à entrada",IF(AND(F2480&lt;&gt;"",E2480=""),"Conversa sem agendamento",IF(OR(E2480&gt;TODAY(),F2480&gt;TODAY()),"Verificar evento futuro","OK"))))))</f>
        <v/>
      </c>
    </row>
    <row r="2481" spans="9:12">
      <c r="I2481" s="5">
        <f>IF(OR(A2481="",B2481=""),"",B2481-WEEKDAY(B2481,2)+1)</f>
        <v/>
      </c>
      <c r="J2481" s="5">
        <f>IF(I2481="","",I2481+6)</f>
        <v/>
      </c>
      <c r="K2481" s="6">
        <f>IF(OR(A2481="",B2481=""),"",DATE(YEAR(B2481),MONTH(B2481),1))</f>
        <v/>
      </c>
      <c r="L2481" s="7">
        <f>IF(COUNTA(A2481,B2481)=0,"",IF(OR(A2481="",B2481=""),"Preencher CPF e entrada",IF(COUNTIFS($A$12:$A$5011,A2481,$B$12:$B$5011,B2481)&gt;1,"CPF + dia duplicado",IF(OR(AND(E2481&lt;&gt;"",E2481&lt;B2481),AND(F2481&lt;&gt;"",F2481&lt;B2481)),"Evento anterior à entrada",IF(AND(F2481&lt;&gt;"",E2481=""),"Conversa sem agendamento",IF(OR(E2481&gt;TODAY(),F2481&gt;TODAY()),"Verificar evento futuro","OK"))))))</f>
        <v/>
      </c>
    </row>
    <row r="2482" spans="9:12">
      <c r="I2482" s="5">
        <f>IF(OR(A2482="",B2482=""),"",B2482-WEEKDAY(B2482,2)+1)</f>
        <v/>
      </c>
      <c r="J2482" s="5">
        <f>IF(I2482="","",I2482+6)</f>
        <v/>
      </c>
      <c r="K2482" s="6">
        <f>IF(OR(A2482="",B2482=""),"",DATE(YEAR(B2482),MONTH(B2482),1))</f>
        <v/>
      </c>
      <c r="L2482" s="7">
        <f>IF(COUNTA(A2482,B2482)=0,"",IF(OR(A2482="",B2482=""),"Preencher CPF e entrada",IF(COUNTIFS($A$12:$A$5011,A2482,$B$12:$B$5011,B2482)&gt;1,"CPF + dia duplicado",IF(OR(AND(E2482&lt;&gt;"",E2482&lt;B2482),AND(F2482&lt;&gt;"",F2482&lt;B2482)),"Evento anterior à entrada",IF(AND(F2482&lt;&gt;"",E2482=""),"Conversa sem agendamento",IF(OR(E2482&gt;TODAY(),F2482&gt;TODAY()),"Verificar evento futuro","OK"))))))</f>
        <v/>
      </c>
    </row>
    <row r="2483" spans="9:12">
      <c r="I2483" s="5">
        <f>IF(OR(A2483="",B2483=""),"",B2483-WEEKDAY(B2483,2)+1)</f>
        <v/>
      </c>
      <c r="J2483" s="5">
        <f>IF(I2483="","",I2483+6)</f>
        <v/>
      </c>
      <c r="K2483" s="6">
        <f>IF(OR(A2483="",B2483=""),"",DATE(YEAR(B2483),MONTH(B2483),1))</f>
        <v/>
      </c>
      <c r="L2483" s="7">
        <f>IF(COUNTA(A2483,B2483)=0,"",IF(OR(A2483="",B2483=""),"Preencher CPF e entrada",IF(COUNTIFS($A$12:$A$5011,A2483,$B$12:$B$5011,B2483)&gt;1,"CPF + dia duplicado",IF(OR(AND(E2483&lt;&gt;"",E2483&lt;B2483),AND(F2483&lt;&gt;"",F2483&lt;B2483)),"Evento anterior à entrada",IF(AND(F2483&lt;&gt;"",E2483=""),"Conversa sem agendamento",IF(OR(E2483&gt;TODAY(),F2483&gt;TODAY()),"Verificar evento futuro","OK"))))))</f>
        <v/>
      </c>
    </row>
    <row r="2484" spans="9:12">
      <c r="I2484" s="5">
        <f>IF(OR(A2484="",B2484=""),"",B2484-WEEKDAY(B2484,2)+1)</f>
        <v/>
      </c>
      <c r="J2484" s="5">
        <f>IF(I2484="","",I2484+6)</f>
        <v/>
      </c>
      <c r="K2484" s="6">
        <f>IF(OR(A2484="",B2484=""),"",DATE(YEAR(B2484),MONTH(B2484),1))</f>
        <v/>
      </c>
      <c r="L2484" s="7">
        <f>IF(COUNTA(A2484,B2484)=0,"",IF(OR(A2484="",B2484=""),"Preencher CPF e entrada",IF(COUNTIFS($A$12:$A$5011,A2484,$B$12:$B$5011,B2484)&gt;1,"CPF + dia duplicado",IF(OR(AND(E2484&lt;&gt;"",E2484&lt;B2484),AND(F2484&lt;&gt;"",F2484&lt;B2484)),"Evento anterior à entrada",IF(AND(F2484&lt;&gt;"",E2484=""),"Conversa sem agendamento",IF(OR(E2484&gt;TODAY(),F2484&gt;TODAY()),"Verificar evento futuro","OK"))))))</f>
        <v/>
      </c>
    </row>
    <row r="2485" spans="9:12">
      <c r="I2485" s="5">
        <f>IF(OR(A2485="",B2485=""),"",B2485-WEEKDAY(B2485,2)+1)</f>
        <v/>
      </c>
      <c r="J2485" s="5">
        <f>IF(I2485="","",I2485+6)</f>
        <v/>
      </c>
      <c r="K2485" s="6">
        <f>IF(OR(A2485="",B2485=""),"",DATE(YEAR(B2485),MONTH(B2485),1))</f>
        <v/>
      </c>
      <c r="L2485" s="7">
        <f>IF(COUNTA(A2485,B2485)=0,"",IF(OR(A2485="",B2485=""),"Preencher CPF e entrada",IF(COUNTIFS($A$12:$A$5011,A2485,$B$12:$B$5011,B2485)&gt;1,"CPF + dia duplicado",IF(OR(AND(E2485&lt;&gt;"",E2485&lt;B2485),AND(F2485&lt;&gt;"",F2485&lt;B2485)),"Evento anterior à entrada",IF(AND(F2485&lt;&gt;"",E2485=""),"Conversa sem agendamento",IF(OR(E2485&gt;TODAY(),F2485&gt;TODAY()),"Verificar evento futuro","OK"))))))</f>
        <v/>
      </c>
    </row>
    <row r="2486" spans="9:12">
      <c r="I2486" s="5">
        <f>IF(OR(A2486="",B2486=""),"",B2486-WEEKDAY(B2486,2)+1)</f>
        <v/>
      </c>
      <c r="J2486" s="5">
        <f>IF(I2486="","",I2486+6)</f>
        <v/>
      </c>
      <c r="K2486" s="6">
        <f>IF(OR(A2486="",B2486=""),"",DATE(YEAR(B2486),MONTH(B2486),1))</f>
        <v/>
      </c>
      <c r="L2486" s="7">
        <f>IF(COUNTA(A2486,B2486)=0,"",IF(OR(A2486="",B2486=""),"Preencher CPF e entrada",IF(COUNTIFS($A$12:$A$5011,A2486,$B$12:$B$5011,B2486)&gt;1,"CPF + dia duplicado",IF(OR(AND(E2486&lt;&gt;"",E2486&lt;B2486),AND(F2486&lt;&gt;"",F2486&lt;B2486)),"Evento anterior à entrada",IF(AND(F2486&lt;&gt;"",E2486=""),"Conversa sem agendamento",IF(OR(E2486&gt;TODAY(),F2486&gt;TODAY()),"Verificar evento futuro","OK"))))))</f>
        <v/>
      </c>
    </row>
    <row r="2487" spans="9:12">
      <c r="I2487" s="5">
        <f>IF(OR(A2487="",B2487=""),"",B2487-WEEKDAY(B2487,2)+1)</f>
        <v/>
      </c>
      <c r="J2487" s="5">
        <f>IF(I2487="","",I2487+6)</f>
        <v/>
      </c>
      <c r="K2487" s="6">
        <f>IF(OR(A2487="",B2487=""),"",DATE(YEAR(B2487),MONTH(B2487),1))</f>
        <v/>
      </c>
      <c r="L2487" s="7">
        <f>IF(COUNTA(A2487,B2487)=0,"",IF(OR(A2487="",B2487=""),"Preencher CPF e entrada",IF(COUNTIFS($A$12:$A$5011,A2487,$B$12:$B$5011,B2487)&gt;1,"CPF + dia duplicado",IF(OR(AND(E2487&lt;&gt;"",E2487&lt;B2487),AND(F2487&lt;&gt;"",F2487&lt;B2487)),"Evento anterior à entrada",IF(AND(F2487&lt;&gt;"",E2487=""),"Conversa sem agendamento",IF(OR(E2487&gt;TODAY(),F2487&gt;TODAY()),"Verificar evento futuro","OK"))))))</f>
        <v/>
      </c>
    </row>
    <row r="2488" spans="9:12">
      <c r="I2488" s="5">
        <f>IF(OR(A2488="",B2488=""),"",B2488-WEEKDAY(B2488,2)+1)</f>
        <v/>
      </c>
      <c r="J2488" s="5">
        <f>IF(I2488="","",I2488+6)</f>
        <v/>
      </c>
      <c r="K2488" s="6">
        <f>IF(OR(A2488="",B2488=""),"",DATE(YEAR(B2488),MONTH(B2488),1))</f>
        <v/>
      </c>
      <c r="L2488" s="7">
        <f>IF(COUNTA(A2488,B2488)=0,"",IF(OR(A2488="",B2488=""),"Preencher CPF e entrada",IF(COUNTIFS($A$12:$A$5011,A2488,$B$12:$B$5011,B2488)&gt;1,"CPF + dia duplicado",IF(OR(AND(E2488&lt;&gt;"",E2488&lt;B2488),AND(F2488&lt;&gt;"",F2488&lt;B2488)),"Evento anterior à entrada",IF(AND(F2488&lt;&gt;"",E2488=""),"Conversa sem agendamento",IF(OR(E2488&gt;TODAY(),F2488&gt;TODAY()),"Verificar evento futuro","OK"))))))</f>
        <v/>
      </c>
    </row>
    <row r="2489" spans="9:12">
      <c r="I2489" s="5">
        <f>IF(OR(A2489="",B2489=""),"",B2489-WEEKDAY(B2489,2)+1)</f>
        <v/>
      </c>
      <c r="J2489" s="5">
        <f>IF(I2489="","",I2489+6)</f>
        <v/>
      </c>
      <c r="K2489" s="6">
        <f>IF(OR(A2489="",B2489=""),"",DATE(YEAR(B2489),MONTH(B2489),1))</f>
        <v/>
      </c>
      <c r="L2489" s="7">
        <f>IF(COUNTA(A2489,B2489)=0,"",IF(OR(A2489="",B2489=""),"Preencher CPF e entrada",IF(COUNTIFS($A$12:$A$5011,A2489,$B$12:$B$5011,B2489)&gt;1,"CPF + dia duplicado",IF(OR(AND(E2489&lt;&gt;"",E2489&lt;B2489),AND(F2489&lt;&gt;"",F2489&lt;B2489)),"Evento anterior à entrada",IF(AND(F2489&lt;&gt;"",E2489=""),"Conversa sem agendamento",IF(OR(E2489&gt;TODAY(),F2489&gt;TODAY()),"Verificar evento futuro","OK"))))))</f>
        <v/>
      </c>
    </row>
    <row r="2490" spans="9:12">
      <c r="I2490" s="5">
        <f>IF(OR(A2490="",B2490=""),"",B2490-WEEKDAY(B2490,2)+1)</f>
        <v/>
      </c>
      <c r="J2490" s="5">
        <f>IF(I2490="","",I2490+6)</f>
        <v/>
      </c>
      <c r="K2490" s="6">
        <f>IF(OR(A2490="",B2490=""),"",DATE(YEAR(B2490),MONTH(B2490),1))</f>
        <v/>
      </c>
      <c r="L2490" s="7">
        <f>IF(COUNTA(A2490,B2490)=0,"",IF(OR(A2490="",B2490=""),"Preencher CPF e entrada",IF(COUNTIFS($A$12:$A$5011,A2490,$B$12:$B$5011,B2490)&gt;1,"CPF + dia duplicado",IF(OR(AND(E2490&lt;&gt;"",E2490&lt;B2490),AND(F2490&lt;&gt;"",F2490&lt;B2490)),"Evento anterior à entrada",IF(AND(F2490&lt;&gt;"",E2490=""),"Conversa sem agendamento",IF(OR(E2490&gt;TODAY(),F2490&gt;TODAY()),"Verificar evento futuro","OK"))))))</f>
        <v/>
      </c>
    </row>
    <row r="2491" spans="9:12">
      <c r="I2491" s="5">
        <f>IF(OR(A2491="",B2491=""),"",B2491-WEEKDAY(B2491,2)+1)</f>
        <v/>
      </c>
      <c r="J2491" s="5">
        <f>IF(I2491="","",I2491+6)</f>
        <v/>
      </c>
      <c r="K2491" s="6">
        <f>IF(OR(A2491="",B2491=""),"",DATE(YEAR(B2491),MONTH(B2491),1))</f>
        <v/>
      </c>
      <c r="L2491" s="7">
        <f>IF(COUNTA(A2491,B2491)=0,"",IF(OR(A2491="",B2491=""),"Preencher CPF e entrada",IF(COUNTIFS($A$12:$A$5011,A2491,$B$12:$B$5011,B2491)&gt;1,"CPF + dia duplicado",IF(OR(AND(E2491&lt;&gt;"",E2491&lt;B2491),AND(F2491&lt;&gt;"",F2491&lt;B2491)),"Evento anterior à entrada",IF(AND(F2491&lt;&gt;"",E2491=""),"Conversa sem agendamento",IF(OR(E2491&gt;TODAY(),F2491&gt;TODAY()),"Verificar evento futuro","OK"))))))</f>
        <v/>
      </c>
    </row>
    <row r="2492" spans="9:12">
      <c r="I2492" s="5">
        <f>IF(OR(A2492="",B2492=""),"",B2492-WEEKDAY(B2492,2)+1)</f>
        <v/>
      </c>
      <c r="J2492" s="5">
        <f>IF(I2492="","",I2492+6)</f>
        <v/>
      </c>
      <c r="K2492" s="6">
        <f>IF(OR(A2492="",B2492=""),"",DATE(YEAR(B2492),MONTH(B2492),1))</f>
        <v/>
      </c>
      <c r="L2492" s="7">
        <f>IF(COUNTA(A2492,B2492)=0,"",IF(OR(A2492="",B2492=""),"Preencher CPF e entrada",IF(COUNTIFS($A$12:$A$5011,A2492,$B$12:$B$5011,B2492)&gt;1,"CPF + dia duplicado",IF(OR(AND(E2492&lt;&gt;"",E2492&lt;B2492),AND(F2492&lt;&gt;"",F2492&lt;B2492)),"Evento anterior à entrada",IF(AND(F2492&lt;&gt;"",E2492=""),"Conversa sem agendamento",IF(OR(E2492&gt;TODAY(),F2492&gt;TODAY()),"Verificar evento futuro","OK"))))))</f>
        <v/>
      </c>
    </row>
    <row r="2493" spans="9:12">
      <c r="I2493" s="5">
        <f>IF(OR(A2493="",B2493=""),"",B2493-WEEKDAY(B2493,2)+1)</f>
        <v/>
      </c>
      <c r="J2493" s="5">
        <f>IF(I2493="","",I2493+6)</f>
        <v/>
      </c>
      <c r="K2493" s="6">
        <f>IF(OR(A2493="",B2493=""),"",DATE(YEAR(B2493),MONTH(B2493),1))</f>
        <v/>
      </c>
      <c r="L2493" s="7">
        <f>IF(COUNTA(A2493,B2493)=0,"",IF(OR(A2493="",B2493=""),"Preencher CPF e entrada",IF(COUNTIFS($A$12:$A$5011,A2493,$B$12:$B$5011,B2493)&gt;1,"CPF + dia duplicado",IF(OR(AND(E2493&lt;&gt;"",E2493&lt;B2493),AND(F2493&lt;&gt;"",F2493&lt;B2493)),"Evento anterior à entrada",IF(AND(F2493&lt;&gt;"",E2493=""),"Conversa sem agendamento",IF(OR(E2493&gt;TODAY(),F2493&gt;TODAY()),"Verificar evento futuro","OK"))))))</f>
        <v/>
      </c>
    </row>
    <row r="2494" spans="9:12">
      <c r="I2494" s="5">
        <f>IF(OR(A2494="",B2494=""),"",B2494-WEEKDAY(B2494,2)+1)</f>
        <v/>
      </c>
      <c r="J2494" s="5">
        <f>IF(I2494="","",I2494+6)</f>
        <v/>
      </c>
      <c r="K2494" s="6">
        <f>IF(OR(A2494="",B2494=""),"",DATE(YEAR(B2494),MONTH(B2494),1))</f>
        <v/>
      </c>
      <c r="L2494" s="7">
        <f>IF(COUNTA(A2494,B2494)=0,"",IF(OR(A2494="",B2494=""),"Preencher CPF e entrada",IF(COUNTIFS($A$12:$A$5011,A2494,$B$12:$B$5011,B2494)&gt;1,"CPF + dia duplicado",IF(OR(AND(E2494&lt;&gt;"",E2494&lt;B2494),AND(F2494&lt;&gt;"",F2494&lt;B2494)),"Evento anterior à entrada",IF(AND(F2494&lt;&gt;"",E2494=""),"Conversa sem agendamento",IF(OR(E2494&gt;TODAY(),F2494&gt;TODAY()),"Verificar evento futuro","OK"))))))</f>
        <v/>
      </c>
    </row>
    <row r="2495" spans="9:12">
      <c r="I2495" s="5">
        <f>IF(OR(A2495="",B2495=""),"",B2495-WEEKDAY(B2495,2)+1)</f>
        <v/>
      </c>
      <c r="J2495" s="5">
        <f>IF(I2495="","",I2495+6)</f>
        <v/>
      </c>
      <c r="K2495" s="6">
        <f>IF(OR(A2495="",B2495=""),"",DATE(YEAR(B2495),MONTH(B2495),1))</f>
        <v/>
      </c>
      <c r="L2495" s="7">
        <f>IF(COUNTA(A2495,B2495)=0,"",IF(OR(A2495="",B2495=""),"Preencher CPF e entrada",IF(COUNTIFS($A$12:$A$5011,A2495,$B$12:$B$5011,B2495)&gt;1,"CPF + dia duplicado",IF(OR(AND(E2495&lt;&gt;"",E2495&lt;B2495),AND(F2495&lt;&gt;"",F2495&lt;B2495)),"Evento anterior à entrada",IF(AND(F2495&lt;&gt;"",E2495=""),"Conversa sem agendamento",IF(OR(E2495&gt;TODAY(),F2495&gt;TODAY()),"Verificar evento futuro","OK"))))))</f>
        <v/>
      </c>
    </row>
    <row r="2496" spans="9:12">
      <c r="I2496" s="5">
        <f>IF(OR(A2496="",B2496=""),"",B2496-WEEKDAY(B2496,2)+1)</f>
        <v/>
      </c>
      <c r="J2496" s="5">
        <f>IF(I2496="","",I2496+6)</f>
        <v/>
      </c>
      <c r="K2496" s="6">
        <f>IF(OR(A2496="",B2496=""),"",DATE(YEAR(B2496),MONTH(B2496),1))</f>
        <v/>
      </c>
      <c r="L2496" s="7">
        <f>IF(COUNTA(A2496,B2496)=0,"",IF(OR(A2496="",B2496=""),"Preencher CPF e entrada",IF(COUNTIFS($A$12:$A$5011,A2496,$B$12:$B$5011,B2496)&gt;1,"CPF + dia duplicado",IF(OR(AND(E2496&lt;&gt;"",E2496&lt;B2496),AND(F2496&lt;&gt;"",F2496&lt;B2496)),"Evento anterior à entrada",IF(AND(F2496&lt;&gt;"",E2496=""),"Conversa sem agendamento",IF(OR(E2496&gt;TODAY(),F2496&gt;TODAY()),"Verificar evento futuro","OK"))))))</f>
        <v/>
      </c>
    </row>
    <row r="2497" spans="9:12">
      <c r="I2497" s="5">
        <f>IF(OR(A2497="",B2497=""),"",B2497-WEEKDAY(B2497,2)+1)</f>
        <v/>
      </c>
      <c r="J2497" s="5">
        <f>IF(I2497="","",I2497+6)</f>
        <v/>
      </c>
      <c r="K2497" s="6">
        <f>IF(OR(A2497="",B2497=""),"",DATE(YEAR(B2497),MONTH(B2497),1))</f>
        <v/>
      </c>
      <c r="L2497" s="7">
        <f>IF(COUNTA(A2497,B2497)=0,"",IF(OR(A2497="",B2497=""),"Preencher CPF e entrada",IF(COUNTIFS($A$12:$A$5011,A2497,$B$12:$B$5011,B2497)&gt;1,"CPF + dia duplicado",IF(OR(AND(E2497&lt;&gt;"",E2497&lt;B2497),AND(F2497&lt;&gt;"",F2497&lt;B2497)),"Evento anterior à entrada",IF(AND(F2497&lt;&gt;"",E2497=""),"Conversa sem agendamento",IF(OR(E2497&gt;TODAY(),F2497&gt;TODAY()),"Verificar evento futuro","OK"))))))</f>
        <v/>
      </c>
    </row>
    <row r="2498" spans="9:12">
      <c r="I2498" s="5">
        <f>IF(OR(A2498="",B2498=""),"",B2498-WEEKDAY(B2498,2)+1)</f>
        <v/>
      </c>
      <c r="J2498" s="5">
        <f>IF(I2498="","",I2498+6)</f>
        <v/>
      </c>
      <c r="K2498" s="6">
        <f>IF(OR(A2498="",B2498=""),"",DATE(YEAR(B2498),MONTH(B2498),1))</f>
        <v/>
      </c>
      <c r="L2498" s="7">
        <f>IF(COUNTA(A2498,B2498)=0,"",IF(OR(A2498="",B2498=""),"Preencher CPF e entrada",IF(COUNTIFS($A$12:$A$5011,A2498,$B$12:$B$5011,B2498)&gt;1,"CPF + dia duplicado",IF(OR(AND(E2498&lt;&gt;"",E2498&lt;B2498),AND(F2498&lt;&gt;"",F2498&lt;B2498)),"Evento anterior à entrada",IF(AND(F2498&lt;&gt;"",E2498=""),"Conversa sem agendamento",IF(OR(E2498&gt;TODAY(),F2498&gt;TODAY()),"Verificar evento futuro","OK"))))))</f>
        <v/>
      </c>
    </row>
    <row r="2499" spans="9:12">
      <c r="I2499" s="5">
        <f>IF(OR(A2499="",B2499=""),"",B2499-WEEKDAY(B2499,2)+1)</f>
        <v/>
      </c>
      <c r="J2499" s="5">
        <f>IF(I2499="","",I2499+6)</f>
        <v/>
      </c>
      <c r="K2499" s="6">
        <f>IF(OR(A2499="",B2499=""),"",DATE(YEAR(B2499),MONTH(B2499),1))</f>
        <v/>
      </c>
      <c r="L2499" s="7">
        <f>IF(COUNTA(A2499,B2499)=0,"",IF(OR(A2499="",B2499=""),"Preencher CPF e entrada",IF(COUNTIFS($A$12:$A$5011,A2499,$B$12:$B$5011,B2499)&gt;1,"CPF + dia duplicado",IF(OR(AND(E2499&lt;&gt;"",E2499&lt;B2499),AND(F2499&lt;&gt;"",F2499&lt;B2499)),"Evento anterior à entrada",IF(AND(F2499&lt;&gt;"",E2499=""),"Conversa sem agendamento",IF(OR(E2499&gt;TODAY(),F2499&gt;TODAY()),"Verificar evento futuro","OK"))))))</f>
        <v/>
      </c>
    </row>
    <row r="2500" spans="9:12">
      <c r="I2500" s="5">
        <f>IF(OR(A2500="",B2500=""),"",B2500-WEEKDAY(B2500,2)+1)</f>
        <v/>
      </c>
      <c r="J2500" s="5">
        <f>IF(I2500="","",I2500+6)</f>
        <v/>
      </c>
      <c r="K2500" s="6">
        <f>IF(OR(A2500="",B2500=""),"",DATE(YEAR(B2500),MONTH(B2500),1))</f>
        <v/>
      </c>
      <c r="L2500" s="7">
        <f>IF(COUNTA(A2500,B2500)=0,"",IF(OR(A2500="",B2500=""),"Preencher CPF e entrada",IF(COUNTIFS($A$12:$A$5011,A2500,$B$12:$B$5011,B2500)&gt;1,"CPF + dia duplicado",IF(OR(AND(E2500&lt;&gt;"",E2500&lt;B2500),AND(F2500&lt;&gt;"",F2500&lt;B2500)),"Evento anterior à entrada",IF(AND(F2500&lt;&gt;"",E2500=""),"Conversa sem agendamento",IF(OR(E2500&gt;TODAY(),F2500&gt;TODAY()),"Verificar evento futuro","OK"))))))</f>
        <v/>
      </c>
    </row>
    <row r="2501" spans="9:12">
      <c r="I2501" s="5">
        <f>IF(OR(A2501="",B2501=""),"",B2501-WEEKDAY(B2501,2)+1)</f>
        <v/>
      </c>
      <c r="J2501" s="5">
        <f>IF(I2501="","",I2501+6)</f>
        <v/>
      </c>
      <c r="K2501" s="6">
        <f>IF(OR(A2501="",B2501=""),"",DATE(YEAR(B2501),MONTH(B2501),1))</f>
        <v/>
      </c>
      <c r="L2501" s="7">
        <f>IF(COUNTA(A2501,B2501)=0,"",IF(OR(A2501="",B2501=""),"Preencher CPF e entrada",IF(COUNTIFS($A$12:$A$5011,A2501,$B$12:$B$5011,B2501)&gt;1,"CPF + dia duplicado",IF(OR(AND(E2501&lt;&gt;"",E2501&lt;B2501),AND(F2501&lt;&gt;"",F2501&lt;B2501)),"Evento anterior à entrada",IF(AND(F2501&lt;&gt;"",E2501=""),"Conversa sem agendamento",IF(OR(E2501&gt;TODAY(),F2501&gt;TODAY()),"Verificar evento futuro","OK"))))))</f>
        <v/>
      </c>
    </row>
    <row r="2502" spans="9:12">
      <c r="I2502" s="5">
        <f>IF(OR(A2502="",B2502=""),"",B2502-WEEKDAY(B2502,2)+1)</f>
        <v/>
      </c>
      <c r="J2502" s="5">
        <f>IF(I2502="","",I2502+6)</f>
        <v/>
      </c>
      <c r="K2502" s="6">
        <f>IF(OR(A2502="",B2502=""),"",DATE(YEAR(B2502),MONTH(B2502),1))</f>
        <v/>
      </c>
      <c r="L2502" s="7">
        <f>IF(COUNTA(A2502,B2502)=0,"",IF(OR(A2502="",B2502=""),"Preencher CPF e entrada",IF(COUNTIFS($A$12:$A$5011,A2502,$B$12:$B$5011,B2502)&gt;1,"CPF + dia duplicado",IF(OR(AND(E2502&lt;&gt;"",E2502&lt;B2502),AND(F2502&lt;&gt;"",F2502&lt;B2502)),"Evento anterior à entrada",IF(AND(F2502&lt;&gt;"",E2502=""),"Conversa sem agendamento",IF(OR(E2502&gt;TODAY(),F2502&gt;TODAY()),"Verificar evento futuro","OK"))))))</f>
        <v/>
      </c>
    </row>
    <row r="2503" spans="9:12">
      <c r="I2503" s="5">
        <f>IF(OR(A2503="",B2503=""),"",B2503-WEEKDAY(B2503,2)+1)</f>
        <v/>
      </c>
      <c r="J2503" s="5">
        <f>IF(I2503="","",I2503+6)</f>
        <v/>
      </c>
      <c r="K2503" s="6">
        <f>IF(OR(A2503="",B2503=""),"",DATE(YEAR(B2503),MONTH(B2503),1))</f>
        <v/>
      </c>
      <c r="L2503" s="7">
        <f>IF(COUNTA(A2503,B2503)=0,"",IF(OR(A2503="",B2503=""),"Preencher CPF e entrada",IF(COUNTIFS($A$12:$A$5011,A2503,$B$12:$B$5011,B2503)&gt;1,"CPF + dia duplicado",IF(OR(AND(E2503&lt;&gt;"",E2503&lt;B2503),AND(F2503&lt;&gt;"",F2503&lt;B2503)),"Evento anterior à entrada",IF(AND(F2503&lt;&gt;"",E2503=""),"Conversa sem agendamento",IF(OR(E2503&gt;TODAY(),F2503&gt;TODAY()),"Verificar evento futuro","OK"))))))</f>
        <v/>
      </c>
    </row>
    <row r="2504" spans="9:12">
      <c r="I2504" s="5">
        <f>IF(OR(A2504="",B2504=""),"",B2504-WEEKDAY(B2504,2)+1)</f>
        <v/>
      </c>
      <c r="J2504" s="5">
        <f>IF(I2504="","",I2504+6)</f>
        <v/>
      </c>
      <c r="K2504" s="6">
        <f>IF(OR(A2504="",B2504=""),"",DATE(YEAR(B2504),MONTH(B2504),1))</f>
        <v/>
      </c>
      <c r="L2504" s="7">
        <f>IF(COUNTA(A2504,B2504)=0,"",IF(OR(A2504="",B2504=""),"Preencher CPF e entrada",IF(COUNTIFS($A$12:$A$5011,A2504,$B$12:$B$5011,B2504)&gt;1,"CPF + dia duplicado",IF(OR(AND(E2504&lt;&gt;"",E2504&lt;B2504),AND(F2504&lt;&gt;"",F2504&lt;B2504)),"Evento anterior à entrada",IF(AND(F2504&lt;&gt;"",E2504=""),"Conversa sem agendamento",IF(OR(E2504&gt;TODAY(),F2504&gt;TODAY()),"Verificar evento futuro","OK"))))))</f>
        <v/>
      </c>
    </row>
    <row r="2505" spans="9:12">
      <c r="I2505" s="5">
        <f>IF(OR(A2505="",B2505=""),"",B2505-WEEKDAY(B2505,2)+1)</f>
        <v/>
      </c>
      <c r="J2505" s="5">
        <f>IF(I2505="","",I2505+6)</f>
        <v/>
      </c>
      <c r="K2505" s="6">
        <f>IF(OR(A2505="",B2505=""),"",DATE(YEAR(B2505),MONTH(B2505),1))</f>
        <v/>
      </c>
      <c r="L2505" s="7">
        <f>IF(COUNTA(A2505,B2505)=0,"",IF(OR(A2505="",B2505=""),"Preencher CPF e entrada",IF(COUNTIFS($A$12:$A$5011,A2505,$B$12:$B$5011,B2505)&gt;1,"CPF + dia duplicado",IF(OR(AND(E2505&lt;&gt;"",E2505&lt;B2505),AND(F2505&lt;&gt;"",F2505&lt;B2505)),"Evento anterior à entrada",IF(AND(F2505&lt;&gt;"",E2505=""),"Conversa sem agendamento",IF(OR(E2505&gt;TODAY(),F2505&gt;TODAY()),"Verificar evento futuro","OK"))))))</f>
        <v/>
      </c>
    </row>
    <row r="2506" spans="9:12">
      <c r="I2506" s="5">
        <f>IF(OR(A2506="",B2506=""),"",B2506-WEEKDAY(B2506,2)+1)</f>
        <v/>
      </c>
      <c r="J2506" s="5">
        <f>IF(I2506="","",I2506+6)</f>
        <v/>
      </c>
      <c r="K2506" s="6">
        <f>IF(OR(A2506="",B2506=""),"",DATE(YEAR(B2506),MONTH(B2506),1))</f>
        <v/>
      </c>
      <c r="L2506" s="7">
        <f>IF(COUNTA(A2506,B2506)=0,"",IF(OR(A2506="",B2506=""),"Preencher CPF e entrada",IF(COUNTIFS($A$12:$A$5011,A2506,$B$12:$B$5011,B2506)&gt;1,"CPF + dia duplicado",IF(OR(AND(E2506&lt;&gt;"",E2506&lt;B2506),AND(F2506&lt;&gt;"",F2506&lt;B2506)),"Evento anterior à entrada",IF(AND(F2506&lt;&gt;"",E2506=""),"Conversa sem agendamento",IF(OR(E2506&gt;TODAY(),F2506&gt;TODAY()),"Verificar evento futuro","OK"))))))</f>
        <v/>
      </c>
    </row>
    <row r="2507" spans="9:12">
      <c r="I2507" s="5">
        <f>IF(OR(A2507="",B2507=""),"",B2507-WEEKDAY(B2507,2)+1)</f>
        <v/>
      </c>
      <c r="J2507" s="5">
        <f>IF(I2507="","",I2507+6)</f>
        <v/>
      </c>
      <c r="K2507" s="6">
        <f>IF(OR(A2507="",B2507=""),"",DATE(YEAR(B2507),MONTH(B2507),1))</f>
        <v/>
      </c>
      <c r="L2507" s="7">
        <f>IF(COUNTA(A2507,B2507)=0,"",IF(OR(A2507="",B2507=""),"Preencher CPF e entrada",IF(COUNTIFS($A$12:$A$5011,A2507,$B$12:$B$5011,B2507)&gt;1,"CPF + dia duplicado",IF(OR(AND(E2507&lt;&gt;"",E2507&lt;B2507),AND(F2507&lt;&gt;"",F2507&lt;B2507)),"Evento anterior à entrada",IF(AND(F2507&lt;&gt;"",E2507=""),"Conversa sem agendamento",IF(OR(E2507&gt;TODAY(),F2507&gt;TODAY()),"Verificar evento futuro","OK"))))))</f>
        <v/>
      </c>
    </row>
    <row r="2508" spans="9:12">
      <c r="I2508" s="5">
        <f>IF(OR(A2508="",B2508=""),"",B2508-WEEKDAY(B2508,2)+1)</f>
        <v/>
      </c>
      <c r="J2508" s="5">
        <f>IF(I2508="","",I2508+6)</f>
        <v/>
      </c>
      <c r="K2508" s="6">
        <f>IF(OR(A2508="",B2508=""),"",DATE(YEAR(B2508),MONTH(B2508),1))</f>
        <v/>
      </c>
      <c r="L2508" s="7">
        <f>IF(COUNTA(A2508,B2508)=0,"",IF(OR(A2508="",B2508=""),"Preencher CPF e entrada",IF(COUNTIFS($A$12:$A$5011,A2508,$B$12:$B$5011,B2508)&gt;1,"CPF + dia duplicado",IF(OR(AND(E2508&lt;&gt;"",E2508&lt;B2508),AND(F2508&lt;&gt;"",F2508&lt;B2508)),"Evento anterior à entrada",IF(AND(F2508&lt;&gt;"",E2508=""),"Conversa sem agendamento",IF(OR(E2508&gt;TODAY(),F2508&gt;TODAY()),"Verificar evento futuro","OK"))))))</f>
        <v/>
      </c>
    </row>
    <row r="2509" spans="9:12">
      <c r="I2509" s="5">
        <f>IF(OR(A2509="",B2509=""),"",B2509-WEEKDAY(B2509,2)+1)</f>
        <v/>
      </c>
      <c r="J2509" s="5">
        <f>IF(I2509="","",I2509+6)</f>
        <v/>
      </c>
      <c r="K2509" s="6">
        <f>IF(OR(A2509="",B2509=""),"",DATE(YEAR(B2509),MONTH(B2509),1))</f>
        <v/>
      </c>
      <c r="L2509" s="7">
        <f>IF(COUNTA(A2509,B2509)=0,"",IF(OR(A2509="",B2509=""),"Preencher CPF e entrada",IF(COUNTIFS($A$12:$A$5011,A2509,$B$12:$B$5011,B2509)&gt;1,"CPF + dia duplicado",IF(OR(AND(E2509&lt;&gt;"",E2509&lt;B2509),AND(F2509&lt;&gt;"",F2509&lt;B2509)),"Evento anterior à entrada",IF(AND(F2509&lt;&gt;"",E2509=""),"Conversa sem agendamento",IF(OR(E2509&gt;TODAY(),F2509&gt;TODAY()),"Verificar evento futuro","OK"))))))</f>
        <v/>
      </c>
    </row>
    <row r="2510" spans="9:12">
      <c r="I2510" s="5">
        <f>IF(OR(A2510="",B2510=""),"",B2510-WEEKDAY(B2510,2)+1)</f>
        <v/>
      </c>
      <c r="J2510" s="5">
        <f>IF(I2510="","",I2510+6)</f>
        <v/>
      </c>
      <c r="K2510" s="6">
        <f>IF(OR(A2510="",B2510=""),"",DATE(YEAR(B2510),MONTH(B2510),1))</f>
        <v/>
      </c>
      <c r="L2510" s="7">
        <f>IF(COUNTA(A2510,B2510)=0,"",IF(OR(A2510="",B2510=""),"Preencher CPF e entrada",IF(COUNTIFS($A$12:$A$5011,A2510,$B$12:$B$5011,B2510)&gt;1,"CPF + dia duplicado",IF(OR(AND(E2510&lt;&gt;"",E2510&lt;B2510),AND(F2510&lt;&gt;"",F2510&lt;B2510)),"Evento anterior à entrada",IF(AND(F2510&lt;&gt;"",E2510=""),"Conversa sem agendamento",IF(OR(E2510&gt;TODAY(),F2510&gt;TODAY()),"Verificar evento futuro","OK"))))))</f>
        <v/>
      </c>
    </row>
    <row r="2511" spans="9:12">
      <c r="I2511" s="5">
        <f>IF(OR(A2511="",B2511=""),"",B2511-WEEKDAY(B2511,2)+1)</f>
        <v/>
      </c>
      <c r="J2511" s="5">
        <f>IF(I2511="","",I2511+6)</f>
        <v/>
      </c>
      <c r="K2511" s="6">
        <f>IF(OR(A2511="",B2511=""),"",DATE(YEAR(B2511),MONTH(B2511),1))</f>
        <v/>
      </c>
      <c r="L2511" s="7">
        <f>IF(COUNTA(A2511,B2511)=0,"",IF(OR(A2511="",B2511=""),"Preencher CPF e entrada",IF(COUNTIFS($A$12:$A$5011,A2511,$B$12:$B$5011,B2511)&gt;1,"CPF + dia duplicado",IF(OR(AND(E2511&lt;&gt;"",E2511&lt;B2511),AND(F2511&lt;&gt;"",F2511&lt;B2511)),"Evento anterior à entrada",IF(AND(F2511&lt;&gt;"",E2511=""),"Conversa sem agendamento",IF(OR(E2511&gt;TODAY(),F2511&gt;TODAY()),"Verificar evento futuro","OK"))))))</f>
        <v/>
      </c>
    </row>
    <row r="2512" spans="9:12">
      <c r="I2512" s="5">
        <f>IF(OR(A2512="",B2512=""),"",B2512-WEEKDAY(B2512,2)+1)</f>
        <v/>
      </c>
      <c r="J2512" s="5">
        <f>IF(I2512="","",I2512+6)</f>
        <v/>
      </c>
      <c r="K2512" s="6">
        <f>IF(OR(A2512="",B2512=""),"",DATE(YEAR(B2512),MONTH(B2512),1))</f>
        <v/>
      </c>
      <c r="L2512" s="7">
        <f>IF(COUNTA(A2512,B2512)=0,"",IF(OR(A2512="",B2512=""),"Preencher CPF e entrada",IF(COUNTIFS($A$12:$A$5011,A2512,$B$12:$B$5011,B2512)&gt;1,"CPF + dia duplicado",IF(OR(AND(E2512&lt;&gt;"",E2512&lt;B2512),AND(F2512&lt;&gt;"",F2512&lt;B2512)),"Evento anterior à entrada",IF(AND(F2512&lt;&gt;"",E2512=""),"Conversa sem agendamento",IF(OR(E2512&gt;TODAY(),F2512&gt;TODAY()),"Verificar evento futuro","OK"))))))</f>
        <v/>
      </c>
    </row>
    <row r="2513" spans="9:12">
      <c r="I2513" s="5">
        <f>IF(OR(A2513="",B2513=""),"",B2513-WEEKDAY(B2513,2)+1)</f>
        <v/>
      </c>
      <c r="J2513" s="5">
        <f>IF(I2513="","",I2513+6)</f>
        <v/>
      </c>
      <c r="K2513" s="6">
        <f>IF(OR(A2513="",B2513=""),"",DATE(YEAR(B2513),MONTH(B2513),1))</f>
        <v/>
      </c>
      <c r="L2513" s="7">
        <f>IF(COUNTA(A2513,B2513)=0,"",IF(OR(A2513="",B2513=""),"Preencher CPF e entrada",IF(COUNTIFS($A$12:$A$5011,A2513,$B$12:$B$5011,B2513)&gt;1,"CPF + dia duplicado",IF(OR(AND(E2513&lt;&gt;"",E2513&lt;B2513),AND(F2513&lt;&gt;"",F2513&lt;B2513)),"Evento anterior à entrada",IF(AND(F2513&lt;&gt;"",E2513=""),"Conversa sem agendamento",IF(OR(E2513&gt;TODAY(),F2513&gt;TODAY()),"Verificar evento futuro","OK"))))))</f>
        <v/>
      </c>
    </row>
    <row r="2514" spans="9:12">
      <c r="I2514" s="5">
        <f>IF(OR(A2514="",B2514=""),"",B2514-WEEKDAY(B2514,2)+1)</f>
        <v/>
      </c>
      <c r="J2514" s="5">
        <f>IF(I2514="","",I2514+6)</f>
        <v/>
      </c>
      <c r="K2514" s="6">
        <f>IF(OR(A2514="",B2514=""),"",DATE(YEAR(B2514),MONTH(B2514),1))</f>
        <v/>
      </c>
      <c r="L2514" s="7">
        <f>IF(COUNTA(A2514,B2514)=0,"",IF(OR(A2514="",B2514=""),"Preencher CPF e entrada",IF(COUNTIFS($A$12:$A$5011,A2514,$B$12:$B$5011,B2514)&gt;1,"CPF + dia duplicado",IF(OR(AND(E2514&lt;&gt;"",E2514&lt;B2514),AND(F2514&lt;&gt;"",F2514&lt;B2514)),"Evento anterior à entrada",IF(AND(F2514&lt;&gt;"",E2514=""),"Conversa sem agendamento",IF(OR(E2514&gt;TODAY(),F2514&gt;TODAY()),"Verificar evento futuro","OK"))))))</f>
        <v/>
      </c>
    </row>
    <row r="2515" spans="9:12">
      <c r="I2515" s="5">
        <f>IF(OR(A2515="",B2515=""),"",B2515-WEEKDAY(B2515,2)+1)</f>
        <v/>
      </c>
      <c r="J2515" s="5">
        <f>IF(I2515="","",I2515+6)</f>
        <v/>
      </c>
      <c r="K2515" s="6">
        <f>IF(OR(A2515="",B2515=""),"",DATE(YEAR(B2515),MONTH(B2515),1))</f>
        <v/>
      </c>
      <c r="L2515" s="7">
        <f>IF(COUNTA(A2515,B2515)=0,"",IF(OR(A2515="",B2515=""),"Preencher CPF e entrada",IF(COUNTIFS($A$12:$A$5011,A2515,$B$12:$B$5011,B2515)&gt;1,"CPF + dia duplicado",IF(OR(AND(E2515&lt;&gt;"",E2515&lt;B2515),AND(F2515&lt;&gt;"",F2515&lt;B2515)),"Evento anterior à entrada",IF(AND(F2515&lt;&gt;"",E2515=""),"Conversa sem agendamento",IF(OR(E2515&gt;TODAY(),F2515&gt;TODAY()),"Verificar evento futuro","OK"))))))</f>
        <v/>
      </c>
    </row>
    <row r="2516" spans="9:12">
      <c r="I2516" s="5">
        <f>IF(OR(A2516="",B2516=""),"",B2516-WEEKDAY(B2516,2)+1)</f>
        <v/>
      </c>
      <c r="J2516" s="5">
        <f>IF(I2516="","",I2516+6)</f>
        <v/>
      </c>
      <c r="K2516" s="6">
        <f>IF(OR(A2516="",B2516=""),"",DATE(YEAR(B2516),MONTH(B2516),1))</f>
        <v/>
      </c>
      <c r="L2516" s="7">
        <f>IF(COUNTA(A2516,B2516)=0,"",IF(OR(A2516="",B2516=""),"Preencher CPF e entrada",IF(COUNTIFS($A$12:$A$5011,A2516,$B$12:$B$5011,B2516)&gt;1,"CPF + dia duplicado",IF(OR(AND(E2516&lt;&gt;"",E2516&lt;B2516),AND(F2516&lt;&gt;"",F2516&lt;B2516)),"Evento anterior à entrada",IF(AND(F2516&lt;&gt;"",E2516=""),"Conversa sem agendamento",IF(OR(E2516&gt;TODAY(),F2516&gt;TODAY()),"Verificar evento futuro","OK"))))))</f>
        <v/>
      </c>
    </row>
    <row r="2517" spans="9:12">
      <c r="I2517" s="5">
        <f>IF(OR(A2517="",B2517=""),"",B2517-WEEKDAY(B2517,2)+1)</f>
        <v/>
      </c>
      <c r="J2517" s="5">
        <f>IF(I2517="","",I2517+6)</f>
        <v/>
      </c>
      <c r="K2517" s="6">
        <f>IF(OR(A2517="",B2517=""),"",DATE(YEAR(B2517),MONTH(B2517),1))</f>
        <v/>
      </c>
      <c r="L2517" s="7">
        <f>IF(COUNTA(A2517,B2517)=0,"",IF(OR(A2517="",B2517=""),"Preencher CPF e entrada",IF(COUNTIFS($A$12:$A$5011,A2517,$B$12:$B$5011,B2517)&gt;1,"CPF + dia duplicado",IF(OR(AND(E2517&lt;&gt;"",E2517&lt;B2517),AND(F2517&lt;&gt;"",F2517&lt;B2517)),"Evento anterior à entrada",IF(AND(F2517&lt;&gt;"",E2517=""),"Conversa sem agendamento",IF(OR(E2517&gt;TODAY(),F2517&gt;TODAY()),"Verificar evento futuro","OK"))))))</f>
        <v/>
      </c>
    </row>
    <row r="2518" spans="9:12">
      <c r="I2518" s="5">
        <f>IF(OR(A2518="",B2518=""),"",B2518-WEEKDAY(B2518,2)+1)</f>
        <v/>
      </c>
      <c r="J2518" s="5">
        <f>IF(I2518="","",I2518+6)</f>
        <v/>
      </c>
      <c r="K2518" s="6">
        <f>IF(OR(A2518="",B2518=""),"",DATE(YEAR(B2518),MONTH(B2518),1))</f>
        <v/>
      </c>
      <c r="L2518" s="7">
        <f>IF(COUNTA(A2518,B2518)=0,"",IF(OR(A2518="",B2518=""),"Preencher CPF e entrada",IF(COUNTIFS($A$12:$A$5011,A2518,$B$12:$B$5011,B2518)&gt;1,"CPF + dia duplicado",IF(OR(AND(E2518&lt;&gt;"",E2518&lt;B2518),AND(F2518&lt;&gt;"",F2518&lt;B2518)),"Evento anterior à entrada",IF(AND(F2518&lt;&gt;"",E2518=""),"Conversa sem agendamento",IF(OR(E2518&gt;TODAY(),F2518&gt;TODAY()),"Verificar evento futuro","OK"))))))</f>
        <v/>
      </c>
    </row>
    <row r="2519" spans="9:12">
      <c r="I2519" s="5">
        <f>IF(OR(A2519="",B2519=""),"",B2519-WEEKDAY(B2519,2)+1)</f>
        <v/>
      </c>
      <c r="J2519" s="5">
        <f>IF(I2519="","",I2519+6)</f>
        <v/>
      </c>
      <c r="K2519" s="6">
        <f>IF(OR(A2519="",B2519=""),"",DATE(YEAR(B2519),MONTH(B2519),1))</f>
        <v/>
      </c>
      <c r="L2519" s="7">
        <f>IF(COUNTA(A2519,B2519)=0,"",IF(OR(A2519="",B2519=""),"Preencher CPF e entrada",IF(COUNTIFS($A$12:$A$5011,A2519,$B$12:$B$5011,B2519)&gt;1,"CPF + dia duplicado",IF(OR(AND(E2519&lt;&gt;"",E2519&lt;B2519),AND(F2519&lt;&gt;"",F2519&lt;B2519)),"Evento anterior à entrada",IF(AND(F2519&lt;&gt;"",E2519=""),"Conversa sem agendamento",IF(OR(E2519&gt;TODAY(),F2519&gt;TODAY()),"Verificar evento futuro","OK"))))))</f>
        <v/>
      </c>
    </row>
    <row r="2520" spans="9:12">
      <c r="I2520" s="5">
        <f>IF(OR(A2520="",B2520=""),"",B2520-WEEKDAY(B2520,2)+1)</f>
        <v/>
      </c>
      <c r="J2520" s="5">
        <f>IF(I2520="","",I2520+6)</f>
        <v/>
      </c>
      <c r="K2520" s="6">
        <f>IF(OR(A2520="",B2520=""),"",DATE(YEAR(B2520),MONTH(B2520),1))</f>
        <v/>
      </c>
      <c r="L2520" s="7">
        <f>IF(COUNTA(A2520,B2520)=0,"",IF(OR(A2520="",B2520=""),"Preencher CPF e entrada",IF(COUNTIFS($A$12:$A$5011,A2520,$B$12:$B$5011,B2520)&gt;1,"CPF + dia duplicado",IF(OR(AND(E2520&lt;&gt;"",E2520&lt;B2520),AND(F2520&lt;&gt;"",F2520&lt;B2520)),"Evento anterior à entrada",IF(AND(F2520&lt;&gt;"",E2520=""),"Conversa sem agendamento",IF(OR(E2520&gt;TODAY(),F2520&gt;TODAY()),"Verificar evento futuro","OK"))))))</f>
        <v/>
      </c>
    </row>
    <row r="2521" spans="9:12">
      <c r="I2521" s="5">
        <f>IF(OR(A2521="",B2521=""),"",B2521-WEEKDAY(B2521,2)+1)</f>
        <v/>
      </c>
      <c r="J2521" s="5">
        <f>IF(I2521="","",I2521+6)</f>
        <v/>
      </c>
      <c r="K2521" s="6">
        <f>IF(OR(A2521="",B2521=""),"",DATE(YEAR(B2521),MONTH(B2521),1))</f>
        <v/>
      </c>
      <c r="L2521" s="7">
        <f>IF(COUNTA(A2521,B2521)=0,"",IF(OR(A2521="",B2521=""),"Preencher CPF e entrada",IF(COUNTIFS($A$12:$A$5011,A2521,$B$12:$B$5011,B2521)&gt;1,"CPF + dia duplicado",IF(OR(AND(E2521&lt;&gt;"",E2521&lt;B2521),AND(F2521&lt;&gt;"",F2521&lt;B2521)),"Evento anterior à entrada",IF(AND(F2521&lt;&gt;"",E2521=""),"Conversa sem agendamento",IF(OR(E2521&gt;TODAY(),F2521&gt;TODAY()),"Verificar evento futuro","OK"))))))</f>
        <v/>
      </c>
    </row>
    <row r="2522" spans="9:12">
      <c r="I2522" s="5">
        <f>IF(OR(A2522="",B2522=""),"",B2522-WEEKDAY(B2522,2)+1)</f>
        <v/>
      </c>
      <c r="J2522" s="5">
        <f>IF(I2522="","",I2522+6)</f>
        <v/>
      </c>
      <c r="K2522" s="6">
        <f>IF(OR(A2522="",B2522=""),"",DATE(YEAR(B2522),MONTH(B2522),1))</f>
        <v/>
      </c>
      <c r="L2522" s="7">
        <f>IF(COUNTA(A2522,B2522)=0,"",IF(OR(A2522="",B2522=""),"Preencher CPF e entrada",IF(COUNTIFS($A$12:$A$5011,A2522,$B$12:$B$5011,B2522)&gt;1,"CPF + dia duplicado",IF(OR(AND(E2522&lt;&gt;"",E2522&lt;B2522),AND(F2522&lt;&gt;"",F2522&lt;B2522)),"Evento anterior à entrada",IF(AND(F2522&lt;&gt;"",E2522=""),"Conversa sem agendamento",IF(OR(E2522&gt;TODAY(),F2522&gt;TODAY()),"Verificar evento futuro","OK"))))))</f>
        <v/>
      </c>
    </row>
    <row r="2523" spans="9:12">
      <c r="I2523" s="5">
        <f>IF(OR(A2523="",B2523=""),"",B2523-WEEKDAY(B2523,2)+1)</f>
        <v/>
      </c>
      <c r="J2523" s="5">
        <f>IF(I2523="","",I2523+6)</f>
        <v/>
      </c>
      <c r="K2523" s="6">
        <f>IF(OR(A2523="",B2523=""),"",DATE(YEAR(B2523),MONTH(B2523),1))</f>
        <v/>
      </c>
      <c r="L2523" s="7">
        <f>IF(COUNTA(A2523,B2523)=0,"",IF(OR(A2523="",B2523=""),"Preencher CPF e entrada",IF(COUNTIFS($A$12:$A$5011,A2523,$B$12:$B$5011,B2523)&gt;1,"CPF + dia duplicado",IF(OR(AND(E2523&lt;&gt;"",E2523&lt;B2523),AND(F2523&lt;&gt;"",F2523&lt;B2523)),"Evento anterior à entrada",IF(AND(F2523&lt;&gt;"",E2523=""),"Conversa sem agendamento",IF(OR(E2523&gt;TODAY(),F2523&gt;TODAY()),"Verificar evento futuro","OK"))))))</f>
        <v/>
      </c>
    </row>
    <row r="2524" spans="9:12">
      <c r="I2524" s="5">
        <f>IF(OR(A2524="",B2524=""),"",B2524-WEEKDAY(B2524,2)+1)</f>
        <v/>
      </c>
      <c r="J2524" s="5">
        <f>IF(I2524="","",I2524+6)</f>
        <v/>
      </c>
      <c r="K2524" s="6">
        <f>IF(OR(A2524="",B2524=""),"",DATE(YEAR(B2524),MONTH(B2524),1))</f>
        <v/>
      </c>
      <c r="L2524" s="7">
        <f>IF(COUNTA(A2524,B2524)=0,"",IF(OR(A2524="",B2524=""),"Preencher CPF e entrada",IF(COUNTIFS($A$12:$A$5011,A2524,$B$12:$B$5011,B2524)&gt;1,"CPF + dia duplicado",IF(OR(AND(E2524&lt;&gt;"",E2524&lt;B2524),AND(F2524&lt;&gt;"",F2524&lt;B2524)),"Evento anterior à entrada",IF(AND(F2524&lt;&gt;"",E2524=""),"Conversa sem agendamento",IF(OR(E2524&gt;TODAY(),F2524&gt;TODAY()),"Verificar evento futuro","OK"))))))</f>
        <v/>
      </c>
    </row>
    <row r="2525" spans="9:12">
      <c r="I2525" s="5">
        <f>IF(OR(A2525="",B2525=""),"",B2525-WEEKDAY(B2525,2)+1)</f>
        <v/>
      </c>
      <c r="J2525" s="5">
        <f>IF(I2525="","",I2525+6)</f>
        <v/>
      </c>
      <c r="K2525" s="6">
        <f>IF(OR(A2525="",B2525=""),"",DATE(YEAR(B2525),MONTH(B2525),1))</f>
        <v/>
      </c>
      <c r="L2525" s="7">
        <f>IF(COUNTA(A2525,B2525)=0,"",IF(OR(A2525="",B2525=""),"Preencher CPF e entrada",IF(COUNTIFS($A$12:$A$5011,A2525,$B$12:$B$5011,B2525)&gt;1,"CPF + dia duplicado",IF(OR(AND(E2525&lt;&gt;"",E2525&lt;B2525),AND(F2525&lt;&gt;"",F2525&lt;B2525)),"Evento anterior à entrada",IF(AND(F2525&lt;&gt;"",E2525=""),"Conversa sem agendamento",IF(OR(E2525&gt;TODAY(),F2525&gt;TODAY()),"Verificar evento futuro","OK"))))))</f>
        <v/>
      </c>
    </row>
    <row r="2526" spans="9:12">
      <c r="I2526" s="5">
        <f>IF(OR(A2526="",B2526=""),"",B2526-WEEKDAY(B2526,2)+1)</f>
        <v/>
      </c>
      <c r="J2526" s="5">
        <f>IF(I2526="","",I2526+6)</f>
        <v/>
      </c>
      <c r="K2526" s="6">
        <f>IF(OR(A2526="",B2526=""),"",DATE(YEAR(B2526),MONTH(B2526),1))</f>
        <v/>
      </c>
      <c r="L2526" s="7">
        <f>IF(COUNTA(A2526,B2526)=0,"",IF(OR(A2526="",B2526=""),"Preencher CPF e entrada",IF(COUNTIFS($A$12:$A$5011,A2526,$B$12:$B$5011,B2526)&gt;1,"CPF + dia duplicado",IF(OR(AND(E2526&lt;&gt;"",E2526&lt;B2526),AND(F2526&lt;&gt;"",F2526&lt;B2526)),"Evento anterior à entrada",IF(AND(F2526&lt;&gt;"",E2526=""),"Conversa sem agendamento",IF(OR(E2526&gt;TODAY(),F2526&gt;TODAY()),"Verificar evento futuro","OK"))))))</f>
        <v/>
      </c>
    </row>
    <row r="2527" spans="9:12">
      <c r="I2527" s="5">
        <f>IF(OR(A2527="",B2527=""),"",B2527-WEEKDAY(B2527,2)+1)</f>
        <v/>
      </c>
      <c r="J2527" s="5">
        <f>IF(I2527="","",I2527+6)</f>
        <v/>
      </c>
      <c r="K2527" s="6">
        <f>IF(OR(A2527="",B2527=""),"",DATE(YEAR(B2527),MONTH(B2527),1))</f>
        <v/>
      </c>
      <c r="L2527" s="7">
        <f>IF(COUNTA(A2527,B2527)=0,"",IF(OR(A2527="",B2527=""),"Preencher CPF e entrada",IF(COUNTIFS($A$12:$A$5011,A2527,$B$12:$B$5011,B2527)&gt;1,"CPF + dia duplicado",IF(OR(AND(E2527&lt;&gt;"",E2527&lt;B2527),AND(F2527&lt;&gt;"",F2527&lt;B2527)),"Evento anterior à entrada",IF(AND(F2527&lt;&gt;"",E2527=""),"Conversa sem agendamento",IF(OR(E2527&gt;TODAY(),F2527&gt;TODAY()),"Verificar evento futuro","OK"))))))</f>
        <v/>
      </c>
    </row>
    <row r="2528" spans="9:12">
      <c r="I2528" s="5">
        <f>IF(OR(A2528="",B2528=""),"",B2528-WEEKDAY(B2528,2)+1)</f>
        <v/>
      </c>
      <c r="J2528" s="5">
        <f>IF(I2528="","",I2528+6)</f>
        <v/>
      </c>
      <c r="K2528" s="6">
        <f>IF(OR(A2528="",B2528=""),"",DATE(YEAR(B2528),MONTH(B2528),1))</f>
        <v/>
      </c>
      <c r="L2528" s="7">
        <f>IF(COUNTA(A2528,B2528)=0,"",IF(OR(A2528="",B2528=""),"Preencher CPF e entrada",IF(COUNTIFS($A$12:$A$5011,A2528,$B$12:$B$5011,B2528)&gt;1,"CPF + dia duplicado",IF(OR(AND(E2528&lt;&gt;"",E2528&lt;B2528),AND(F2528&lt;&gt;"",F2528&lt;B2528)),"Evento anterior à entrada",IF(AND(F2528&lt;&gt;"",E2528=""),"Conversa sem agendamento",IF(OR(E2528&gt;TODAY(),F2528&gt;TODAY()),"Verificar evento futuro","OK"))))))</f>
        <v/>
      </c>
    </row>
    <row r="2529" spans="9:12">
      <c r="I2529" s="5">
        <f>IF(OR(A2529="",B2529=""),"",B2529-WEEKDAY(B2529,2)+1)</f>
        <v/>
      </c>
      <c r="J2529" s="5">
        <f>IF(I2529="","",I2529+6)</f>
        <v/>
      </c>
      <c r="K2529" s="6">
        <f>IF(OR(A2529="",B2529=""),"",DATE(YEAR(B2529),MONTH(B2529),1))</f>
        <v/>
      </c>
      <c r="L2529" s="7">
        <f>IF(COUNTA(A2529,B2529)=0,"",IF(OR(A2529="",B2529=""),"Preencher CPF e entrada",IF(COUNTIFS($A$12:$A$5011,A2529,$B$12:$B$5011,B2529)&gt;1,"CPF + dia duplicado",IF(OR(AND(E2529&lt;&gt;"",E2529&lt;B2529),AND(F2529&lt;&gt;"",F2529&lt;B2529)),"Evento anterior à entrada",IF(AND(F2529&lt;&gt;"",E2529=""),"Conversa sem agendamento",IF(OR(E2529&gt;TODAY(),F2529&gt;TODAY()),"Verificar evento futuro","OK"))))))</f>
        <v/>
      </c>
    </row>
    <row r="2530" spans="9:12">
      <c r="I2530" s="5">
        <f>IF(OR(A2530="",B2530=""),"",B2530-WEEKDAY(B2530,2)+1)</f>
        <v/>
      </c>
      <c r="J2530" s="5">
        <f>IF(I2530="","",I2530+6)</f>
        <v/>
      </c>
      <c r="K2530" s="6">
        <f>IF(OR(A2530="",B2530=""),"",DATE(YEAR(B2530),MONTH(B2530),1))</f>
        <v/>
      </c>
      <c r="L2530" s="7">
        <f>IF(COUNTA(A2530,B2530)=0,"",IF(OR(A2530="",B2530=""),"Preencher CPF e entrada",IF(COUNTIFS($A$12:$A$5011,A2530,$B$12:$B$5011,B2530)&gt;1,"CPF + dia duplicado",IF(OR(AND(E2530&lt;&gt;"",E2530&lt;B2530),AND(F2530&lt;&gt;"",F2530&lt;B2530)),"Evento anterior à entrada",IF(AND(F2530&lt;&gt;"",E2530=""),"Conversa sem agendamento",IF(OR(E2530&gt;TODAY(),F2530&gt;TODAY()),"Verificar evento futuro","OK"))))))</f>
        <v/>
      </c>
    </row>
    <row r="2531" spans="9:12">
      <c r="I2531" s="5">
        <f>IF(OR(A2531="",B2531=""),"",B2531-WEEKDAY(B2531,2)+1)</f>
        <v/>
      </c>
      <c r="J2531" s="5">
        <f>IF(I2531="","",I2531+6)</f>
        <v/>
      </c>
      <c r="K2531" s="6">
        <f>IF(OR(A2531="",B2531=""),"",DATE(YEAR(B2531),MONTH(B2531),1))</f>
        <v/>
      </c>
      <c r="L2531" s="7">
        <f>IF(COUNTA(A2531,B2531)=0,"",IF(OR(A2531="",B2531=""),"Preencher CPF e entrada",IF(COUNTIFS($A$12:$A$5011,A2531,$B$12:$B$5011,B2531)&gt;1,"CPF + dia duplicado",IF(OR(AND(E2531&lt;&gt;"",E2531&lt;B2531),AND(F2531&lt;&gt;"",F2531&lt;B2531)),"Evento anterior à entrada",IF(AND(F2531&lt;&gt;"",E2531=""),"Conversa sem agendamento",IF(OR(E2531&gt;TODAY(),F2531&gt;TODAY()),"Verificar evento futuro","OK"))))))</f>
        <v/>
      </c>
    </row>
    <row r="2532" spans="9:12">
      <c r="I2532" s="5">
        <f>IF(OR(A2532="",B2532=""),"",B2532-WEEKDAY(B2532,2)+1)</f>
        <v/>
      </c>
      <c r="J2532" s="5">
        <f>IF(I2532="","",I2532+6)</f>
        <v/>
      </c>
      <c r="K2532" s="6">
        <f>IF(OR(A2532="",B2532=""),"",DATE(YEAR(B2532),MONTH(B2532),1))</f>
        <v/>
      </c>
      <c r="L2532" s="7">
        <f>IF(COUNTA(A2532,B2532)=0,"",IF(OR(A2532="",B2532=""),"Preencher CPF e entrada",IF(COUNTIFS($A$12:$A$5011,A2532,$B$12:$B$5011,B2532)&gt;1,"CPF + dia duplicado",IF(OR(AND(E2532&lt;&gt;"",E2532&lt;B2532),AND(F2532&lt;&gt;"",F2532&lt;B2532)),"Evento anterior à entrada",IF(AND(F2532&lt;&gt;"",E2532=""),"Conversa sem agendamento",IF(OR(E2532&gt;TODAY(),F2532&gt;TODAY()),"Verificar evento futuro","OK"))))))</f>
        <v/>
      </c>
    </row>
    <row r="2533" spans="9:12">
      <c r="I2533" s="5">
        <f>IF(OR(A2533="",B2533=""),"",B2533-WEEKDAY(B2533,2)+1)</f>
        <v/>
      </c>
      <c r="J2533" s="5">
        <f>IF(I2533="","",I2533+6)</f>
        <v/>
      </c>
      <c r="K2533" s="6">
        <f>IF(OR(A2533="",B2533=""),"",DATE(YEAR(B2533),MONTH(B2533),1))</f>
        <v/>
      </c>
      <c r="L2533" s="7">
        <f>IF(COUNTA(A2533,B2533)=0,"",IF(OR(A2533="",B2533=""),"Preencher CPF e entrada",IF(COUNTIFS($A$12:$A$5011,A2533,$B$12:$B$5011,B2533)&gt;1,"CPF + dia duplicado",IF(OR(AND(E2533&lt;&gt;"",E2533&lt;B2533),AND(F2533&lt;&gt;"",F2533&lt;B2533)),"Evento anterior à entrada",IF(AND(F2533&lt;&gt;"",E2533=""),"Conversa sem agendamento",IF(OR(E2533&gt;TODAY(),F2533&gt;TODAY()),"Verificar evento futuro","OK"))))))</f>
        <v/>
      </c>
    </row>
    <row r="2534" spans="9:12">
      <c r="I2534" s="5">
        <f>IF(OR(A2534="",B2534=""),"",B2534-WEEKDAY(B2534,2)+1)</f>
        <v/>
      </c>
      <c r="J2534" s="5">
        <f>IF(I2534="","",I2534+6)</f>
        <v/>
      </c>
      <c r="K2534" s="6">
        <f>IF(OR(A2534="",B2534=""),"",DATE(YEAR(B2534),MONTH(B2534),1))</f>
        <v/>
      </c>
      <c r="L2534" s="7">
        <f>IF(COUNTA(A2534,B2534)=0,"",IF(OR(A2534="",B2534=""),"Preencher CPF e entrada",IF(COUNTIFS($A$12:$A$5011,A2534,$B$12:$B$5011,B2534)&gt;1,"CPF + dia duplicado",IF(OR(AND(E2534&lt;&gt;"",E2534&lt;B2534),AND(F2534&lt;&gt;"",F2534&lt;B2534)),"Evento anterior à entrada",IF(AND(F2534&lt;&gt;"",E2534=""),"Conversa sem agendamento",IF(OR(E2534&gt;TODAY(),F2534&gt;TODAY()),"Verificar evento futuro","OK"))))))</f>
        <v/>
      </c>
    </row>
    <row r="2535" spans="9:12">
      <c r="I2535" s="5">
        <f>IF(OR(A2535="",B2535=""),"",B2535-WEEKDAY(B2535,2)+1)</f>
        <v/>
      </c>
      <c r="J2535" s="5">
        <f>IF(I2535="","",I2535+6)</f>
        <v/>
      </c>
      <c r="K2535" s="6">
        <f>IF(OR(A2535="",B2535=""),"",DATE(YEAR(B2535),MONTH(B2535),1))</f>
        <v/>
      </c>
      <c r="L2535" s="7">
        <f>IF(COUNTA(A2535,B2535)=0,"",IF(OR(A2535="",B2535=""),"Preencher CPF e entrada",IF(COUNTIFS($A$12:$A$5011,A2535,$B$12:$B$5011,B2535)&gt;1,"CPF + dia duplicado",IF(OR(AND(E2535&lt;&gt;"",E2535&lt;B2535),AND(F2535&lt;&gt;"",F2535&lt;B2535)),"Evento anterior à entrada",IF(AND(F2535&lt;&gt;"",E2535=""),"Conversa sem agendamento",IF(OR(E2535&gt;TODAY(),F2535&gt;TODAY()),"Verificar evento futuro","OK"))))))</f>
        <v/>
      </c>
    </row>
    <row r="2536" spans="9:12">
      <c r="I2536" s="5">
        <f>IF(OR(A2536="",B2536=""),"",B2536-WEEKDAY(B2536,2)+1)</f>
        <v/>
      </c>
      <c r="J2536" s="5">
        <f>IF(I2536="","",I2536+6)</f>
        <v/>
      </c>
      <c r="K2536" s="6">
        <f>IF(OR(A2536="",B2536=""),"",DATE(YEAR(B2536),MONTH(B2536),1))</f>
        <v/>
      </c>
      <c r="L2536" s="7">
        <f>IF(COUNTA(A2536,B2536)=0,"",IF(OR(A2536="",B2536=""),"Preencher CPF e entrada",IF(COUNTIFS($A$12:$A$5011,A2536,$B$12:$B$5011,B2536)&gt;1,"CPF + dia duplicado",IF(OR(AND(E2536&lt;&gt;"",E2536&lt;B2536),AND(F2536&lt;&gt;"",F2536&lt;B2536)),"Evento anterior à entrada",IF(AND(F2536&lt;&gt;"",E2536=""),"Conversa sem agendamento",IF(OR(E2536&gt;TODAY(),F2536&gt;TODAY()),"Verificar evento futuro","OK"))))))</f>
        <v/>
      </c>
    </row>
    <row r="2537" spans="9:12">
      <c r="I2537" s="5">
        <f>IF(OR(A2537="",B2537=""),"",B2537-WEEKDAY(B2537,2)+1)</f>
        <v/>
      </c>
      <c r="J2537" s="5">
        <f>IF(I2537="","",I2537+6)</f>
        <v/>
      </c>
      <c r="K2537" s="6">
        <f>IF(OR(A2537="",B2537=""),"",DATE(YEAR(B2537),MONTH(B2537),1))</f>
        <v/>
      </c>
      <c r="L2537" s="7">
        <f>IF(COUNTA(A2537,B2537)=0,"",IF(OR(A2537="",B2537=""),"Preencher CPF e entrada",IF(COUNTIFS($A$12:$A$5011,A2537,$B$12:$B$5011,B2537)&gt;1,"CPF + dia duplicado",IF(OR(AND(E2537&lt;&gt;"",E2537&lt;B2537),AND(F2537&lt;&gt;"",F2537&lt;B2537)),"Evento anterior à entrada",IF(AND(F2537&lt;&gt;"",E2537=""),"Conversa sem agendamento",IF(OR(E2537&gt;TODAY(),F2537&gt;TODAY()),"Verificar evento futuro","OK"))))))</f>
        <v/>
      </c>
    </row>
    <row r="2538" spans="9:12">
      <c r="I2538" s="5">
        <f>IF(OR(A2538="",B2538=""),"",B2538-WEEKDAY(B2538,2)+1)</f>
        <v/>
      </c>
      <c r="J2538" s="5">
        <f>IF(I2538="","",I2538+6)</f>
        <v/>
      </c>
      <c r="K2538" s="6">
        <f>IF(OR(A2538="",B2538=""),"",DATE(YEAR(B2538),MONTH(B2538),1))</f>
        <v/>
      </c>
      <c r="L2538" s="7">
        <f>IF(COUNTA(A2538,B2538)=0,"",IF(OR(A2538="",B2538=""),"Preencher CPF e entrada",IF(COUNTIFS($A$12:$A$5011,A2538,$B$12:$B$5011,B2538)&gt;1,"CPF + dia duplicado",IF(OR(AND(E2538&lt;&gt;"",E2538&lt;B2538),AND(F2538&lt;&gt;"",F2538&lt;B2538)),"Evento anterior à entrada",IF(AND(F2538&lt;&gt;"",E2538=""),"Conversa sem agendamento",IF(OR(E2538&gt;TODAY(),F2538&gt;TODAY()),"Verificar evento futuro","OK"))))))</f>
        <v/>
      </c>
    </row>
    <row r="2539" spans="9:12">
      <c r="I2539" s="5">
        <f>IF(OR(A2539="",B2539=""),"",B2539-WEEKDAY(B2539,2)+1)</f>
        <v/>
      </c>
      <c r="J2539" s="5">
        <f>IF(I2539="","",I2539+6)</f>
        <v/>
      </c>
      <c r="K2539" s="6">
        <f>IF(OR(A2539="",B2539=""),"",DATE(YEAR(B2539),MONTH(B2539),1))</f>
        <v/>
      </c>
      <c r="L2539" s="7">
        <f>IF(COUNTA(A2539,B2539)=0,"",IF(OR(A2539="",B2539=""),"Preencher CPF e entrada",IF(COUNTIFS($A$12:$A$5011,A2539,$B$12:$B$5011,B2539)&gt;1,"CPF + dia duplicado",IF(OR(AND(E2539&lt;&gt;"",E2539&lt;B2539),AND(F2539&lt;&gt;"",F2539&lt;B2539)),"Evento anterior à entrada",IF(AND(F2539&lt;&gt;"",E2539=""),"Conversa sem agendamento",IF(OR(E2539&gt;TODAY(),F2539&gt;TODAY()),"Verificar evento futuro","OK"))))))</f>
        <v/>
      </c>
    </row>
    <row r="2540" spans="9:12">
      <c r="I2540" s="5">
        <f>IF(OR(A2540="",B2540=""),"",B2540-WEEKDAY(B2540,2)+1)</f>
        <v/>
      </c>
      <c r="J2540" s="5">
        <f>IF(I2540="","",I2540+6)</f>
        <v/>
      </c>
      <c r="K2540" s="6">
        <f>IF(OR(A2540="",B2540=""),"",DATE(YEAR(B2540),MONTH(B2540),1))</f>
        <v/>
      </c>
      <c r="L2540" s="7">
        <f>IF(COUNTA(A2540,B2540)=0,"",IF(OR(A2540="",B2540=""),"Preencher CPF e entrada",IF(COUNTIFS($A$12:$A$5011,A2540,$B$12:$B$5011,B2540)&gt;1,"CPF + dia duplicado",IF(OR(AND(E2540&lt;&gt;"",E2540&lt;B2540),AND(F2540&lt;&gt;"",F2540&lt;B2540)),"Evento anterior à entrada",IF(AND(F2540&lt;&gt;"",E2540=""),"Conversa sem agendamento",IF(OR(E2540&gt;TODAY(),F2540&gt;TODAY()),"Verificar evento futuro","OK"))))))</f>
        <v/>
      </c>
    </row>
    <row r="2541" spans="9:12">
      <c r="I2541" s="5">
        <f>IF(OR(A2541="",B2541=""),"",B2541-WEEKDAY(B2541,2)+1)</f>
        <v/>
      </c>
      <c r="J2541" s="5">
        <f>IF(I2541="","",I2541+6)</f>
        <v/>
      </c>
      <c r="K2541" s="6">
        <f>IF(OR(A2541="",B2541=""),"",DATE(YEAR(B2541),MONTH(B2541),1))</f>
        <v/>
      </c>
      <c r="L2541" s="7">
        <f>IF(COUNTA(A2541,B2541)=0,"",IF(OR(A2541="",B2541=""),"Preencher CPF e entrada",IF(COUNTIFS($A$12:$A$5011,A2541,$B$12:$B$5011,B2541)&gt;1,"CPF + dia duplicado",IF(OR(AND(E2541&lt;&gt;"",E2541&lt;B2541),AND(F2541&lt;&gt;"",F2541&lt;B2541)),"Evento anterior à entrada",IF(AND(F2541&lt;&gt;"",E2541=""),"Conversa sem agendamento",IF(OR(E2541&gt;TODAY(),F2541&gt;TODAY()),"Verificar evento futuro","OK"))))))</f>
        <v/>
      </c>
    </row>
    <row r="2542" spans="9:12">
      <c r="I2542" s="5">
        <f>IF(OR(A2542="",B2542=""),"",B2542-WEEKDAY(B2542,2)+1)</f>
        <v/>
      </c>
      <c r="J2542" s="5">
        <f>IF(I2542="","",I2542+6)</f>
        <v/>
      </c>
      <c r="K2542" s="6">
        <f>IF(OR(A2542="",B2542=""),"",DATE(YEAR(B2542),MONTH(B2542),1))</f>
        <v/>
      </c>
      <c r="L2542" s="7">
        <f>IF(COUNTA(A2542,B2542)=0,"",IF(OR(A2542="",B2542=""),"Preencher CPF e entrada",IF(COUNTIFS($A$12:$A$5011,A2542,$B$12:$B$5011,B2542)&gt;1,"CPF + dia duplicado",IF(OR(AND(E2542&lt;&gt;"",E2542&lt;B2542),AND(F2542&lt;&gt;"",F2542&lt;B2542)),"Evento anterior à entrada",IF(AND(F2542&lt;&gt;"",E2542=""),"Conversa sem agendamento",IF(OR(E2542&gt;TODAY(),F2542&gt;TODAY()),"Verificar evento futuro","OK"))))))</f>
        <v/>
      </c>
    </row>
    <row r="2543" spans="9:12">
      <c r="I2543" s="5">
        <f>IF(OR(A2543="",B2543=""),"",B2543-WEEKDAY(B2543,2)+1)</f>
        <v/>
      </c>
      <c r="J2543" s="5">
        <f>IF(I2543="","",I2543+6)</f>
        <v/>
      </c>
      <c r="K2543" s="6">
        <f>IF(OR(A2543="",B2543=""),"",DATE(YEAR(B2543),MONTH(B2543),1))</f>
        <v/>
      </c>
      <c r="L2543" s="7">
        <f>IF(COUNTA(A2543,B2543)=0,"",IF(OR(A2543="",B2543=""),"Preencher CPF e entrada",IF(COUNTIFS($A$12:$A$5011,A2543,$B$12:$B$5011,B2543)&gt;1,"CPF + dia duplicado",IF(OR(AND(E2543&lt;&gt;"",E2543&lt;B2543),AND(F2543&lt;&gt;"",F2543&lt;B2543)),"Evento anterior à entrada",IF(AND(F2543&lt;&gt;"",E2543=""),"Conversa sem agendamento",IF(OR(E2543&gt;TODAY(),F2543&gt;TODAY()),"Verificar evento futuro","OK"))))))</f>
        <v/>
      </c>
    </row>
    <row r="2544" spans="9:12">
      <c r="I2544" s="5">
        <f>IF(OR(A2544="",B2544=""),"",B2544-WEEKDAY(B2544,2)+1)</f>
        <v/>
      </c>
      <c r="J2544" s="5">
        <f>IF(I2544="","",I2544+6)</f>
        <v/>
      </c>
      <c r="K2544" s="6">
        <f>IF(OR(A2544="",B2544=""),"",DATE(YEAR(B2544),MONTH(B2544),1))</f>
        <v/>
      </c>
      <c r="L2544" s="7">
        <f>IF(COUNTA(A2544,B2544)=0,"",IF(OR(A2544="",B2544=""),"Preencher CPF e entrada",IF(COUNTIFS($A$12:$A$5011,A2544,$B$12:$B$5011,B2544)&gt;1,"CPF + dia duplicado",IF(OR(AND(E2544&lt;&gt;"",E2544&lt;B2544),AND(F2544&lt;&gt;"",F2544&lt;B2544)),"Evento anterior à entrada",IF(AND(F2544&lt;&gt;"",E2544=""),"Conversa sem agendamento",IF(OR(E2544&gt;TODAY(),F2544&gt;TODAY()),"Verificar evento futuro","OK"))))))</f>
        <v/>
      </c>
    </row>
    <row r="2545" spans="9:12">
      <c r="I2545" s="5">
        <f>IF(OR(A2545="",B2545=""),"",B2545-WEEKDAY(B2545,2)+1)</f>
        <v/>
      </c>
      <c r="J2545" s="5">
        <f>IF(I2545="","",I2545+6)</f>
        <v/>
      </c>
      <c r="K2545" s="6">
        <f>IF(OR(A2545="",B2545=""),"",DATE(YEAR(B2545),MONTH(B2545),1))</f>
        <v/>
      </c>
      <c r="L2545" s="7">
        <f>IF(COUNTA(A2545,B2545)=0,"",IF(OR(A2545="",B2545=""),"Preencher CPF e entrada",IF(COUNTIFS($A$12:$A$5011,A2545,$B$12:$B$5011,B2545)&gt;1,"CPF + dia duplicado",IF(OR(AND(E2545&lt;&gt;"",E2545&lt;B2545),AND(F2545&lt;&gt;"",F2545&lt;B2545)),"Evento anterior à entrada",IF(AND(F2545&lt;&gt;"",E2545=""),"Conversa sem agendamento",IF(OR(E2545&gt;TODAY(),F2545&gt;TODAY()),"Verificar evento futuro","OK"))))))</f>
        <v/>
      </c>
    </row>
    <row r="2546" spans="9:12">
      <c r="I2546" s="5">
        <f>IF(OR(A2546="",B2546=""),"",B2546-WEEKDAY(B2546,2)+1)</f>
        <v/>
      </c>
      <c r="J2546" s="5">
        <f>IF(I2546="","",I2546+6)</f>
        <v/>
      </c>
      <c r="K2546" s="6">
        <f>IF(OR(A2546="",B2546=""),"",DATE(YEAR(B2546),MONTH(B2546),1))</f>
        <v/>
      </c>
      <c r="L2546" s="7">
        <f>IF(COUNTA(A2546,B2546)=0,"",IF(OR(A2546="",B2546=""),"Preencher CPF e entrada",IF(COUNTIFS($A$12:$A$5011,A2546,$B$12:$B$5011,B2546)&gt;1,"CPF + dia duplicado",IF(OR(AND(E2546&lt;&gt;"",E2546&lt;B2546),AND(F2546&lt;&gt;"",F2546&lt;B2546)),"Evento anterior à entrada",IF(AND(F2546&lt;&gt;"",E2546=""),"Conversa sem agendamento",IF(OR(E2546&gt;TODAY(),F2546&gt;TODAY()),"Verificar evento futuro","OK"))))))</f>
        <v/>
      </c>
    </row>
    <row r="2547" spans="9:12">
      <c r="I2547" s="5">
        <f>IF(OR(A2547="",B2547=""),"",B2547-WEEKDAY(B2547,2)+1)</f>
        <v/>
      </c>
      <c r="J2547" s="5">
        <f>IF(I2547="","",I2547+6)</f>
        <v/>
      </c>
      <c r="K2547" s="6">
        <f>IF(OR(A2547="",B2547=""),"",DATE(YEAR(B2547),MONTH(B2547),1))</f>
        <v/>
      </c>
      <c r="L2547" s="7">
        <f>IF(COUNTA(A2547,B2547)=0,"",IF(OR(A2547="",B2547=""),"Preencher CPF e entrada",IF(COUNTIFS($A$12:$A$5011,A2547,$B$12:$B$5011,B2547)&gt;1,"CPF + dia duplicado",IF(OR(AND(E2547&lt;&gt;"",E2547&lt;B2547),AND(F2547&lt;&gt;"",F2547&lt;B2547)),"Evento anterior à entrada",IF(AND(F2547&lt;&gt;"",E2547=""),"Conversa sem agendamento",IF(OR(E2547&gt;TODAY(),F2547&gt;TODAY()),"Verificar evento futuro","OK"))))))</f>
        <v/>
      </c>
    </row>
    <row r="2548" spans="9:12">
      <c r="I2548" s="5">
        <f>IF(OR(A2548="",B2548=""),"",B2548-WEEKDAY(B2548,2)+1)</f>
        <v/>
      </c>
      <c r="J2548" s="5">
        <f>IF(I2548="","",I2548+6)</f>
        <v/>
      </c>
      <c r="K2548" s="6">
        <f>IF(OR(A2548="",B2548=""),"",DATE(YEAR(B2548),MONTH(B2548),1))</f>
        <v/>
      </c>
      <c r="L2548" s="7">
        <f>IF(COUNTA(A2548,B2548)=0,"",IF(OR(A2548="",B2548=""),"Preencher CPF e entrada",IF(COUNTIFS($A$12:$A$5011,A2548,$B$12:$B$5011,B2548)&gt;1,"CPF + dia duplicado",IF(OR(AND(E2548&lt;&gt;"",E2548&lt;B2548),AND(F2548&lt;&gt;"",F2548&lt;B2548)),"Evento anterior à entrada",IF(AND(F2548&lt;&gt;"",E2548=""),"Conversa sem agendamento",IF(OR(E2548&gt;TODAY(),F2548&gt;TODAY()),"Verificar evento futuro","OK"))))))</f>
        <v/>
      </c>
    </row>
    <row r="2549" spans="9:12">
      <c r="I2549" s="5">
        <f>IF(OR(A2549="",B2549=""),"",B2549-WEEKDAY(B2549,2)+1)</f>
        <v/>
      </c>
      <c r="J2549" s="5">
        <f>IF(I2549="","",I2549+6)</f>
        <v/>
      </c>
      <c r="K2549" s="6">
        <f>IF(OR(A2549="",B2549=""),"",DATE(YEAR(B2549),MONTH(B2549),1))</f>
        <v/>
      </c>
      <c r="L2549" s="7">
        <f>IF(COUNTA(A2549,B2549)=0,"",IF(OR(A2549="",B2549=""),"Preencher CPF e entrada",IF(COUNTIFS($A$12:$A$5011,A2549,$B$12:$B$5011,B2549)&gt;1,"CPF + dia duplicado",IF(OR(AND(E2549&lt;&gt;"",E2549&lt;B2549),AND(F2549&lt;&gt;"",F2549&lt;B2549)),"Evento anterior à entrada",IF(AND(F2549&lt;&gt;"",E2549=""),"Conversa sem agendamento",IF(OR(E2549&gt;TODAY(),F2549&gt;TODAY()),"Verificar evento futuro","OK"))))))</f>
        <v/>
      </c>
    </row>
    <row r="2550" spans="9:12">
      <c r="I2550" s="5">
        <f>IF(OR(A2550="",B2550=""),"",B2550-WEEKDAY(B2550,2)+1)</f>
        <v/>
      </c>
      <c r="J2550" s="5">
        <f>IF(I2550="","",I2550+6)</f>
        <v/>
      </c>
      <c r="K2550" s="6">
        <f>IF(OR(A2550="",B2550=""),"",DATE(YEAR(B2550),MONTH(B2550),1))</f>
        <v/>
      </c>
      <c r="L2550" s="7">
        <f>IF(COUNTA(A2550,B2550)=0,"",IF(OR(A2550="",B2550=""),"Preencher CPF e entrada",IF(COUNTIFS($A$12:$A$5011,A2550,$B$12:$B$5011,B2550)&gt;1,"CPF + dia duplicado",IF(OR(AND(E2550&lt;&gt;"",E2550&lt;B2550),AND(F2550&lt;&gt;"",F2550&lt;B2550)),"Evento anterior à entrada",IF(AND(F2550&lt;&gt;"",E2550=""),"Conversa sem agendamento",IF(OR(E2550&gt;TODAY(),F2550&gt;TODAY()),"Verificar evento futuro","OK"))))))</f>
        <v/>
      </c>
    </row>
    <row r="2551" spans="9:12">
      <c r="I2551" s="5">
        <f>IF(OR(A2551="",B2551=""),"",B2551-WEEKDAY(B2551,2)+1)</f>
        <v/>
      </c>
      <c r="J2551" s="5">
        <f>IF(I2551="","",I2551+6)</f>
        <v/>
      </c>
      <c r="K2551" s="6">
        <f>IF(OR(A2551="",B2551=""),"",DATE(YEAR(B2551),MONTH(B2551),1))</f>
        <v/>
      </c>
      <c r="L2551" s="7">
        <f>IF(COUNTA(A2551,B2551)=0,"",IF(OR(A2551="",B2551=""),"Preencher CPF e entrada",IF(COUNTIFS($A$12:$A$5011,A2551,$B$12:$B$5011,B2551)&gt;1,"CPF + dia duplicado",IF(OR(AND(E2551&lt;&gt;"",E2551&lt;B2551),AND(F2551&lt;&gt;"",F2551&lt;B2551)),"Evento anterior à entrada",IF(AND(F2551&lt;&gt;"",E2551=""),"Conversa sem agendamento",IF(OR(E2551&gt;TODAY(),F2551&gt;TODAY()),"Verificar evento futuro","OK"))))))</f>
        <v/>
      </c>
    </row>
    <row r="2552" spans="9:12">
      <c r="I2552" s="5">
        <f>IF(OR(A2552="",B2552=""),"",B2552-WEEKDAY(B2552,2)+1)</f>
        <v/>
      </c>
      <c r="J2552" s="5">
        <f>IF(I2552="","",I2552+6)</f>
        <v/>
      </c>
      <c r="K2552" s="6">
        <f>IF(OR(A2552="",B2552=""),"",DATE(YEAR(B2552),MONTH(B2552),1))</f>
        <v/>
      </c>
      <c r="L2552" s="7">
        <f>IF(COUNTA(A2552,B2552)=0,"",IF(OR(A2552="",B2552=""),"Preencher CPF e entrada",IF(COUNTIFS($A$12:$A$5011,A2552,$B$12:$B$5011,B2552)&gt;1,"CPF + dia duplicado",IF(OR(AND(E2552&lt;&gt;"",E2552&lt;B2552),AND(F2552&lt;&gt;"",F2552&lt;B2552)),"Evento anterior à entrada",IF(AND(F2552&lt;&gt;"",E2552=""),"Conversa sem agendamento",IF(OR(E2552&gt;TODAY(),F2552&gt;TODAY()),"Verificar evento futuro","OK"))))))</f>
        <v/>
      </c>
    </row>
    <row r="2553" spans="9:12">
      <c r="I2553" s="5">
        <f>IF(OR(A2553="",B2553=""),"",B2553-WEEKDAY(B2553,2)+1)</f>
        <v/>
      </c>
      <c r="J2553" s="5">
        <f>IF(I2553="","",I2553+6)</f>
        <v/>
      </c>
      <c r="K2553" s="6">
        <f>IF(OR(A2553="",B2553=""),"",DATE(YEAR(B2553),MONTH(B2553),1))</f>
        <v/>
      </c>
      <c r="L2553" s="7">
        <f>IF(COUNTA(A2553,B2553)=0,"",IF(OR(A2553="",B2553=""),"Preencher CPF e entrada",IF(COUNTIFS($A$12:$A$5011,A2553,$B$12:$B$5011,B2553)&gt;1,"CPF + dia duplicado",IF(OR(AND(E2553&lt;&gt;"",E2553&lt;B2553),AND(F2553&lt;&gt;"",F2553&lt;B2553)),"Evento anterior à entrada",IF(AND(F2553&lt;&gt;"",E2553=""),"Conversa sem agendamento",IF(OR(E2553&gt;TODAY(),F2553&gt;TODAY()),"Verificar evento futuro","OK"))))))</f>
        <v/>
      </c>
    </row>
    <row r="2554" spans="9:12">
      <c r="I2554" s="5">
        <f>IF(OR(A2554="",B2554=""),"",B2554-WEEKDAY(B2554,2)+1)</f>
        <v/>
      </c>
      <c r="J2554" s="5">
        <f>IF(I2554="","",I2554+6)</f>
        <v/>
      </c>
      <c r="K2554" s="6">
        <f>IF(OR(A2554="",B2554=""),"",DATE(YEAR(B2554),MONTH(B2554),1))</f>
        <v/>
      </c>
      <c r="L2554" s="7">
        <f>IF(COUNTA(A2554,B2554)=0,"",IF(OR(A2554="",B2554=""),"Preencher CPF e entrada",IF(COUNTIFS($A$12:$A$5011,A2554,$B$12:$B$5011,B2554)&gt;1,"CPF + dia duplicado",IF(OR(AND(E2554&lt;&gt;"",E2554&lt;B2554),AND(F2554&lt;&gt;"",F2554&lt;B2554)),"Evento anterior à entrada",IF(AND(F2554&lt;&gt;"",E2554=""),"Conversa sem agendamento",IF(OR(E2554&gt;TODAY(),F2554&gt;TODAY()),"Verificar evento futuro","OK"))))))</f>
        <v/>
      </c>
    </row>
    <row r="2555" spans="9:12">
      <c r="I2555" s="5">
        <f>IF(OR(A2555="",B2555=""),"",B2555-WEEKDAY(B2555,2)+1)</f>
        <v/>
      </c>
      <c r="J2555" s="5">
        <f>IF(I2555="","",I2555+6)</f>
        <v/>
      </c>
      <c r="K2555" s="6">
        <f>IF(OR(A2555="",B2555=""),"",DATE(YEAR(B2555),MONTH(B2555),1))</f>
        <v/>
      </c>
      <c r="L2555" s="7">
        <f>IF(COUNTA(A2555,B2555)=0,"",IF(OR(A2555="",B2555=""),"Preencher CPF e entrada",IF(COUNTIFS($A$12:$A$5011,A2555,$B$12:$B$5011,B2555)&gt;1,"CPF + dia duplicado",IF(OR(AND(E2555&lt;&gt;"",E2555&lt;B2555),AND(F2555&lt;&gt;"",F2555&lt;B2555)),"Evento anterior à entrada",IF(AND(F2555&lt;&gt;"",E2555=""),"Conversa sem agendamento",IF(OR(E2555&gt;TODAY(),F2555&gt;TODAY()),"Verificar evento futuro","OK"))))))</f>
        <v/>
      </c>
    </row>
    <row r="2556" spans="9:12">
      <c r="I2556" s="5">
        <f>IF(OR(A2556="",B2556=""),"",B2556-WEEKDAY(B2556,2)+1)</f>
        <v/>
      </c>
      <c r="J2556" s="5">
        <f>IF(I2556="","",I2556+6)</f>
        <v/>
      </c>
      <c r="K2556" s="6">
        <f>IF(OR(A2556="",B2556=""),"",DATE(YEAR(B2556),MONTH(B2556),1))</f>
        <v/>
      </c>
      <c r="L2556" s="7">
        <f>IF(COUNTA(A2556,B2556)=0,"",IF(OR(A2556="",B2556=""),"Preencher CPF e entrada",IF(COUNTIFS($A$12:$A$5011,A2556,$B$12:$B$5011,B2556)&gt;1,"CPF + dia duplicado",IF(OR(AND(E2556&lt;&gt;"",E2556&lt;B2556),AND(F2556&lt;&gt;"",F2556&lt;B2556)),"Evento anterior à entrada",IF(AND(F2556&lt;&gt;"",E2556=""),"Conversa sem agendamento",IF(OR(E2556&gt;TODAY(),F2556&gt;TODAY()),"Verificar evento futuro","OK"))))))</f>
        <v/>
      </c>
    </row>
    <row r="2557" spans="9:12">
      <c r="I2557" s="5">
        <f>IF(OR(A2557="",B2557=""),"",B2557-WEEKDAY(B2557,2)+1)</f>
        <v/>
      </c>
      <c r="J2557" s="5">
        <f>IF(I2557="","",I2557+6)</f>
        <v/>
      </c>
      <c r="K2557" s="6">
        <f>IF(OR(A2557="",B2557=""),"",DATE(YEAR(B2557),MONTH(B2557),1))</f>
        <v/>
      </c>
      <c r="L2557" s="7">
        <f>IF(COUNTA(A2557,B2557)=0,"",IF(OR(A2557="",B2557=""),"Preencher CPF e entrada",IF(COUNTIFS($A$12:$A$5011,A2557,$B$12:$B$5011,B2557)&gt;1,"CPF + dia duplicado",IF(OR(AND(E2557&lt;&gt;"",E2557&lt;B2557),AND(F2557&lt;&gt;"",F2557&lt;B2557)),"Evento anterior à entrada",IF(AND(F2557&lt;&gt;"",E2557=""),"Conversa sem agendamento",IF(OR(E2557&gt;TODAY(),F2557&gt;TODAY()),"Verificar evento futuro","OK"))))))</f>
        <v/>
      </c>
    </row>
    <row r="2558" spans="9:12">
      <c r="I2558" s="5">
        <f>IF(OR(A2558="",B2558=""),"",B2558-WEEKDAY(B2558,2)+1)</f>
        <v/>
      </c>
      <c r="J2558" s="5">
        <f>IF(I2558="","",I2558+6)</f>
        <v/>
      </c>
      <c r="K2558" s="6">
        <f>IF(OR(A2558="",B2558=""),"",DATE(YEAR(B2558),MONTH(B2558),1))</f>
        <v/>
      </c>
      <c r="L2558" s="7">
        <f>IF(COUNTA(A2558,B2558)=0,"",IF(OR(A2558="",B2558=""),"Preencher CPF e entrada",IF(COUNTIFS($A$12:$A$5011,A2558,$B$12:$B$5011,B2558)&gt;1,"CPF + dia duplicado",IF(OR(AND(E2558&lt;&gt;"",E2558&lt;B2558),AND(F2558&lt;&gt;"",F2558&lt;B2558)),"Evento anterior à entrada",IF(AND(F2558&lt;&gt;"",E2558=""),"Conversa sem agendamento",IF(OR(E2558&gt;TODAY(),F2558&gt;TODAY()),"Verificar evento futuro","OK"))))))</f>
        <v/>
      </c>
    </row>
    <row r="2559" spans="9:12">
      <c r="I2559" s="5">
        <f>IF(OR(A2559="",B2559=""),"",B2559-WEEKDAY(B2559,2)+1)</f>
        <v/>
      </c>
      <c r="J2559" s="5">
        <f>IF(I2559="","",I2559+6)</f>
        <v/>
      </c>
      <c r="K2559" s="6">
        <f>IF(OR(A2559="",B2559=""),"",DATE(YEAR(B2559),MONTH(B2559),1))</f>
        <v/>
      </c>
      <c r="L2559" s="7">
        <f>IF(COUNTA(A2559,B2559)=0,"",IF(OR(A2559="",B2559=""),"Preencher CPF e entrada",IF(COUNTIFS($A$12:$A$5011,A2559,$B$12:$B$5011,B2559)&gt;1,"CPF + dia duplicado",IF(OR(AND(E2559&lt;&gt;"",E2559&lt;B2559),AND(F2559&lt;&gt;"",F2559&lt;B2559)),"Evento anterior à entrada",IF(AND(F2559&lt;&gt;"",E2559=""),"Conversa sem agendamento",IF(OR(E2559&gt;TODAY(),F2559&gt;TODAY()),"Verificar evento futuro","OK"))))))</f>
        <v/>
      </c>
    </row>
    <row r="2560" spans="9:12">
      <c r="I2560" s="5">
        <f>IF(OR(A2560="",B2560=""),"",B2560-WEEKDAY(B2560,2)+1)</f>
        <v/>
      </c>
      <c r="J2560" s="5">
        <f>IF(I2560="","",I2560+6)</f>
        <v/>
      </c>
      <c r="K2560" s="6">
        <f>IF(OR(A2560="",B2560=""),"",DATE(YEAR(B2560),MONTH(B2560),1))</f>
        <v/>
      </c>
      <c r="L2560" s="7">
        <f>IF(COUNTA(A2560,B2560)=0,"",IF(OR(A2560="",B2560=""),"Preencher CPF e entrada",IF(COUNTIFS($A$12:$A$5011,A2560,$B$12:$B$5011,B2560)&gt;1,"CPF + dia duplicado",IF(OR(AND(E2560&lt;&gt;"",E2560&lt;B2560),AND(F2560&lt;&gt;"",F2560&lt;B2560)),"Evento anterior à entrada",IF(AND(F2560&lt;&gt;"",E2560=""),"Conversa sem agendamento",IF(OR(E2560&gt;TODAY(),F2560&gt;TODAY()),"Verificar evento futuro","OK"))))))</f>
        <v/>
      </c>
    </row>
    <row r="2561" spans="9:12">
      <c r="I2561" s="5">
        <f>IF(OR(A2561="",B2561=""),"",B2561-WEEKDAY(B2561,2)+1)</f>
        <v/>
      </c>
      <c r="J2561" s="5">
        <f>IF(I2561="","",I2561+6)</f>
        <v/>
      </c>
      <c r="K2561" s="6">
        <f>IF(OR(A2561="",B2561=""),"",DATE(YEAR(B2561),MONTH(B2561),1))</f>
        <v/>
      </c>
      <c r="L2561" s="7">
        <f>IF(COUNTA(A2561,B2561)=0,"",IF(OR(A2561="",B2561=""),"Preencher CPF e entrada",IF(COUNTIFS($A$12:$A$5011,A2561,$B$12:$B$5011,B2561)&gt;1,"CPF + dia duplicado",IF(OR(AND(E2561&lt;&gt;"",E2561&lt;B2561),AND(F2561&lt;&gt;"",F2561&lt;B2561)),"Evento anterior à entrada",IF(AND(F2561&lt;&gt;"",E2561=""),"Conversa sem agendamento",IF(OR(E2561&gt;TODAY(),F2561&gt;TODAY()),"Verificar evento futuro","OK"))))))</f>
        <v/>
      </c>
    </row>
    <row r="2562" spans="9:12">
      <c r="I2562" s="5">
        <f>IF(OR(A2562="",B2562=""),"",B2562-WEEKDAY(B2562,2)+1)</f>
        <v/>
      </c>
      <c r="J2562" s="5">
        <f>IF(I2562="","",I2562+6)</f>
        <v/>
      </c>
      <c r="K2562" s="6">
        <f>IF(OR(A2562="",B2562=""),"",DATE(YEAR(B2562),MONTH(B2562),1))</f>
        <v/>
      </c>
      <c r="L2562" s="7">
        <f>IF(COUNTA(A2562,B2562)=0,"",IF(OR(A2562="",B2562=""),"Preencher CPF e entrada",IF(COUNTIFS($A$12:$A$5011,A2562,$B$12:$B$5011,B2562)&gt;1,"CPF + dia duplicado",IF(OR(AND(E2562&lt;&gt;"",E2562&lt;B2562),AND(F2562&lt;&gt;"",F2562&lt;B2562)),"Evento anterior à entrada",IF(AND(F2562&lt;&gt;"",E2562=""),"Conversa sem agendamento",IF(OR(E2562&gt;TODAY(),F2562&gt;TODAY()),"Verificar evento futuro","OK"))))))</f>
        <v/>
      </c>
    </row>
    <row r="2563" spans="9:12">
      <c r="I2563" s="5">
        <f>IF(OR(A2563="",B2563=""),"",B2563-WEEKDAY(B2563,2)+1)</f>
        <v/>
      </c>
      <c r="J2563" s="5">
        <f>IF(I2563="","",I2563+6)</f>
        <v/>
      </c>
      <c r="K2563" s="6">
        <f>IF(OR(A2563="",B2563=""),"",DATE(YEAR(B2563),MONTH(B2563),1))</f>
        <v/>
      </c>
      <c r="L2563" s="7">
        <f>IF(COUNTA(A2563,B2563)=0,"",IF(OR(A2563="",B2563=""),"Preencher CPF e entrada",IF(COUNTIFS($A$12:$A$5011,A2563,$B$12:$B$5011,B2563)&gt;1,"CPF + dia duplicado",IF(OR(AND(E2563&lt;&gt;"",E2563&lt;B2563),AND(F2563&lt;&gt;"",F2563&lt;B2563)),"Evento anterior à entrada",IF(AND(F2563&lt;&gt;"",E2563=""),"Conversa sem agendamento",IF(OR(E2563&gt;TODAY(),F2563&gt;TODAY()),"Verificar evento futuro","OK"))))))</f>
        <v/>
      </c>
    </row>
    <row r="2564" spans="9:12">
      <c r="I2564" s="5">
        <f>IF(OR(A2564="",B2564=""),"",B2564-WEEKDAY(B2564,2)+1)</f>
        <v/>
      </c>
      <c r="J2564" s="5">
        <f>IF(I2564="","",I2564+6)</f>
        <v/>
      </c>
      <c r="K2564" s="6">
        <f>IF(OR(A2564="",B2564=""),"",DATE(YEAR(B2564),MONTH(B2564),1))</f>
        <v/>
      </c>
      <c r="L2564" s="7">
        <f>IF(COUNTA(A2564,B2564)=0,"",IF(OR(A2564="",B2564=""),"Preencher CPF e entrada",IF(COUNTIFS($A$12:$A$5011,A2564,$B$12:$B$5011,B2564)&gt;1,"CPF + dia duplicado",IF(OR(AND(E2564&lt;&gt;"",E2564&lt;B2564),AND(F2564&lt;&gt;"",F2564&lt;B2564)),"Evento anterior à entrada",IF(AND(F2564&lt;&gt;"",E2564=""),"Conversa sem agendamento",IF(OR(E2564&gt;TODAY(),F2564&gt;TODAY()),"Verificar evento futuro","OK"))))))</f>
        <v/>
      </c>
    </row>
    <row r="2565" spans="9:12">
      <c r="I2565" s="5">
        <f>IF(OR(A2565="",B2565=""),"",B2565-WEEKDAY(B2565,2)+1)</f>
        <v/>
      </c>
      <c r="J2565" s="5">
        <f>IF(I2565="","",I2565+6)</f>
        <v/>
      </c>
      <c r="K2565" s="6">
        <f>IF(OR(A2565="",B2565=""),"",DATE(YEAR(B2565),MONTH(B2565),1))</f>
        <v/>
      </c>
      <c r="L2565" s="7">
        <f>IF(COUNTA(A2565,B2565)=0,"",IF(OR(A2565="",B2565=""),"Preencher CPF e entrada",IF(COUNTIFS($A$12:$A$5011,A2565,$B$12:$B$5011,B2565)&gt;1,"CPF + dia duplicado",IF(OR(AND(E2565&lt;&gt;"",E2565&lt;B2565),AND(F2565&lt;&gt;"",F2565&lt;B2565)),"Evento anterior à entrada",IF(AND(F2565&lt;&gt;"",E2565=""),"Conversa sem agendamento",IF(OR(E2565&gt;TODAY(),F2565&gt;TODAY()),"Verificar evento futuro","OK"))))))</f>
        <v/>
      </c>
    </row>
    <row r="2566" spans="9:12">
      <c r="I2566" s="5">
        <f>IF(OR(A2566="",B2566=""),"",B2566-WEEKDAY(B2566,2)+1)</f>
        <v/>
      </c>
      <c r="J2566" s="5">
        <f>IF(I2566="","",I2566+6)</f>
        <v/>
      </c>
      <c r="K2566" s="6">
        <f>IF(OR(A2566="",B2566=""),"",DATE(YEAR(B2566),MONTH(B2566),1))</f>
        <v/>
      </c>
      <c r="L2566" s="7">
        <f>IF(COUNTA(A2566,B2566)=0,"",IF(OR(A2566="",B2566=""),"Preencher CPF e entrada",IF(COUNTIFS($A$12:$A$5011,A2566,$B$12:$B$5011,B2566)&gt;1,"CPF + dia duplicado",IF(OR(AND(E2566&lt;&gt;"",E2566&lt;B2566),AND(F2566&lt;&gt;"",F2566&lt;B2566)),"Evento anterior à entrada",IF(AND(F2566&lt;&gt;"",E2566=""),"Conversa sem agendamento",IF(OR(E2566&gt;TODAY(),F2566&gt;TODAY()),"Verificar evento futuro","OK"))))))</f>
        <v/>
      </c>
    </row>
    <row r="2567" spans="9:12">
      <c r="I2567" s="5">
        <f>IF(OR(A2567="",B2567=""),"",B2567-WEEKDAY(B2567,2)+1)</f>
        <v/>
      </c>
      <c r="J2567" s="5">
        <f>IF(I2567="","",I2567+6)</f>
        <v/>
      </c>
      <c r="K2567" s="6">
        <f>IF(OR(A2567="",B2567=""),"",DATE(YEAR(B2567),MONTH(B2567),1))</f>
        <v/>
      </c>
      <c r="L2567" s="7">
        <f>IF(COUNTA(A2567,B2567)=0,"",IF(OR(A2567="",B2567=""),"Preencher CPF e entrada",IF(COUNTIFS($A$12:$A$5011,A2567,$B$12:$B$5011,B2567)&gt;1,"CPF + dia duplicado",IF(OR(AND(E2567&lt;&gt;"",E2567&lt;B2567),AND(F2567&lt;&gt;"",F2567&lt;B2567)),"Evento anterior à entrada",IF(AND(F2567&lt;&gt;"",E2567=""),"Conversa sem agendamento",IF(OR(E2567&gt;TODAY(),F2567&gt;TODAY()),"Verificar evento futuro","OK"))))))</f>
        <v/>
      </c>
    </row>
    <row r="2568" spans="9:12">
      <c r="I2568" s="5">
        <f>IF(OR(A2568="",B2568=""),"",B2568-WEEKDAY(B2568,2)+1)</f>
        <v/>
      </c>
      <c r="J2568" s="5">
        <f>IF(I2568="","",I2568+6)</f>
        <v/>
      </c>
      <c r="K2568" s="6">
        <f>IF(OR(A2568="",B2568=""),"",DATE(YEAR(B2568),MONTH(B2568),1))</f>
        <v/>
      </c>
      <c r="L2568" s="7">
        <f>IF(COUNTA(A2568,B2568)=0,"",IF(OR(A2568="",B2568=""),"Preencher CPF e entrada",IF(COUNTIFS($A$12:$A$5011,A2568,$B$12:$B$5011,B2568)&gt;1,"CPF + dia duplicado",IF(OR(AND(E2568&lt;&gt;"",E2568&lt;B2568),AND(F2568&lt;&gt;"",F2568&lt;B2568)),"Evento anterior à entrada",IF(AND(F2568&lt;&gt;"",E2568=""),"Conversa sem agendamento",IF(OR(E2568&gt;TODAY(),F2568&gt;TODAY()),"Verificar evento futuro","OK"))))))</f>
        <v/>
      </c>
    </row>
    <row r="2569" spans="9:12">
      <c r="I2569" s="5">
        <f>IF(OR(A2569="",B2569=""),"",B2569-WEEKDAY(B2569,2)+1)</f>
        <v/>
      </c>
      <c r="J2569" s="5">
        <f>IF(I2569="","",I2569+6)</f>
        <v/>
      </c>
      <c r="K2569" s="6">
        <f>IF(OR(A2569="",B2569=""),"",DATE(YEAR(B2569),MONTH(B2569),1))</f>
        <v/>
      </c>
      <c r="L2569" s="7">
        <f>IF(COUNTA(A2569,B2569)=0,"",IF(OR(A2569="",B2569=""),"Preencher CPF e entrada",IF(COUNTIFS($A$12:$A$5011,A2569,$B$12:$B$5011,B2569)&gt;1,"CPF + dia duplicado",IF(OR(AND(E2569&lt;&gt;"",E2569&lt;B2569),AND(F2569&lt;&gt;"",F2569&lt;B2569)),"Evento anterior à entrada",IF(AND(F2569&lt;&gt;"",E2569=""),"Conversa sem agendamento",IF(OR(E2569&gt;TODAY(),F2569&gt;TODAY()),"Verificar evento futuro","OK"))))))</f>
        <v/>
      </c>
    </row>
    <row r="2570" spans="9:12">
      <c r="I2570" s="5">
        <f>IF(OR(A2570="",B2570=""),"",B2570-WEEKDAY(B2570,2)+1)</f>
        <v/>
      </c>
      <c r="J2570" s="5">
        <f>IF(I2570="","",I2570+6)</f>
        <v/>
      </c>
      <c r="K2570" s="6">
        <f>IF(OR(A2570="",B2570=""),"",DATE(YEAR(B2570),MONTH(B2570),1))</f>
        <v/>
      </c>
      <c r="L2570" s="7">
        <f>IF(COUNTA(A2570,B2570)=0,"",IF(OR(A2570="",B2570=""),"Preencher CPF e entrada",IF(COUNTIFS($A$12:$A$5011,A2570,$B$12:$B$5011,B2570)&gt;1,"CPF + dia duplicado",IF(OR(AND(E2570&lt;&gt;"",E2570&lt;B2570),AND(F2570&lt;&gt;"",F2570&lt;B2570)),"Evento anterior à entrada",IF(AND(F2570&lt;&gt;"",E2570=""),"Conversa sem agendamento",IF(OR(E2570&gt;TODAY(),F2570&gt;TODAY()),"Verificar evento futuro","OK"))))))</f>
        <v/>
      </c>
    </row>
    <row r="2571" spans="9:12">
      <c r="I2571" s="5">
        <f>IF(OR(A2571="",B2571=""),"",B2571-WEEKDAY(B2571,2)+1)</f>
        <v/>
      </c>
      <c r="J2571" s="5">
        <f>IF(I2571="","",I2571+6)</f>
        <v/>
      </c>
      <c r="K2571" s="6">
        <f>IF(OR(A2571="",B2571=""),"",DATE(YEAR(B2571),MONTH(B2571),1))</f>
        <v/>
      </c>
      <c r="L2571" s="7">
        <f>IF(COUNTA(A2571,B2571)=0,"",IF(OR(A2571="",B2571=""),"Preencher CPF e entrada",IF(COUNTIFS($A$12:$A$5011,A2571,$B$12:$B$5011,B2571)&gt;1,"CPF + dia duplicado",IF(OR(AND(E2571&lt;&gt;"",E2571&lt;B2571),AND(F2571&lt;&gt;"",F2571&lt;B2571)),"Evento anterior à entrada",IF(AND(F2571&lt;&gt;"",E2571=""),"Conversa sem agendamento",IF(OR(E2571&gt;TODAY(),F2571&gt;TODAY()),"Verificar evento futuro","OK"))))))</f>
        <v/>
      </c>
    </row>
    <row r="2572" spans="9:12">
      <c r="I2572" s="5">
        <f>IF(OR(A2572="",B2572=""),"",B2572-WEEKDAY(B2572,2)+1)</f>
        <v/>
      </c>
      <c r="J2572" s="5">
        <f>IF(I2572="","",I2572+6)</f>
        <v/>
      </c>
      <c r="K2572" s="6">
        <f>IF(OR(A2572="",B2572=""),"",DATE(YEAR(B2572),MONTH(B2572),1))</f>
        <v/>
      </c>
      <c r="L2572" s="7">
        <f>IF(COUNTA(A2572,B2572)=0,"",IF(OR(A2572="",B2572=""),"Preencher CPF e entrada",IF(COUNTIFS($A$12:$A$5011,A2572,$B$12:$B$5011,B2572)&gt;1,"CPF + dia duplicado",IF(OR(AND(E2572&lt;&gt;"",E2572&lt;B2572),AND(F2572&lt;&gt;"",F2572&lt;B2572)),"Evento anterior à entrada",IF(AND(F2572&lt;&gt;"",E2572=""),"Conversa sem agendamento",IF(OR(E2572&gt;TODAY(),F2572&gt;TODAY()),"Verificar evento futuro","OK"))))))</f>
        <v/>
      </c>
    </row>
    <row r="2573" spans="9:12">
      <c r="I2573" s="5">
        <f>IF(OR(A2573="",B2573=""),"",B2573-WEEKDAY(B2573,2)+1)</f>
        <v/>
      </c>
      <c r="J2573" s="5">
        <f>IF(I2573="","",I2573+6)</f>
        <v/>
      </c>
      <c r="K2573" s="6">
        <f>IF(OR(A2573="",B2573=""),"",DATE(YEAR(B2573),MONTH(B2573),1))</f>
        <v/>
      </c>
      <c r="L2573" s="7">
        <f>IF(COUNTA(A2573,B2573)=0,"",IF(OR(A2573="",B2573=""),"Preencher CPF e entrada",IF(COUNTIFS($A$12:$A$5011,A2573,$B$12:$B$5011,B2573)&gt;1,"CPF + dia duplicado",IF(OR(AND(E2573&lt;&gt;"",E2573&lt;B2573),AND(F2573&lt;&gt;"",F2573&lt;B2573)),"Evento anterior à entrada",IF(AND(F2573&lt;&gt;"",E2573=""),"Conversa sem agendamento",IF(OR(E2573&gt;TODAY(),F2573&gt;TODAY()),"Verificar evento futuro","OK"))))))</f>
        <v/>
      </c>
    </row>
    <row r="2574" spans="9:12">
      <c r="I2574" s="5">
        <f>IF(OR(A2574="",B2574=""),"",B2574-WEEKDAY(B2574,2)+1)</f>
        <v/>
      </c>
      <c r="J2574" s="5">
        <f>IF(I2574="","",I2574+6)</f>
        <v/>
      </c>
      <c r="K2574" s="6">
        <f>IF(OR(A2574="",B2574=""),"",DATE(YEAR(B2574),MONTH(B2574),1))</f>
        <v/>
      </c>
      <c r="L2574" s="7">
        <f>IF(COUNTA(A2574,B2574)=0,"",IF(OR(A2574="",B2574=""),"Preencher CPF e entrada",IF(COUNTIFS($A$12:$A$5011,A2574,$B$12:$B$5011,B2574)&gt;1,"CPF + dia duplicado",IF(OR(AND(E2574&lt;&gt;"",E2574&lt;B2574),AND(F2574&lt;&gt;"",F2574&lt;B2574)),"Evento anterior à entrada",IF(AND(F2574&lt;&gt;"",E2574=""),"Conversa sem agendamento",IF(OR(E2574&gt;TODAY(),F2574&gt;TODAY()),"Verificar evento futuro","OK"))))))</f>
        <v/>
      </c>
    </row>
    <row r="2575" spans="9:12">
      <c r="I2575" s="5">
        <f>IF(OR(A2575="",B2575=""),"",B2575-WEEKDAY(B2575,2)+1)</f>
        <v/>
      </c>
      <c r="J2575" s="5">
        <f>IF(I2575="","",I2575+6)</f>
        <v/>
      </c>
      <c r="K2575" s="6">
        <f>IF(OR(A2575="",B2575=""),"",DATE(YEAR(B2575),MONTH(B2575),1))</f>
        <v/>
      </c>
      <c r="L2575" s="7">
        <f>IF(COUNTA(A2575,B2575)=0,"",IF(OR(A2575="",B2575=""),"Preencher CPF e entrada",IF(COUNTIFS($A$12:$A$5011,A2575,$B$12:$B$5011,B2575)&gt;1,"CPF + dia duplicado",IF(OR(AND(E2575&lt;&gt;"",E2575&lt;B2575),AND(F2575&lt;&gt;"",F2575&lt;B2575)),"Evento anterior à entrada",IF(AND(F2575&lt;&gt;"",E2575=""),"Conversa sem agendamento",IF(OR(E2575&gt;TODAY(),F2575&gt;TODAY()),"Verificar evento futuro","OK"))))))</f>
        <v/>
      </c>
    </row>
    <row r="2576" spans="9:12">
      <c r="I2576" s="5">
        <f>IF(OR(A2576="",B2576=""),"",B2576-WEEKDAY(B2576,2)+1)</f>
        <v/>
      </c>
      <c r="J2576" s="5">
        <f>IF(I2576="","",I2576+6)</f>
        <v/>
      </c>
      <c r="K2576" s="6">
        <f>IF(OR(A2576="",B2576=""),"",DATE(YEAR(B2576),MONTH(B2576),1))</f>
        <v/>
      </c>
      <c r="L2576" s="7">
        <f>IF(COUNTA(A2576,B2576)=0,"",IF(OR(A2576="",B2576=""),"Preencher CPF e entrada",IF(COUNTIFS($A$12:$A$5011,A2576,$B$12:$B$5011,B2576)&gt;1,"CPF + dia duplicado",IF(OR(AND(E2576&lt;&gt;"",E2576&lt;B2576),AND(F2576&lt;&gt;"",F2576&lt;B2576)),"Evento anterior à entrada",IF(AND(F2576&lt;&gt;"",E2576=""),"Conversa sem agendamento",IF(OR(E2576&gt;TODAY(),F2576&gt;TODAY()),"Verificar evento futuro","OK"))))))</f>
        <v/>
      </c>
    </row>
    <row r="2577" spans="9:12">
      <c r="I2577" s="5">
        <f>IF(OR(A2577="",B2577=""),"",B2577-WEEKDAY(B2577,2)+1)</f>
        <v/>
      </c>
      <c r="J2577" s="5">
        <f>IF(I2577="","",I2577+6)</f>
        <v/>
      </c>
      <c r="K2577" s="6">
        <f>IF(OR(A2577="",B2577=""),"",DATE(YEAR(B2577),MONTH(B2577),1))</f>
        <v/>
      </c>
      <c r="L2577" s="7">
        <f>IF(COUNTA(A2577,B2577)=0,"",IF(OR(A2577="",B2577=""),"Preencher CPF e entrada",IF(COUNTIFS($A$12:$A$5011,A2577,$B$12:$B$5011,B2577)&gt;1,"CPF + dia duplicado",IF(OR(AND(E2577&lt;&gt;"",E2577&lt;B2577),AND(F2577&lt;&gt;"",F2577&lt;B2577)),"Evento anterior à entrada",IF(AND(F2577&lt;&gt;"",E2577=""),"Conversa sem agendamento",IF(OR(E2577&gt;TODAY(),F2577&gt;TODAY()),"Verificar evento futuro","OK"))))))</f>
        <v/>
      </c>
    </row>
    <row r="2578" spans="9:12">
      <c r="I2578" s="5">
        <f>IF(OR(A2578="",B2578=""),"",B2578-WEEKDAY(B2578,2)+1)</f>
        <v/>
      </c>
      <c r="J2578" s="5">
        <f>IF(I2578="","",I2578+6)</f>
        <v/>
      </c>
      <c r="K2578" s="6">
        <f>IF(OR(A2578="",B2578=""),"",DATE(YEAR(B2578),MONTH(B2578),1))</f>
        <v/>
      </c>
      <c r="L2578" s="7">
        <f>IF(COUNTA(A2578,B2578)=0,"",IF(OR(A2578="",B2578=""),"Preencher CPF e entrada",IF(COUNTIFS($A$12:$A$5011,A2578,$B$12:$B$5011,B2578)&gt;1,"CPF + dia duplicado",IF(OR(AND(E2578&lt;&gt;"",E2578&lt;B2578),AND(F2578&lt;&gt;"",F2578&lt;B2578)),"Evento anterior à entrada",IF(AND(F2578&lt;&gt;"",E2578=""),"Conversa sem agendamento",IF(OR(E2578&gt;TODAY(),F2578&gt;TODAY()),"Verificar evento futuro","OK"))))))</f>
        <v/>
      </c>
    </row>
    <row r="2579" spans="9:12">
      <c r="I2579" s="5">
        <f>IF(OR(A2579="",B2579=""),"",B2579-WEEKDAY(B2579,2)+1)</f>
        <v/>
      </c>
      <c r="J2579" s="5">
        <f>IF(I2579="","",I2579+6)</f>
        <v/>
      </c>
      <c r="K2579" s="6">
        <f>IF(OR(A2579="",B2579=""),"",DATE(YEAR(B2579),MONTH(B2579),1))</f>
        <v/>
      </c>
      <c r="L2579" s="7">
        <f>IF(COUNTA(A2579,B2579)=0,"",IF(OR(A2579="",B2579=""),"Preencher CPF e entrada",IF(COUNTIFS($A$12:$A$5011,A2579,$B$12:$B$5011,B2579)&gt;1,"CPF + dia duplicado",IF(OR(AND(E2579&lt;&gt;"",E2579&lt;B2579),AND(F2579&lt;&gt;"",F2579&lt;B2579)),"Evento anterior à entrada",IF(AND(F2579&lt;&gt;"",E2579=""),"Conversa sem agendamento",IF(OR(E2579&gt;TODAY(),F2579&gt;TODAY()),"Verificar evento futuro","OK"))))))</f>
        <v/>
      </c>
    </row>
    <row r="2580" spans="9:12">
      <c r="I2580" s="5">
        <f>IF(OR(A2580="",B2580=""),"",B2580-WEEKDAY(B2580,2)+1)</f>
        <v/>
      </c>
      <c r="J2580" s="5">
        <f>IF(I2580="","",I2580+6)</f>
        <v/>
      </c>
      <c r="K2580" s="6">
        <f>IF(OR(A2580="",B2580=""),"",DATE(YEAR(B2580),MONTH(B2580),1))</f>
        <v/>
      </c>
      <c r="L2580" s="7">
        <f>IF(COUNTA(A2580,B2580)=0,"",IF(OR(A2580="",B2580=""),"Preencher CPF e entrada",IF(COUNTIFS($A$12:$A$5011,A2580,$B$12:$B$5011,B2580)&gt;1,"CPF + dia duplicado",IF(OR(AND(E2580&lt;&gt;"",E2580&lt;B2580),AND(F2580&lt;&gt;"",F2580&lt;B2580)),"Evento anterior à entrada",IF(AND(F2580&lt;&gt;"",E2580=""),"Conversa sem agendamento",IF(OR(E2580&gt;TODAY(),F2580&gt;TODAY()),"Verificar evento futuro","OK"))))))</f>
        <v/>
      </c>
    </row>
    <row r="2581" spans="9:12">
      <c r="I2581" s="5">
        <f>IF(OR(A2581="",B2581=""),"",B2581-WEEKDAY(B2581,2)+1)</f>
        <v/>
      </c>
      <c r="J2581" s="5">
        <f>IF(I2581="","",I2581+6)</f>
        <v/>
      </c>
      <c r="K2581" s="6">
        <f>IF(OR(A2581="",B2581=""),"",DATE(YEAR(B2581),MONTH(B2581),1))</f>
        <v/>
      </c>
      <c r="L2581" s="7">
        <f>IF(COUNTA(A2581,B2581)=0,"",IF(OR(A2581="",B2581=""),"Preencher CPF e entrada",IF(COUNTIFS($A$12:$A$5011,A2581,$B$12:$B$5011,B2581)&gt;1,"CPF + dia duplicado",IF(OR(AND(E2581&lt;&gt;"",E2581&lt;B2581),AND(F2581&lt;&gt;"",F2581&lt;B2581)),"Evento anterior à entrada",IF(AND(F2581&lt;&gt;"",E2581=""),"Conversa sem agendamento",IF(OR(E2581&gt;TODAY(),F2581&gt;TODAY()),"Verificar evento futuro","OK"))))))</f>
        <v/>
      </c>
    </row>
    <row r="2582" spans="9:12">
      <c r="I2582" s="5">
        <f>IF(OR(A2582="",B2582=""),"",B2582-WEEKDAY(B2582,2)+1)</f>
        <v/>
      </c>
      <c r="J2582" s="5">
        <f>IF(I2582="","",I2582+6)</f>
        <v/>
      </c>
      <c r="K2582" s="6">
        <f>IF(OR(A2582="",B2582=""),"",DATE(YEAR(B2582),MONTH(B2582),1))</f>
        <v/>
      </c>
      <c r="L2582" s="7">
        <f>IF(COUNTA(A2582,B2582)=0,"",IF(OR(A2582="",B2582=""),"Preencher CPF e entrada",IF(COUNTIFS($A$12:$A$5011,A2582,$B$12:$B$5011,B2582)&gt;1,"CPF + dia duplicado",IF(OR(AND(E2582&lt;&gt;"",E2582&lt;B2582),AND(F2582&lt;&gt;"",F2582&lt;B2582)),"Evento anterior à entrada",IF(AND(F2582&lt;&gt;"",E2582=""),"Conversa sem agendamento",IF(OR(E2582&gt;TODAY(),F2582&gt;TODAY()),"Verificar evento futuro","OK"))))))</f>
        <v/>
      </c>
    </row>
    <row r="2583" spans="9:12">
      <c r="I2583" s="5">
        <f>IF(OR(A2583="",B2583=""),"",B2583-WEEKDAY(B2583,2)+1)</f>
        <v/>
      </c>
      <c r="J2583" s="5">
        <f>IF(I2583="","",I2583+6)</f>
        <v/>
      </c>
      <c r="K2583" s="6">
        <f>IF(OR(A2583="",B2583=""),"",DATE(YEAR(B2583),MONTH(B2583),1))</f>
        <v/>
      </c>
      <c r="L2583" s="7">
        <f>IF(COUNTA(A2583,B2583)=0,"",IF(OR(A2583="",B2583=""),"Preencher CPF e entrada",IF(COUNTIFS($A$12:$A$5011,A2583,$B$12:$B$5011,B2583)&gt;1,"CPF + dia duplicado",IF(OR(AND(E2583&lt;&gt;"",E2583&lt;B2583),AND(F2583&lt;&gt;"",F2583&lt;B2583)),"Evento anterior à entrada",IF(AND(F2583&lt;&gt;"",E2583=""),"Conversa sem agendamento",IF(OR(E2583&gt;TODAY(),F2583&gt;TODAY()),"Verificar evento futuro","OK"))))))</f>
        <v/>
      </c>
    </row>
    <row r="2584" spans="9:12">
      <c r="I2584" s="5">
        <f>IF(OR(A2584="",B2584=""),"",B2584-WEEKDAY(B2584,2)+1)</f>
        <v/>
      </c>
      <c r="J2584" s="5">
        <f>IF(I2584="","",I2584+6)</f>
        <v/>
      </c>
      <c r="K2584" s="6">
        <f>IF(OR(A2584="",B2584=""),"",DATE(YEAR(B2584),MONTH(B2584),1))</f>
        <v/>
      </c>
      <c r="L2584" s="7">
        <f>IF(COUNTA(A2584,B2584)=0,"",IF(OR(A2584="",B2584=""),"Preencher CPF e entrada",IF(COUNTIFS($A$12:$A$5011,A2584,$B$12:$B$5011,B2584)&gt;1,"CPF + dia duplicado",IF(OR(AND(E2584&lt;&gt;"",E2584&lt;B2584),AND(F2584&lt;&gt;"",F2584&lt;B2584)),"Evento anterior à entrada",IF(AND(F2584&lt;&gt;"",E2584=""),"Conversa sem agendamento",IF(OR(E2584&gt;TODAY(),F2584&gt;TODAY()),"Verificar evento futuro","OK"))))))</f>
        <v/>
      </c>
    </row>
    <row r="2585" spans="9:12">
      <c r="I2585" s="5">
        <f>IF(OR(A2585="",B2585=""),"",B2585-WEEKDAY(B2585,2)+1)</f>
        <v/>
      </c>
      <c r="J2585" s="5">
        <f>IF(I2585="","",I2585+6)</f>
        <v/>
      </c>
      <c r="K2585" s="6">
        <f>IF(OR(A2585="",B2585=""),"",DATE(YEAR(B2585),MONTH(B2585),1))</f>
        <v/>
      </c>
      <c r="L2585" s="7">
        <f>IF(COUNTA(A2585,B2585)=0,"",IF(OR(A2585="",B2585=""),"Preencher CPF e entrada",IF(COUNTIFS($A$12:$A$5011,A2585,$B$12:$B$5011,B2585)&gt;1,"CPF + dia duplicado",IF(OR(AND(E2585&lt;&gt;"",E2585&lt;B2585),AND(F2585&lt;&gt;"",F2585&lt;B2585)),"Evento anterior à entrada",IF(AND(F2585&lt;&gt;"",E2585=""),"Conversa sem agendamento",IF(OR(E2585&gt;TODAY(),F2585&gt;TODAY()),"Verificar evento futuro","OK"))))))</f>
        <v/>
      </c>
    </row>
    <row r="2586" spans="9:12">
      <c r="I2586" s="5">
        <f>IF(OR(A2586="",B2586=""),"",B2586-WEEKDAY(B2586,2)+1)</f>
        <v/>
      </c>
      <c r="J2586" s="5">
        <f>IF(I2586="","",I2586+6)</f>
        <v/>
      </c>
      <c r="K2586" s="6">
        <f>IF(OR(A2586="",B2586=""),"",DATE(YEAR(B2586),MONTH(B2586),1))</f>
        <v/>
      </c>
      <c r="L2586" s="7">
        <f>IF(COUNTA(A2586,B2586)=0,"",IF(OR(A2586="",B2586=""),"Preencher CPF e entrada",IF(COUNTIFS($A$12:$A$5011,A2586,$B$12:$B$5011,B2586)&gt;1,"CPF + dia duplicado",IF(OR(AND(E2586&lt;&gt;"",E2586&lt;B2586),AND(F2586&lt;&gt;"",F2586&lt;B2586)),"Evento anterior à entrada",IF(AND(F2586&lt;&gt;"",E2586=""),"Conversa sem agendamento",IF(OR(E2586&gt;TODAY(),F2586&gt;TODAY()),"Verificar evento futuro","OK"))))))</f>
        <v/>
      </c>
    </row>
    <row r="2587" spans="9:12">
      <c r="I2587" s="5">
        <f>IF(OR(A2587="",B2587=""),"",B2587-WEEKDAY(B2587,2)+1)</f>
        <v/>
      </c>
      <c r="J2587" s="5">
        <f>IF(I2587="","",I2587+6)</f>
        <v/>
      </c>
      <c r="K2587" s="6">
        <f>IF(OR(A2587="",B2587=""),"",DATE(YEAR(B2587),MONTH(B2587),1))</f>
        <v/>
      </c>
      <c r="L2587" s="7">
        <f>IF(COUNTA(A2587,B2587)=0,"",IF(OR(A2587="",B2587=""),"Preencher CPF e entrada",IF(COUNTIFS($A$12:$A$5011,A2587,$B$12:$B$5011,B2587)&gt;1,"CPF + dia duplicado",IF(OR(AND(E2587&lt;&gt;"",E2587&lt;B2587),AND(F2587&lt;&gt;"",F2587&lt;B2587)),"Evento anterior à entrada",IF(AND(F2587&lt;&gt;"",E2587=""),"Conversa sem agendamento",IF(OR(E2587&gt;TODAY(),F2587&gt;TODAY()),"Verificar evento futuro","OK"))))))</f>
        <v/>
      </c>
    </row>
    <row r="2588" spans="9:12">
      <c r="I2588" s="5">
        <f>IF(OR(A2588="",B2588=""),"",B2588-WEEKDAY(B2588,2)+1)</f>
        <v/>
      </c>
      <c r="J2588" s="5">
        <f>IF(I2588="","",I2588+6)</f>
        <v/>
      </c>
      <c r="K2588" s="6">
        <f>IF(OR(A2588="",B2588=""),"",DATE(YEAR(B2588),MONTH(B2588),1))</f>
        <v/>
      </c>
      <c r="L2588" s="7">
        <f>IF(COUNTA(A2588,B2588)=0,"",IF(OR(A2588="",B2588=""),"Preencher CPF e entrada",IF(COUNTIFS($A$12:$A$5011,A2588,$B$12:$B$5011,B2588)&gt;1,"CPF + dia duplicado",IF(OR(AND(E2588&lt;&gt;"",E2588&lt;B2588),AND(F2588&lt;&gt;"",F2588&lt;B2588)),"Evento anterior à entrada",IF(AND(F2588&lt;&gt;"",E2588=""),"Conversa sem agendamento",IF(OR(E2588&gt;TODAY(),F2588&gt;TODAY()),"Verificar evento futuro","OK"))))))</f>
        <v/>
      </c>
    </row>
    <row r="2589" spans="9:12">
      <c r="I2589" s="5">
        <f>IF(OR(A2589="",B2589=""),"",B2589-WEEKDAY(B2589,2)+1)</f>
        <v/>
      </c>
      <c r="J2589" s="5">
        <f>IF(I2589="","",I2589+6)</f>
        <v/>
      </c>
      <c r="K2589" s="6">
        <f>IF(OR(A2589="",B2589=""),"",DATE(YEAR(B2589),MONTH(B2589),1))</f>
        <v/>
      </c>
      <c r="L2589" s="7">
        <f>IF(COUNTA(A2589,B2589)=0,"",IF(OR(A2589="",B2589=""),"Preencher CPF e entrada",IF(COUNTIFS($A$12:$A$5011,A2589,$B$12:$B$5011,B2589)&gt;1,"CPF + dia duplicado",IF(OR(AND(E2589&lt;&gt;"",E2589&lt;B2589),AND(F2589&lt;&gt;"",F2589&lt;B2589)),"Evento anterior à entrada",IF(AND(F2589&lt;&gt;"",E2589=""),"Conversa sem agendamento",IF(OR(E2589&gt;TODAY(),F2589&gt;TODAY()),"Verificar evento futuro","OK"))))))</f>
        <v/>
      </c>
    </row>
    <row r="2590" spans="9:12">
      <c r="I2590" s="5">
        <f>IF(OR(A2590="",B2590=""),"",B2590-WEEKDAY(B2590,2)+1)</f>
        <v/>
      </c>
      <c r="J2590" s="5">
        <f>IF(I2590="","",I2590+6)</f>
        <v/>
      </c>
      <c r="K2590" s="6">
        <f>IF(OR(A2590="",B2590=""),"",DATE(YEAR(B2590),MONTH(B2590),1))</f>
        <v/>
      </c>
      <c r="L2590" s="7">
        <f>IF(COUNTA(A2590,B2590)=0,"",IF(OR(A2590="",B2590=""),"Preencher CPF e entrada",IF(COUNTIFS($A$12:$A$5011,A2590,$B$12:$B$5011,B2590)&gt;1,"CPF + dia duplicado",IF(OR(AND(E2590&lt;&gt;"",E2590&lt;B2590),AND(F2590&lt;&gt;"",F2590&lt;B2590)),"Evento anterior à entrada",IF(AND(F2590&lt;&gt;"",E2590=""),"Conversa sem agendamento",IF(OR(E2590&gt;TODAY(),F2590&gt;TODAY()),"Verificar evento futuro","OK"))))))</f>
        <v/>
      </c>
    </row>
    <row r="2591" spans="9:12">
      <c r="I2591" s="5">
        <f>IF(OR(A2591="",B2591=""),"",B2591-WEEKDAY(B2591,2)+1)</f>
        <v/>
      </c>
      <c r="J2591" s="5">
        <f>IF(I2591="","",I2591+6)</f>
        <v/>
      </c>
      <c r="K2591" s="6">
        <f>IF(OR(A2591="",B2591=""),"",DATE(YEAR(B2591),MONTH(B2591),1))</f>
        <v/>
      </c>
      <c r="L2591" s="7">
        <f>IF(COUNTA(A2591,B2591)=0,"",IF(OR(A2591="",B2591=""),"Preencher CPF e entrada",IF(COUNTIFS($A$12:$A$5011,A2591,$B$12:$B$5011,B2591)&gt;1,"CPF + dia duplicado",IF(OR(AND(E2591&lt;&gt;"",E2591&lt;B2591),AND(F2591&lt;&gt;"",F2591&lt;B2591)),"Evento anterior à entrada",IF(AND(F2591&lt;&gt;"",E2591=""),"Conversa sem agendamento",IF(OR(E2591&gt;TODAY(),F2591&gt;TODAY()),"Verificar evento futuro","OK"))))))</f>
        <v/>
      </c>
    </row>
    <row r="2592" spans="9:12">
      <c r="I2592" s="5">
        <f>IF(OR(A2592="",B2592=""),"",B2592-WEEKDAY(B2592,2)+1)</f>
        <v/>
      </c>
      <c r="J2592" s="5">
        <f>IF(I2592="","",I2592+6)</f>
        <v/>
      </c>
      <c r="K2592" s="6">
        <f>IF(OR(A2592="",B2592=""),"",DATE(YEAR(B2592),MONTH(B2592),1))</f>
        <v/>
      </c>
      <c r="L2592" s="7">
        <f>IF(COUNTA(A2592,B2592)=0,"",IF(OR(A2592="",B2592=""),"Preencher CPF e entrada",IF(COUNTIFS($A$12:$A$5011,A2592,$B$12:$B$5011,B2592)&gt;1,"CPF + dia duplicado",IF(OR(AND(E2592&lt;&gt;"",E2592&lt;B2592),AND(F2592&lt;&gt;"",F2592&lt;B2592)),"Evento anterior à entrada",IF(AND(F2592&lt;&gt;"",E2592=""),"Conversa sem agendamento",IF(OR(E2592&gt;TODAY(),F2592&gt;TODAY()),"Verificar evento futuro","OK"))))))</f>
        <v/>
      </c>
    </row>
    <row r="2593" spans="9:12">
      <c r="I2593" s="5">
        <f>IF(OR(A2593="",B2593=""),"",B2593-WEEKDAY(B2593,2)+1)</f>
        <v/>
      </c>
      <c r="J2593" s="5">
        <f>IF(I2593="","",I2593+6)</f>
        <v/>
      </c>
      <c r="K2593" s="6">
        <f>IF(OR(A2593="",B2593=""),"",DATE(YEAR(B2593),MONTH(B2593),1))</f>
        <v/>
      </c>
      <c r="L2593" s="7">
        <f>IF(COUNTA(A2593,B2593)=0,"",IF(OR(A2593="",B2593=""),"Preencher CPF e entrada",IF(COUNTIFS($A$12:$A$5011,A2593,$B$12:$B$5011,B2593)&gt;1,"CPF + dia duplicado",IF(OR(AND(E2593&lt;&gt;"",E2593&lt;B2593),AND(F2593&lt;&gt;"",F2593&lt;B2593)),"Evento anterior à entrada",IF(AND(F2593&lt;&gt;"",E2593=""),"Conversa sem agendamento",IF(OR(E2593&gt;TODAY(),F2593&gt;TODAY()),"Verificar evento futuro","OK"))))))</f>
        <v/>
      </c>
    </row>
    <row r="2594" spans="9:12">
      <c r="I2594" s="5">
        <f>IF(OR(A2594="",B2594=""),"",B2594-WEEKDAY(B2594,2)+1)</f>
        <v/>
      </c>
      <c r="J2594" s="5">
        <f>IF(I2594="","",I2594+6)</f>
        <v/>
      </c>
      <c r="K2594" s="6">
        <f>IF(OR(A2594="",B2594=""),"",DATE(YEAR(B2594),MONTH(B2594),1))</f>
        <v/>
      </c>
      <c r="L2594" s="7">
        <f>IF(COUNTA(A2594,B2594)=0,"",IF(OR(A2594="",B2594=""),"Preencher CPF e entrada",IF(COUNTIFS($A$12:$A$5011,A2594,$B$12:$B$5011,B2594)&gt;1,"CPF + dia duplicado",IF(OR(AND(E2594&lt;&gt;"",E2594&lt;B2594),AND(F2594&lt;&gt;"",F2594&lt;B2594)),"Evento anterior à entrada",IF(AND(F2594&lt;&gt;"",E2594=""),"Conversa sem agendamento",IF(OR(E2594&gt;TODAY(),F2594&gt;TODAY()),"Verificar evento futuro","OK"))))))</f>
        <v/>
      </c>
    </row>
    <row r="2595" spans="9:12">
      <c r="I2595" s="5">
        <f>IF(OR(A2595="",B2595=""),"",B2595-WEEKDAY(B2595,2)+1)</f>
        <v/>
      </c>
      <c r="J2595" s="5">
        <f>IF(I2595="","",I2595+6)</f>
        <v/>
      </c>
      <c r="K2595" s="6">
        <f>IF(OR(A2595="",B2595=""),"",DATE(YEAR(B2595),MONTH(B2595),1))</f>
        <v/>
      </c>
      <c r="L2595" s="7">
        <f>IF(COUNTA(A2595,B2595)=0,"",IF(OR(A2595="",B2595=""),"Preencher CPF e entrada",IF(COUNTIFS($A$12:$A$5011,A2595,$B$12:$B$5011,B2595)&gt;1,"CPF + dia duplicado",IF(OR(AND(E2595&lt;&gt;"",E2595&lt;B2595),AND(F2595&lt;&gt;"",F2595&lt;B2595)),"Evento anterior à entrada",IF(AND(F2595&lt;&gt;"",E2595=""),"Conversa sem agendamento",IF(OR(E2595&gt;TODAY(),F2595&gt;TODAY()),"Verificar evento futuro","OK"))))))</f>
        <v/>
      </c>
    </row>
    <row r="2596" spans="9:12">
      <c r="I2596" s="5">
        <f>IF(OR(A2596="",B2596=""),"",B2596-WEEKDAY(B2596,2)+1)</f>
        <v/>
      </c>
      <c r="J2596" s="5">
        <f>IF(I2596="","",I2596+6)</f>
        <v/>
      </c>
      <c r="K2596" s="6">
        <f>IF(OR(A2596="",B2596=""),"",DATE(YEAR(B2596),MONTH(B2596),1))</f>
        <v/>
      </c>
      <c r="L2596" s="7">
        <f>IF(COUNTA(A2596,B2596)=0,"",IF(OR(A2596="",B2596=""),"Preencher CPF e entrada",IF(COUNTIFS($A$12:$A$5011,A2596,$B$12:$B$5011,B2596)&gt;1,"CPF + dia duplicado",IF(OR(AND(E2596&lt;&gt;"",E2596&lt;B2596),AND(F2596&lt;&gt;"",F2596&lt;B2596)),"Evento anterior à entrada",IF(AND(F2596&lt;&gt;"",E2596=""),"Conversa sem agendamento",IF(OR(E2596&gt;TODAY(),F2596&gt;TODAY()),"Verificar evento futuro","OK"))))))</f>
        <v/>
      </c>
    </row>
    <row r="2597" spans="9:12">
      <c r="I2597" s="5">
        <f>IF(OR(A2597="",B2597=""),"",B2597-WEEKDAY(B2597,2)+1)</f>
        <v/>
      </c>
      <c r="J2597" s="5">
        <f>IF(I2597="","",I2597+6)</f>
        <v/>
      </c>
      <c r="K2597" s="6">
        <f>IF(OR(A2597="",B2597=""),"",DATE(YEAR(B2597),MONTH(B2597),1))</f>
        <v/>
      </c>
      <c r="L2597" s="7">
        <f>IF(COUNTA(A2597,B2597)=0,"",IF(OR(A2597="",B2597=""),"Preencher CPF e entrada",IF(COUNTIFS($A$12:$A$5011,A2597,$B$12:$B$5011,B2597)&gt;1,"CPF + dia duplicado",IF(OR(AND(E2597&lt;&gt;"",E2597&lt;B2597),AND(F2597&lt;&gt;"",F2597&lt;B2597)),"Evento anterior à entrada",IF(AND(F2597&lt;&gt;"",E2597=""),"Conversa sem agendamento",IF(OR(E2597&gt;TODAY(),F2597&gt;TODAY()),"Verificar evento futuro","OK"))))))</f>
        <v/>
      </c>
    </row>
    <row r="2598" spans="9:12">
      <c r="I2598" s="5">
        <f>IF(OR(A2598="",B2598=""),"",B2598-WEEKDAY(B2598,2)+1)</f>
        <v/>
      </c>
      <c r="J2598" s="5">
        <f>IF(I2598="","",I2598+6)</f>
        <v/>
      </c>
      <c r="K2598" s="6">
        <f>IF(OR(A2598="",B2598=""),"",DATE(YEAR(B2598),MONTH(B2598),1))</f>
        <v/>
      </c>
      <c r="L2598" s="7">
        <f>IF(COUNTA(A2598,B2598)=0,"",IF(OR(A2598="",B2598=""),"Preencher CPF e entrada",IF(COUNTIFS($A$12:$A$5011,A2598,$B$12:$B$5011,B2598)&gt;1,"CPF + dia duplicado",IF(OR(AND(E2598&lt;&gt;"",E2598&lt;B2598),AND(F2598&lt;&gt;"",F2598&lt;B2598)),"Evento anterior à entrada",IF(AND(F2598&lt;&gt;"",E2598=""),"Conversa sem agendamento",IF(OR(E2598&gt;TODAY(),F2598&gt;TODAY()),"Verificar evento futuro","OK"))))))</f>
        <v/>
      </c>
    </row>
    <row r="2599" spans="9:12">
      <c r="I2599" s="5">
        <f>IF(OR(A2599="",B2599=""),"",B2599-WEEKDAY(B2599,2)+1)</f>
        <v/>
      </c>
      <c r="J2599" s="5">
        <f>IF(I2599="","",I2599+6)</f>
        <v/>
      </c>
      <c r="K2599" s="6">
        <f>IF(OR(A2599="",B2599=""),"",DATE(YEAR(B2599),MONTH(B2599),1))</f>
        <v/>
      </c>
      <c r="L2599" s="7">
        <f>IF(COUNTA(A2599,B2599)=0,"",IF(OR(A2599="",B2599=""),"Preencher CPF e entrada",IF(COUNTIFS($A$12:$A$5011,A2599,$B$12:$B$5011,B2599)&gt;1,"CPF + dia duplicado",IF(OR(AND(E2599&lt;&gt;"",E2599&lt;B2599),AND(F2599&lt;&gt;"",F2599&lt;B2599)),"Evento anterior à entrada",IF(AND(F2599&lt;&gt;"",E2599=""),"Conversa sem agendamento",IF(OR(E2599&gt;TODAY(),F2599&gt;TODAY()),"Verificar evento futuro","OK"))))))</f>
        <v/>
      </c>
    </row>
    <row r="2600" spans="9:12">
      <c r="I2600" s="5">
        <f>IF(OR(A2600="",B2600=""),"",B2600-WEEKDAY(B2600,2)+1)</f>
        <v/>
      </c>
      <c r="J2600" s="5">
        <f>IF(I2600="","",I2600+6)</f>
        <v/>
      </c>
      <c r="K2600" s="6">
        <f>IF(OR(A2600="",B2600=""),"",DATE(YEAR(B2600),MONTH(B2600),1))</f>
        <v/>
      </c>
      <c r="L2600" s="7">
        <f>IF(COUNTA(A2600,B2600)=0,"",IF(OR(A2600="",B2600=""),"Preencher CPF e entrada",IF(COUNTIFS($A$12:$A$5011,A2600,$B$12:$B$5011,B2600)&gt;1,"CPF + dia duplicado",IF(OR(AND(E2600&lt;&gt;"",E2600&lt;B2600),AND(F2600&lt;&gt;"",F2600&lt;B2600)),"Evento anterior à entrada",IF(AND(F2600&lt;&gt;"",E2600=""),"Conversa sem agendamento",IF(OR(E2600&gt;TODAY(),F2600&gt;TODAY()),"Verificar evento futuro","OK"))))))</f>
        <v/>
      </c>
    </row>
    <row r="2601" spans="9:12">
      <c r="I2601" s="5">
        <f>IF(OR(A2601="",B2601=""),"",B2601-WEEKDAY(B2601,2)+1)</f>
        <v/>
      </c>
      <c r="J2601" s="5">
        <f>IF(I2601="","",I2601+6)</f>
        <v/>
      </c>
      <c r="K2601" s="6">
        <f>IF(OR(A2601="",B2601=""),"",DATE(YEAR(B2601),MONTH(B2601),1))</f>
        <v/>
      </c>
      <c r="L2601" s="7">
        <f>IF(COUNTA(A2601,B2601)=0,"",IF(OR(A2601="",B2601=""),"Preencher CPF e entrada",IF(COUNTIFS($A$12:$A$5011,A2601,$B$12:$B$5011,B2601)&gt;1,"CPF + dia duplicado",IF(OR(AND(E2601&lt;&gt;"",E2601&lt;B2601),AND(F2601&lt;&gt;"",F2601&lt;B2601)),"Evento anterior à entrada",IF(AND(F2601&lt;&gt;"",E2601=""),"Conversa sem agendamento",IF(OR(E2601&gt;TODAY(),F2601&gt;TODAY()),"Verificar evento futuro","OK"))))))</f>
        <v/>
      </c>
    </row>
    <row r="2602" spans="9:12">
      <c r="I2602" s="5">
        <f>IF(OR(A2602="",B2602=""),"",B2602-WEEKDAY(B2602,2)+1)</f>
        <v/>
      </c>
      <c r="J2602" s="5">
        <f>IF(I2602="","",I2602+6)</f>
        <v/>
      </c>
      <c r="K2602" s="6">
        <f>IF(OR(A2602="",B2602=""),"",DATE(YEAR(B2602),MONTH(B2602),1))</f>
        <v/>
      </c>
      <c r="L2602" s="7">
        <f>IF(COUNTA(A2602,B2602)=0,"",IF(OR(A2602="",B2602=""),"Preencher CPF e entrada",IF(COUNTIFS($A$12:$A$5011,A2602,$B$12:$B$5011,B2602)&gt;1,"CPF + dia duplicado",IF(OR(AND(E2602&lt;&gt;"",E2602&lt;B2602),AND(F2602&lt;&gt;"",F2602&lt;B2602)),"Evento anterior à entrada",IF(AND(F2602&lt;&gt;"",E2602=""),"Conversa sem agendamento",IF(OR(E2602&gt;TODAY(),F2602&gt;TODAY()),"Verificar evento futuro","OK"))))))</f>
        <v/>
      </c>
    </row>
    <row r="2603" spans="9:12">
      <c r="I2603" s="5">
        <f>IF(OR(A2603="",B2603=""),"",B2603-WEEKDAY(B2603,2)+1)</f>
        <v/>
      </c>
      <c r="J2603" s="5">
        <f>IF(I2603="","",I2603+6)</f>
        <v/>
      </c>
      <c r="K2603" s="6">
        <f>IF(OR(A2603="",B2603=""),"",DATE(YEAR(B2603),MONTH(B2603),1))</f>
        <v/>
      </c>
      <c r="L2603" s="7">
        <f>IF(COUNTA(A2603,B2603)=0,"",IF(OR(A2603="",B2603=""),"Preencher CPF e entrada",IF(COUNTIFS($A$12:$A$5011,A2603,$B$12:$B$5011,B2603)&gt;1,"CPF + dia duplicado",IF(OR(AND(E2603&lt;&gt;"",E2603&lt;B2603),AND(F2603&lt;&gt;"",F2603&lt;B2603)),"Evento anterior à entrada",IF(AND(F2603&lt;&gt;"",E2603=""),"Conversa sem agendamento",IF(OR(E2603&gt;TODAY(),F2603&gt;TODAY()),"Verificar evento futuro","OK"))))))</f>
        <v/>
      </c>
    </row>
    <row r="2604" spans="9:12">
      <c r="I2604" s="5">
        <f>IF(OR(A2604="",B2604=""),"",B2604-WEEKDAY(B2604,2)+1)</f>
        <v/>
      </c>
      <c r="J2604" s="5">
        <f>IF(I2604="","",I2604+6)</f>
        <v/>
      </c>
      <c r="K2604" s="6">
        <f>IF(OR(A2604="",B2604=""),"",DATE(YEAR(B2604),MONTH(B2604),1))</f>
        <v/>
      </c>
      <c r="L2604" s="7">
        <f>IF(COUNTA(A2604,B2604)=0,"",IF(OR(A2604="",B2604=""),"Preencher CPF e entrada",IF(COUNTIFS($A$12:$A$5011,A2604,$B$12:$B$5011,B2604)&gt;1,"CPF + dia duplicado",IF(OR(AND(E2604&lt;&gt;"",E2604&lt;B2604),AND(F2604&lt;&gt;"",F2604&lt;B2604)),"Evento anterior à entrada",IF(AND(F2604&lt;&gt;"",E2604=""),"Conversa sem agendamento",IF(OR(E2604&gt;TODAY(),F2604&gt;TODAY()),"Verificar evento futuro","OK"))))))</f>
        <v/>
      </c>
    </row>
    <row r="2605" spans="9:12">
      <c r="I2605" s="5">
        <f>IF(OR(A2605="",B2605=""),"",B2605-WEEKDAY(B2605,2)+1)</f>
        <v/>
      </c>
      <c r="J2605" s="5">
        <f>IF(I2605="","",I2605+6)</f>
        <v/>
      </c>
      <c r="K2605" s="6">
        <f>IF(OR(A2605="",B2605=""),"",DATE(YEAR(B2605),MONTH(B2605),1))</f>
        <v/>
      </c>
      <c r="L2605" s="7">
        <f>IF(COUNTA(A2605,B2605)=0,"",IF(OR(A2605="",B2605=""),"Preencher CPF e entrada",IF(COUNTIFS($A$12:$A$5011,A2605,$B$12:$B$5011,B2605)&gt;1,"CPF + dia duplicado",IF(OR(AND(E2605&lt;&gt;"",E2605&lt;B2605),AND(F2605&lt;&gt;"",F2605&lt;B2605)),"Evento anterior à entrada",IF(AND(F2605&lt;&gt;"",E2605=""),"Conversa sem agendamento",IF(OR(E2605&gt;TODAY(),F2605&gt;TODAY()),"Verificar evento futuro","OK"))))))</f>
        <v/>
      </c>
    </row>
    <row r="2606" spans="9:12">
      <c r="I2606" s="5">
        <f>IF(OR(A2606="",B2606=""),"",B2606-WEEKDAY(B2606,2)+1)</f>
        <v/>
      </c>
      <c r="J2606" s="5">
        <f>IF(I2606="","",I2606+6)</f>
        <v/>
      </c>
      <c r="K2606" s="6">
        <f>IF(OR(A2606="",B2606=""),"",DATE(YEAR(B2606),MONTH(B2606),1))</f>
        <v/>
      </c>
      <c r="L2606" s="7">
        <f>IF(COUNTA(A2606,B2606)=0,"",IF(OR(A2606="",B2606=""),"Preencher CPF e entrada",IF(COUNTIFS($A$12:$A$5011,A2606,$B$12:$B$5011,B2606)&gt;1,"CPF + dia duplicado",IF(OR(AND(E2606&lt;&gt;"",E2606&lt;B2606),AND(F2606&lt;&gt;"",F2606&lt;B2606)),"Evento anterior à entrada",IF(AND(F2606&lt;&gt;"",E2606=""),"Conversa sem agendamento",IF(OR(E2606&gt;TODAY(),F2606&gt;TODAY()),"Verificar evento futuro","OK"))))))</f>
        <v/>
      </c>
    </row>
    <row r="2607" spans="9:12">
      <c r="I2607" s="5">
        <f>IF(OR(A2607="",B2607=""),"",B2607-WEEKDAY(B2607,2)+1)</f>
        <v/>
      </c>
      <c r="J2607" s="5">
        <f>IF(I2607="","",I2607+6)</f>
        <v/>
      </c>
      <c r="K2607" s="6">
        <f>IF(OR(A2607="",B2607=""),"",DATE(YEAR(B2607),MONTH(B2607),1))</f>
        <v/>
      </c>
      <c r="L2607" s="7">
        <f>IF(COUNTA(A2607,B2607)=0,"",IF(OR(A2607="",B2607=""),"Preencher CPF e entrada",IF(COUNTIFS($A$12:$A$5011,A2607,$B$12:$B$5011,B2607)&gt;1,"CPF + dia duplicado",IF(OR(AND(E2607&lt;&gt;"",E2607&lt;B2607),AND(F2607&lt;&gt;"",F2607&lt;B2607)),"Evento anterior à entrada",IF(AND(F2607&lt;&gt;"",E2607=""),"Conversa sem agendamento",IF(OR(E2607&gt;TODAY(),F2607&gt;TODAY()),"Verificar evento futuro","OK"))))))</f>
        <v/>
      </c>
    </row>
    <row r="2608" spans="9:12">
      <c r="I2608" s="5">
        <f>IF(OR(A2608="",B2608=""),"",B2608-WEEKDAY(B2608,2)+1)</f>
        <v/>
      </c>
      <c r="J2608" s="5">
        <f>IF(I2608="","",I2608+6)</f>
        <v/>
      </c>
      <c r="K2608" s="6">
        <f>IF(OR(A2608="",B2608=""),"",DATE(YEAR(B2608),MONTH(B2608),1))</f>
        <v/>
      </c>
      <c r="L2608" s="7">
        <f>IF(COUNTA(A2608,B2608)=0,"",IF(OR(A2608="",B2608=""),"Preencher CPF e entrada",IF(COUNTIFS($A$12:$A$5011,A2608,$B$12:$B$5011,B2608)&gt;1,"CPF + dia duplicado",IF(OR(AND(E2608&lt;&gt;"",E2608&lt;B2608),AND(F2608&lt;&gt;"",F2608&lt;B2608)),"Evento anterior à entrada",IF(AND(F2608&lt;&gt;"",E2608=""),"Conversa sem agendamento",IF(OR(E2608&gt;TODAY(),F2608&gt;TODAY()),"Verificar evento futuro","OK"))))))</f>
        <v/>
      </c>
    </row>
    <row r="2609" spans="9:12">
      <c r="I2609" s="5">
        <f>IF(OR(A2609="",B2609=""),"",B2609-WEEKDAY(B2609,2)+1)</f>
        <v/>
      </c>
      <c r="J2609" s="5">
        <f>IF(I2609="","",I2609+6)</f>
        <v/>
      </c>
      <c r="K2609" s="6">
        <f>IF(OR(A2609="",B2609=""),"",DATE(YEAR(B2609),MONTH(B2609),1))</f>
        <v/>
      </c>
      <c r="L2609" s="7">
        <f>IF(COUNTA(A2609,B2609)=0,"",IF(OR(A2609="",B2609=""),"Preencher CPF e entrada",IF(COUNTIFS($A$12:$A$5011,A2609,$B$12:$B$5011,B2609)&gt;1,"CPF + dia duplicado",IF(OR(AND(E2609&lt;&gt;"",E2609&lt;B2609),AND(F2609&lt;&gt;"",F2609&lt;B2609)),"Evento anterior à entrada",IF(AND(F2609&lt;&gt;"",E2609=""),"Conversa sem agendamento",IF(OR(E2609&gt;TODAY(),F2609&gt;TODAY()),"Verificar evento futuro","OK"))))))</f>
        <v/>
      </c>
    </row>
    <row r="2610" spans="9:12">
      <c r="I2610" s="5">
        <f>IF(OR(A2610="",B2610=""),"",B2610-WEEKDAY(B2610,2)+1)</f>
        <v/>
      </c>
      <c r="J2610" s="5">
        <f>IF(I2610="","",I2610+6)</f>
        <v/>
      </c>
      <c r="K2610" s="6">
        <f>IF(OR(A2610="",B2610=""),"",DATE(YEAR(B2610),MONTH(B2610),1))</f>
        <v/>
      </c>
      <c r="L2610" s="7">
        <f>IF(COUNTA(A2610,B2610)=0,"",IF(OR(A2610="",B2610=""),"Preencher CPF e entrada",IF(COUNTIFS($A$12:$A$5011,A2610,$B$12:$B$5011,B2610)&gt;1,"CPF + dia duplicado",IF(OR(AND(E2610&lt;&gt;"",E2610&lt;B2610),AND(F2610&lt;&gt;"",F2610&lt;B2610)),"Evento anterior à entrada",IF(AND(F2610&lt;&gt;"",E2610=""),"Conversa sem agendamento",IF(OR(E2610&gt;TODAY(),F2610&gt;TODAY()),"Verificar evento futuro","OK"))))))</f>
        <v/>
      </c>
    </row>
    <row r="2611" spans="9:12">
      <c r="I2611" s="5">
        <f>IF(OR(A2611="",B2611=""),"",B2611-WEEKDAY(B2611,2)+1)</f>
        <v/>
      </c>
      <c r="J2611" s="5">
        <f>IF(I2611="","",I2611+6)</f>
        <v/>
      </c>
      <c r="K2611" s="6">
        <f>IF(OR(A2611="",B2611=""),"",DATE(YEAR(B2611),MONTH(B2611),1))</f>
        <v/>
      </c>
      <c r="L2611" s="7">
        <f>IF(COUNTA(A2611,B2611)=0,"",IF(OR(A2611="",B2611=""),"Preencher CPF e entrada",IF(COUNTIFS($A$12:$A$5011,A2611,$B$12:$B$5011,B2611)&gt;1,"CPF + dia duplicado",IF(OR(AND(E2611&lt;&gt;"",E2611&lt;B2611),AND(F2611&lt;&gt;"",F2611&lt;B2611)),"Evento anterior à entrada",IF(AND(F2611&lt;&gt;"",E2611=""),"Conversa sem agendamento",IF(OR(E2611&gt;TODAY(),F2611&gt;TODAY()),"Verificar evento futuro","OK"))))))</f>
        <v/>
      </c>
    </row>
    <row r="2612" spans="9:12">
      <c r="I2612" s="5">
        <f>IF(OR(A2612="",B2612=""),"",B2612-WEEKDAY(B2612,2)+1)</f>
        <v/>
      </c>
      <c r="J2612" s="5">
        <f>IF(I2612="","",I2612+6)</f>
        <v/>
      </c>
      <c r="K2612" s="6">
        <f>IF(OR(A2612="",B2612=""),"",DATE(YEAR(B2612),MONTH(B2612),1))</f>
        <v/>
      </c>
      <c r="L2612" s="7">
        <f>IF(COUNTA(A2612,B2612)=0,"",IF(OR(A2612="",B2612=""),"Preencher CPF e entrada",IF(COUNTIFS($A$12:$A$5011,A2612,$B$12:$B$5011,B2612)&gt;1,"CPF + dia duplicado",IF(OR(AND(E2612&lt;&gt;"",E2612&lt;B2612),AND(F2612&lt;&gt;"",F2612&lt;B2612)),"Evento anterior à entrada",IF(AND(F2612&lt;&gt;"",E2612=""),"Conversa sem agendamento",IF(OR(E2612&gt;TODAY(),F2612&gt;TODAY()),"Verificar evento futuro","OK"))))))</f>
        <v/>
      </c>
    </row>
    <row r="2613" spans="9:12">
      <c r="I2613" s="5">
        <f>IF(OR(A2613="",B2613=""),"",B2613-WEEKDAY(B2613,2)+1)</f>
        <v/>
      </c>
      <c r="J2613" s="5">
        <f>IF(I2613="","",I2613+6)</f>
        <v/>
      </c>
      <c r="K2613" s="6">
        <f>IF(OR(A2613="",B2613=""),"",DATE(YEAR(B2613),MONTH(B2613),1))</f>
        <v/>
      </c>
      <c r="L2613" s="7">
        <f>IF(COUNTA(A2613,B2613)=0,"",IF(OR(A2613="",B2613=""),"Preencher CPF e entrada",IF(COUNTIFS($A$12:$A$5011,A2613,$B$12:$B$5011,B2613)&gt;1,"CPF + dia duplicado",IF(OR(AND(E2613&lt;&gt;"",E2613&lt;B2613),AND(F2613&lt;&gt;"",F2613&lt;B2613)),"Evento anterior à entrada",IF(AND(F2613&lt;&gt;"",E2613=""),"Conversa sem agendamento",IF(OR(E2613&gt;TODAY(),F2613&gt;TODAY()),"Verificar evento futuro","OK"))))))</f>
        <v/>
      </c>
    </row>
    <row r="2614" spans="9:12">
      <c r="I2614" s="5">
        <f>IF(OR(A2614="",B2614=""),"",B2614-WEEKDAY(B2614,2)+1)</f>
        <v/>
      </c>
      <c r="J2614" s="5">
        <f>IF(I2614="","",I2614+6)</f>
        <v/>
      </c>
      <c r="K2614" s="6">
        <f>IF(OR(A2614="",B2614=""),"",DATE(YEAR(B2614),MONTH(B2614),1))</f>
        <v/>
      </c>
      <c r="L2614" s="7">
        <f>IF(COUNTA(A2614,B2614)=0,"",IF(OR(A2614="",B2614=""),"Preencher CPF e entrada",IF(COUNTIFS($A$12:$A$5011,A2614,$B$12:$B$5011,B2614)&gt;1,"CPF + dia duplicado",IF(OR(AND(E2614&lt;&gt;"",E2614&lt;B2614),AND(F2614&lt;&gt;"",F2614&lt;B2614)),"Evento anterior à entrada",IF(AND(F2614&lt;&gt;"",E2614=""),"Conversa sem agendamento",IF(OR(E2614&gt;TODAY(),F2614&gt;TODAY()),"Verificar evento futuro","OK"))))))</f>
        <v/>
      </c>
    </row>
    <row r="2615" spans="9:12">
      <c r="I2615" s="5">
        <f>IF(OR(A2615="",B2615=""),"",B2615-WEEKDAY(B2615,2)+1)</f>
        <v/>
      </c>
      <c r="J2615" s="5">
        <f>IF(I2615="","",I2615+6)</f>
        <v/>
      </c>
      <c r="K2615" s="6">
        <f>IF(OR(A2615="",B2615=""),"",DATE(YEAR(B2615),MONTH(B2615),1))</f>
        <v/>
      </c>
      <c r="L2615" s="7">
        <f>IF(COUNTA(A2615,B2615)=0,"",IF(OR(A2615="",B2615=""),"Preencher CPF e entrada",IF(COUNTIFS($A$12:$A$5011,A2615,$B$12:$B$5011,B2615)&gt;1,"CPF + dia duplicado",IF(OR(AND(E2615&lt;&gt;"",E2615&lt;B2615),AND(F2615&lt;&gt;"",F2615&lt;B2615)),"Evento anterior à entrada",IF(AND(F2615&lt;&gt;"",E2615=""),"Conversa sem agendamento",IF(OR(E2615&gt;TODAY(),F2615&gt;TODAY()),"Verificar evento futuro","OK"))))))</f>
        <v/>
      </c>
    </row>
    <row r="2616" spans="9:12">
      <c r="I2616" s="5">
        <f>IF(OR(A2616="",B2616=""),"",B2616-WEEKDAY(B2616,2)+1)</f>
        <v/>
      </c>
      <c r="J2616" s="5">
        <f>IF(I2616="","",I2616+6)</f>
        <v/>
      </c>
      <c r="K2616" s="6">
        <f>IF(OR(A2616="",B2616=""),"",DATE(YEAR(B2616),MONTH(B2616),1))</f>
        <v/>
      </c>
      <c r="L2616" s="7">
        <f>IF(COUNTA(A2616,B2616)=0,"",IF(OR(A2616="",B2616=""),"Preencher CPF e entrada",IF(COUNTIFS($A$12:$A$5011,A2616,$B$12:$B$5011,B2616)&gt;1,"CPF + dia duplicado",IF(OR(AND(E2616&lt;&gt;"",E2616&lt;B2616),AND(F2616&lt;&gt;"",F2616&lt;B2616)),"Evento anterior à entrada",IF(AND(F2616&lt;&gt;"",E2616=""),"Conversa sem agendamento",IF(OR(E2616&gt;TODAY(),F2616&gt;TODAY()),"Verificar evento futuro","OK"))))))</f>
        <v/>
      </c>
    </row>
    <row r="2617" spans="9:12">
      <c r="I2617" s="5">
        <f>IF(OR(A2617="",B2617=""),"",B2617-WEEKDAY(B2617,2)+1)</f>
        <v/>
      </c>
      <c r="J2617" s="5">
        <f>IF(I2617="","",I2617+6)</f>
        <v/>
      </c>
      <c r="K2617" s="6">
        <f>IF(OR(A2617="",B2617=""),"",DATE(YEAR(B2617),MONTH(B2617),1))</f>
        <v/>
      </c>
      <c r="L2617" s="7">
        <f>IF(COUNTA(A2617,B2617)=0,"",IF(OR(A2617="",B2617=""),"Preencher CPF e entrada",IF(COUNTIFS($A$12:$A$5011,A2617,$B$12:$B$5011,B2617)&gt;1,"CPF + dia duplicado",IF(OR(AND(E2617&lt;&gt;"",E2617&lt;B2617),AND(F2617&lt;&gt;"",F2617&lt;B2617)),"Evento anterior à entrada",IF(AND(F2617&lt;&gt;"",E2617=""),"Conversa sem agendamento",IF(OR(E2617&gt;TODAY(),F2617&gt;TODAY()),"Verificar evento futuro","OK"))))))</f>
        <v/>
      </c>
    </row>
    <row r="2618" spans="9:12">
      <c r="I2618" s="5">
        <f>IF(OR(A2618="",B2618=""),"",B2618-WEEKDAY(B2618,2)+1)</f>
        <v/>
      </c>
      <c r="J2618" s="5">
        <f>IF(I2618="","",I2618+6)</f>
        <v/>
      </c>
      <c r="K2618" s="6">
        <f>IF(OR(A2618="",B2618=""),"",DATE(YEAR(B2618),MONTH(B2618),1))</f>
        <v/>
      </c>
      <c r="L2618" s="7">
        <f>IF(COUNTA(A2618,B2618)=0,"",IF(OR(A2618="",B2618=""),"Preencher CPF e entrada",IF(COUNTIFS($A$12:$A$5011,A2618,$B$12:$B$5011,B2618)&gt;1,"CPF + dia duplicado",IF(OR(AND(E2618&lt;&gt;"",E2618&lt;B2618),AND(F2618&lt;&gt;"",F2618&lt;B2618)),"Evento anterior à entrada",IF(AND(F2618&lt;&gt;"",E2618=""),"Conversa sem agendamento",IF(OR(E2618&gt;TODAY(),F2618&gt;TODAY()),"Verificar evento futuro","OK"))))))</f>
        <v/>
      </c>
    </row>
    <row r="2619" spans="9:12">
      <c r="I2619" s="5">
        <f>IF(OR(A2619="",B2619=""),"",B2619-WEEKDAY(B2619,2)+1)</f>
        <v/>
      </c>
      <c r="J2619" s="5">
        <f>IF(I2619="","",I2619+6)</f>
        <v/>
      </c>
      <c r="K2619" s="6">
        <f>IF(OR(A2619="",B2619=""),"",DATE(YEAR(B2619),MONTH(B2619),1))</f>
        <v/>
      </c>
      <c r="L2619" s="7">
        <f>IF(COUNTA(A2619,B2619)=0,"",IF(OR(A2619="",B2619=""),"Preencher CPF e entrada",IF(COUNTIFS($A$12:$A$5011,A2619,$B$12:$B$5011,B2619)&gt;1,"CPF + dia duplicado",IF(OR(AND(E2619&lt;&gt;"",E2619&lt;B2619),AND(F2619&lt;&gt;"",F2619&lt;B2619)),"Evento anterior à entrada",IF(AND(F2619&lt;&gt;"",E2619=""),"Conversa sem agendamento",IF(OR(E2619&gt;TODAY(),F2619&gt;TODAY()),"Verificar evento futuro","OK"))))))</f>
        <v/>
      </c>
    </row>
    <row r="2620" spans="9:12">
      <c r="I2620" s="5">
        <f>IF(OR(A2620="",B2620=""),"",B2620-WEEKDAY(B2620,2)+1)</f>
        <v/>
      </c>
      <c r="J2620" s="5">
        <f>IF(I2620="","",I2620+6)</f>
        <v/>
      </c>
      <c r="K2620" s="6">
        <f>IF(OR(A2620="",B2620=""),"",DATE(YEAR(B2620),MONTH(B2620),1))</f>
        <v/>
      </c>
      <c r="L2620" s="7">
        <f>IF(COUNTA(A2620,B2620)=0,"",IF(OR(A2620="",B2620=""),"Preencher CPF e entrada",IF(COUNTIFS($A$12:$A$5011,A2620,$B$12:$B$5011,B2620)&gt;1,"CPF + dia duplicado",IF(OR(AND(E2620&lt;&gt;"",E2620&lt;B2620),AND(F2620&lt;&gt;"",F2620&lt;B2620)),"Evento anterior à entrada",IF(AND(F2620&lt;&gt;"",E2620=""),"Conversa sem agendamento",IF(OR(E2620&gt;TODAY(),F2620&gt;TODAY()),"Verificar evento futuro","OK"))))))</f>
        <v/>
      </c>
    </row>
    <row r="2621" spans="9:12">
      <c r="I2621" s="5">
        <f>IF(OR(A2621="",B2621=""),"",B2621-WEEKDAY(B2621,2)+1)</f>
        <v/>
      </c>
      <c r="J2621" s="5">
        <f>IF(I2621="","",I2621+6)</f>
        <v/>
      </c>
      <c r="K2621" s="6">
        <f>IF(OR(A2621="",B2621=""),"",DATE(YEAR(B2621),MONTH(B2621),1))</f>
        <v/>
      </c>
      <c r="L2621" s="7">
        <f>IF(COUNTA(A2621,B2621)=0,"",IF(OR(A2621="",B2621=""),"Preencher CPF e entrada",IF(COUNTIFS($A$12:$A$5011,A2621,$B$12:$B$5011,B2621)&gt;1,"CPF + dia duplicado",IF(OR(AND(E2621&lt;&gt;"",E2621&lt;B2621),AND(F2621&lt;&gt;"",F2621&lt;B2621)),"Evento anterior à entrada",IF(AND(F2621&lt;&gt;"",E2621=""),"Conversa sem agendamento",IF(OR(E2621&gt;TODAY(),F2621&gt;TODAY()),"Verificar evento futuro","OK"))))))</f>
        <v/>
      </c>
    </row>
    <row r="2622" spans="9:12">
      <c r="I2622" s="5">
        <f>IF(OR(A2622="",B2622=""),"",B2622-WEEKDAY(B2622,2)+1)</f>
        <v/>
      </c>
      <c r="J2622" s="5">
        <f>IF(I2622="","",I2622+6)</f>
        <v/>
      </c>
      <c r="K2622" s="6">
        <f>IF(OR(A2622="",B2622=""),"",DATE(YEAR(B2622),MONTH(B2622),1))</f>
        <v/>
      </c>
      <c r="L2622" s="7">
        <f>IF(COUNTA(A2622,B2622)=0,"",IF(OR(A2622="",B2622=""),"Preencher CPF e entrada",IF(COUNTIFS($A$12:$A$5011,A2622,$B$12:$B$5011,B2622)&gt;1,"CPF + dia duplicado",IF(OR(AND(E2622&lt;&gt;"",E2622&lt;B2622),AND(F2622&lt;&gt;"",F2622&lt;B2622)),"Evento anterior à entrada",IF(AND(F2622&lt;&gt;"",E2622=""),"Conversa sem agendamento",IF(OR(E2622&gt;TODAY(),F2622&gt;TODAY()),"Verificar evento futuro","OK"))))))</f>
        <v/>
      </c>
    </row>
    <row r="2623" spans="9:12">
      <c r="I2623" s="5">
        <f>IF(OR(A2623="",B2623=""),"",B2623-WEEKDAY(B2623,2)+1)</f>
        <v/>
      </c>
      <c r="J2623" s="5">
        <f>IF(I2623="","",I2623+6)</f>
        <v/>
      </c>
      <c r="K2623" s="6">
        <f>IF(OR(A2623="",B2623=""),"",DATE(YEAR(B2623),MONTH(B2623),1))</f>
        <v/>
      </c>
      <c r="L2623" s="7">
        <f>IF(COUNTA(A2623,B2623)=0,"",IF(OR(A2623="",B2623=""),"Preencher CPF e entrada",IF(COUNTIFS($A$12:$A$5011,A2623,$B$12:$B$5011,B2623)&gt;1,"CPF + dia duplicado",IF(OR(AND(E2623&lt;&gt;"",E2623&lt;B2623),AND(F2623&lt;&gt;"",F2623&lt;B2623)),"Evento anterior à entrada",IF(AND(F2623&lt;&gt;"",E2623=""),"Conversa sem agendamento",IF(OR(E2623&gt;TODAY(),F2623&gt;TODAY()),"Verificar evento futuro","OK"))))))</f>
        <v/>
      </c>
    </row>
    <row r="2624" spans="9:12">
      <c r="I2624" s="5">
        <f>IF(OR(A2624="",B2624=""),"",B2624-WEEKDAY(B2624,2)+1)</f>
        <v/>
      </c>
      <c r="J2624" s="5">
        <f>IF(I2624="","",I2624+6)</f>
        <v/>
      </c>
      <c r="K2624" s="6">
        <f>IF(OR(A2624="",B2624=""),"",DATE(YEAR(B2624),MONTH(B2624),1))</f>
        <v/>
      </c>
      <c r="L2624" s="7">
        <f>IF(COUNTA(A2624,B2624)=0,"",IF(OR(A2624="",B2624=""),"Preencher CPF e entrada",IF(COUNTIFS($A$12:$A$5011,A2624,$B$12:$B$5011,B2624)&gt;1,"CPF + dia duplicado",IF(OR(AND(E2624&lt;&gt;"",E2624&lt;B2624),AND(F2624&lt;&gt;"",F2624&lt;B2624)),"Evento anterior à entrada",IF(AND(F2624&lt;&gt;"",E2624=""),"Conversa sem agendamento",IF(OR(E2624&gt;TODAY(),F2624&gt;TODAY()),"Verificar evento futuro","OK"))))))</f>
        <v/>
      </c>
    </row>
    <row r="2625" spans="9:12">
      <c r="I2625" s="5">
        <f>IF(OR(A2625="",B2625=""),"",B2625-WEEKDAY(B2625,2)+1)</f>
        <v/>
      </c>
      <c r="J2625" s="5">
        <f>IF(I2625="","",I2625+6)</f>
        <v/>
      </c>
      <c r="K2625" s="6">
        <f>IF(OR(A2625="",B2625=""),"",DATE(YEAR(B2625),MONTH(B2625),1))</f>
        <v/>
      </c>
      <c r="L2625" s="7">
        <f>IF(COUNTA(A2625,B2625)=0,"",IF(OR(A2625="",B2625=""),"Preencher CPF e entrada",IF(COUNTIFS($A$12:$A$5011,A2625,$B$12:$B$5011,B2625)&gt;1,"CPF + dia duplicado",IF(OR(AND(E2625&lt;&gt;"",E2625&lt;B2625),AND(F2625&lt;&gt;"",F2625&lt;B2625)),"Evento anterior à entrada",IF(AND(F2625&lt;&gt;"",E2625=""),"Conversa sem agendamento",IF(OR(E2625&gt;TODAY(),F2625&gt;TODAY()),"Verificar evento futuro","OK"))))))</f>
        <v/>
      </c>
    </row>
    <row r="2626" spans="9:12">
      <c r="I2626" s="5">
        <f>IF(OR(A2626="",B2626=""),"",B2626-WEEKDAY(B2626,2)+1)</f>
        <v/>
      </c>
      <c r="J2626" s="5">
        <f>IF(I2626="","",I2626+6)</f>
        <v/>
      </c>
      <c r="K2626" s="6">
        <f>IF(OR(A2626="",B2626=""),"",DATE(YEAR(B2626),MONTH(B2626),1))</f>
        <v/>
      </c>
      <c r="L2626" s="7">
        <f>IF(COUNTA(A2626,B2626)=0,"",IF(OR(A2626="",B2626=""),"Preencher CPF e entrada",IF(COUNTIFS($A$12:$A$5011,A2626,$B$12:$B$5011,B2626)&gt;1,"CPF + dia duplicado",IF(OR(AND(E2626&lt;&gt;"",E2626&lt;B2626),AND(F2626&lt;&gt;"",F2626&lt;B2626)),"Evento anterior à entrada",IF(AND(F2626&lt;&gt;"",E2626=""),"Conversa sem agendamento",IF(OR(E2626&gt;TODAY(),F2626&gt;TODAY()),"Verificar evento futuro","OK"))))))</f>
        <v/>
      </c>
    </row>
    <row r="2627" spans="9:12">
      <c r="I2627" s="5">
        <f>IF(OR(A2627="",B2627=""),"",B2627-WEEKDAY(B2627,2)+1)</f>
        <v/>
      </c>
      <c r="J2627" s="5">
        <f>IF(I2627="","",I2627+6)</f>
        <v/>
      </c>
      <c r="K2627" s="6">
        <f>IF(OR(A2627="",B2627=""),"",DATE(YEAR(B2627),MONTH(B2627),1))</f>
        <v/>
      </c>
      <c r="L2627" s="7">
        <f>IF(COUNTA(A2627,B2627)=0,"",IF(OR(A2627="",B2627=""),"Preencher CPF e entrada",IF(COUNTIFS($A$12:$A$5011,A2627,$B$12:$B$5011,B2627)&gt;1,"CPF + dia duplicado",IF(OR(AND(E2627&lt;&gt;"",E2627&lt;B2627),AND(F2627&lt;&gt;"",F2627&lt;B2627)),"Evento anterior à entrada",IF(AND(F2627&lt;&gt;"",E2627=""),"Conversa sem agendamento",IF(OR(E2627&gt;TODAY(),F2627&gt;TODAY()),"Verificar evento futuro","OK"))))))</f>
        <v/>
      </c>
    </row>
    <row r="2628" spans="9:12">
      <c r="I2628" s="5">
        <f>IF(OR(A2628="",B2628=""),"",B2628-WEEKDAY(B2628,2)+1)</f>
        <v/>
      </c>
      <c r="J2628" s="5">
        <f>IF(I2628="","",I2628+6)</f>
        <v/>
      </c>
      <c r="K2628" s="6">
        <f>IF(OR(A2628="",B2628=""),"",DATE(YEAR(B2628),MONTH(B2628),1))</f>
        <v/>
      </c>
      <c r="L2628" s="7">
        <f>IF(COUNTA(A2628,B2628)=0,"",IF(OR(A2628="",B2628=""),"Preencher CPF e entrada",IF(COUNTIFS($A$12:$A$5011,A2628,$B$12:$B$5011,B2628)&gt;1,"CPF + dia duplicado",IF(OR(AND(E2628&lt;&gt;"",E2628&lt;B2628),AND(F2628&lt;&gt;"",F2628&lt;B2628)),"Evento anterior à entrada",IF(AND(F2628&lt;&gt;"",E2628=""),"Conversa sem agendamento",IF(OR(E2628&gt;TODAY(),F2628&gt;TODAY()),"Verificar evento futuro","OK"))))))</f>
        <v/>
      </c>
    </row>
    <row r="2629" spans="9:12">
      <c r="I2629" s="5">
        <f>IF(OR(A2629="",B2629=""),"",B2629-WEEKDAY(B2629,2)+1)</f>
        <v/>
      </c>
      <c r="J2629" s="5">
        <f>IF(I2629="","",I2629+6)</f>
        <v/>
      </c>
      <c r="K2629" s="6">
        <f>IF(OR(A2629="",B2629=""),"",DATE(YEAR(B2629),MONTH(B2629),1))</f>
        <v/>
      </c>
      <c r="L2629" s="7">
        <f>IF(COUNTA(A2629,B2629)=0,"",IF(OR(A2629="",B2629=""),"Preencher CPF e entrada",IF(COUNTIFS($A$12:$A$5011,A2629,$B$12:$B$5011,B2629)&gt;1,"CPF + dia duplicado",IF(OR(AND(E2629&lt;&gt;"",E2629&lt;B2629),AND(F2629&lt;&gt;"",F2629&lt;B2629)),"Evento anterior à entrada",IF(AND(F2629&lt;&gt;"",E2629=""),"Conversa sem agendamento",IF(OR(E2629&gt;TODAY(),F2629&gt;TODAY()),"Verificar evento futuro","OK"))))))</f>
        <v/>
      </c>
    </row>
    <row r="2630" spans="9:12">
      <c r="I2630" s="5">
        <f>IF(OR(A2630="",B2630=""),"",B2630-WEEKDAY(B2630,2)+1)</f>
        <v/>
      </c>
      <c r="J2630" s="5">
        <f>IF(I2630="","",I2630+6)</f>
        <v/>
      </c>
      <c r="K2630" s="6">
        <f>IF(OR(A2630="",B2630=""),"",DATE(YEAR(B2630),MONTH(B2630),1))</f>
        <v/>
      </c>
      <c r="L2630" s="7">
        <f>IF(COUNTA(A2630,B2630)=0,"",IF(OR(A2630="",B2630=""),"Preencher CPF e entrada",IF(COUNTIFS($A$12:$A$5011,A2630,$B$12:$B$5011,B2630)&gt;1,"CPF + dia duplicado",IF(OR(AND(E2630&lt;&gt;"",E2630&lt;B2630),AND(F2630&lt;&gt;"",F2630&lt;B2630)),"Evento anterior à entrada",IF(AND(F2630&lt;&gt;"",E2630=""),"Conversa sem agendamento",IF(OR(E2630&gt;TODAY(),F2630&gt;TODAY()),"Verificar evento futuro","OK"))))))</f>
        <v/>
      </c>
    </row>
    <row r="2631" spans="9:12">
      <c r="I2631" s="5">
        <f>IF(OR(A2631="",B2631=""),"",B2631-WEEKDAY(B2631,2)+1)</f>
        <v/>
      </c>
      <c r="J2631" s="5">
        <f>IF(I2631="","",I2631+6)</f>
        <v/>
      </c>
      <c r="K2631" s="6">
        <f>IF(OR(A2631="",B2631=""),"",DATE(YEAR(B2631),MONTH(B2631),1))</f>
        <v/>
      </c>
      <c r="L2631" s="7">
        <f>IF(COUNTA(A2631,B2631)=0,"",IF(OR(A2631="",B2631=""),"Preencher CPF e entrada",IF(COUNTIFS($A$12:$A$5011,A2631,$B$12:$B$5011,B2631)&gt;1,"CPF + dia duplicado",IF(OR(AND(E2631&lt;&gt;"",E2631&lt;B2631),AND(F2631&lt;&gt;"",F2631&lt;B2631)),"Evento anterior à entrada",IF(AND(F2631&lt;&gt;"",E2631=""),"Conversa sem agendamento",IF(OR(E2631&gt;TODAY(),F2631&gt;TODAY()),"Verificar evento futuro","OK"))))))</f>
        <v/>
      </c>
    </row>
    <row r="2632" spans="9:12">
      <c r="I2632" s="5">
        <f>IF(OR(A2632="",B2632=""),"",B2632-WEEKDAY(B2632,2)+1)</f>
        <v/>
      </c>
      <c r="J2632" s="5">
        <f>IF(I2632="","",I2632+6)</f>
        <v/>
      </c>
      <c r="K2632" s="6">
        <f>IF(OR(A2632="",B2632=""),"",DATE(YEAR(B2632),MONTH(B2632),1))</f>
        <v/>
      </c>
      <c r="L2632" s="7">
        <f>IF(COUNTA(A2632,B2632)=0,"",IF(OR(A2632="",B2632=""),"Preencher CPF e entrada",IF(COUNTIFS($A$12:$A$5011,A2632,$B$12:$B$5011,B2632)&gt;1,"CPF + dia duplicado",IF(OR(AND(E2632&lt;&gt;"",E2632&lt;B2632),AND(F2632&lt;&gt;"",F2632&lt;B2632)),"Evento anterior à entrada",IF(AND(F2632&lt;&gt;"",E2632=""),"Conversa sem agendamento",IF(OR(E2632&gt;TODAY(),F2632&gt;TODAY()),"Verificar evento futuro","OK"))))))</f>
        <v/>
      </c>
    </row>
    <row r="2633" spans="9:12">
      <c r="I2633" s="5">
        <f>IF(OR(A2633="",B2633=""),"",B2633-WEEKDAY(B2633,2)+1)</f>
        <v/>
      </c>
      <c r="J2633" s="5">
        <f>IF(I2633="","",I2633+6)</f>
        <v/>
      </c>
      <c r="K2633" s="6">
        <f>IF(OR(A2633="",B2633=""),"",DATE(YEAR(B2633),MONTH(B2633),1))</f>
        <v/>
      </c>
      <c r="L2633" s="7">
        <f>IF(COUNTA(A2633,B2633)=0,"",IF(OR(A2633="",B2633=""),"Preencher CPF e entrada",IF(COUNTIFS($A$12:$A$5011,A2633,$B$12:$B$5011,B2633)&gt;1,"CPF + dia duplicado",IF(OR(AND(E2633&lt;&gt;"",E2633&lt;B2633),AND(F2633&lt;&gt;"",F2633&lt;B2633)),"Evento anterior à entrada",IF(AND(F2633&lt;&gt;"",E2633=""),"Conversa sem agendamento",IF(OR(E2633&gt;TODAY(),F2633&gt;TODAY()),"Verificar evento futuro","OK"))))))</f>
        <v/>
      </c>
    </row>
    <row r="2634" spans="9:12">
      <c r="I2634" s="5">
        <f>IF(OR(A2634="",B2634=""),"",B2634-WEEKDAY(B2634,2)+1)</f>
        <v/>
      </c>
      <c r="J2634" s="5">
        <f>IF(I2634="","",I2634+6)</f>
        <v/>
      </c>
      <c r="K2634" s="6">
        <f>IF(OR(A2634="",B2634=""),"",DATE(YEAR(B2634),MONTH(B2634),1))</f>
        <v/>
      </c>
      <c r="L2634" s="7">
        <f>IF(COUNTA(A2634,B2634)=0,"",IF(OR(A2634="",B2634=""),"Preencher CPF e entrada",IF(COUNTIFS($A$12:$A$5011,A2634,$B$12:$B$5011,B2634)&gt;1,"CPF + dia duplicado",IF(OR(AND(E2634&lt;&gt;"",E2634&lt;B2634),AND(F2634&lt;&gt;"",F2634&lt;B2634)),"Evento anterior à entrada",IF(AND(F2634&lt;&gt;"",E2634=""),"Conversa sem agendamento",IF(OR(E2634&gt;TODAY(),F2634&gt;TODAY()),"Verificar evento futuro","OK"))))))</f>
        <v/>
      </c>
    </row>
    <row r="2635" spans="9:12">
      <c r="I2635" s="5">
        <f>IF(OR(A2635="",B2635=""),"",B2635-WEEKDAY(B2635,2)+1)</f>
        <v/>
      </c>
      <c r="J2635" s="5">
        <f>IF(I2635="","",I2635+6)</f>
        <v/>
      </c>
      <c r="K2635" s="6">
        <f>IF(OR(A2635="",B2635=""),"",DATE(YEAR(B2635),MONTH(B2635),1))</f>
        <v/>
      </c>
      <c r="L2635" s="7">
        <f>IF(COUNTA(A2635,B2635)=0,"",IF(OR(A2635="",B2635=""),"Preencher CPF e entrada",IF(COUNTIFS($A$12:$A$5011,A2635,$B$12:$B$5011,B2635)&gt;1,"CPF + dia duplicado",IF(OR(AND(E2635&lt;&gt;"",E2635&lt;B2635),AND(F2635&lt;&gt;"",F2635&lt;B2635)),"Evento anterior à entrada",IF(AND(F2635&lt;&gt;"",E2635=""),"Conversa sem agendamento",IF(OR(E2635&gt;TODAY(),F2635&gt;TODAY()),"Verificar evento futuro","OK"))))))</f>
        <v/>
      </c>
    </row>
    <row r="2636" spans="9:12">
      <c r="I2636" s="5">
        <f>IF(OR(A2636="",B2636=""),"",B2636-WEEKDAY(B2636,2)+1)</f>
        <v/>
      </c>
      <c r="J2636" s="5">
        <f>IF(I2636="","",I2636+6)</f>
        <v/>
      </c>
      <c r="K2636" s="6">
        <f>IF(OR(A2636="",B2636=""),"",DATE(YEAR(B2636),MONTH(B2636),1))</f>
        <v/>
      </c>
      <c r="L2636" s="7">
        <f>IF(COUNTA(A2636,B2636)=0,"",IF(OR(A2636="",B2636=""),"Preencher CPF e entrada",IF(COUNTIFS($A$12:$A$5011,A2636,$B$12:$B$5011,B2636)&gt;1,"CPF + dia duplicado",IF(OR(AND(E2636&lt;&gt;"",E2636&lt;B2636),AND(F2636&lt;&gt;"",F2636&lt;B2636)),"Evento anterior à entrada",IF(AND(F2636&lt;&gt;"",E2636=""),"Conversa sem agendamento",IF(OR(E2636&gt;TODAY(),F2636&gt;TODAY()),"Verificar evento futuro","OK"))))))</f>
        <v/>
      </c>
    </row>
    <row r="2637" spans="9:12">
      <c r="I2637" s="5">
        <f>IF(OR(A2637="",B2637=""),"",B2637-WEEKDAY(B2637,2)+1)</f>
        <v/>
      </c>
      <c r="J2637" s="5">
        <f>IF(I2637="","",I2637+6)</f>
        <v/>
      </c>
      <c r="K2637" s="6">
        <f>IF(OR(A2637="",B2637=""),"",DATE(YEAR(B2637),MONTH(B2637),1))</f>
        <v/>
      </c>
      <c r="L2637" s="7">
        <f>IF(COUNTA(A2637,B2637)=0,"",IF(OR(A2637="",B2637=""),"Preencher CPF e entrada",IF(COUNTIFS($A$12:$A$5011,A2637,$B$12:$B$5011,B2637)&gt;1,"CPF + dia duplicado",IF(OR(AND(E2637&lt;&gt;"",E2637&lt;B2637),AND(F2637&lt;&gt;"",F2637&lt;B2637)),"Evento anterior à entrada",IF(AND(F2637&lt;&gt;"",E2637=""),"Conversa sem agendamento",IF(OR(E2637&gt;TODAY(),F2637&gt;TODAY()),"Verificar evento futuro","OK"))))))</f>
        <v/>
      </c>
    </row>
    <row r="2638" spans="9:12">
      <c r="I2638" s="5">
        <f>IF(OR(A2638="",B2638=""),"",B2638-WEEKDAY(B2638,2)+1)</f>
        <v/>
      </c>
      <c r="J2638" s="5">
        <f>IF(I2638="","",I2638+6)</f>
        <v/>
      </c>
      <c r="K2638" s="6">
        <f>IF(OR(A2638="",B2638=""),"",DATE(YEAR(B2638),MONTH(B2638),1))</f>
        <v/>
      </c>
      <c r="L2638" s="7">
        <f>IF(COUNTA(A2638,B2638)=0,"",IF(OR(A2638="",B2638=""),"Preencher CPF e entrada",IF(COUNTIFS($A$12:$A$5011,A2638,$B$12:$B$5011,B2638)&gt;1,"CPF + dia duplicado",IF(OR(AND(E2638&lt;&gt;"",E2638&lt;B2638),AND(F2638&lt;&gt;"",F2638&lt;B2638)),"Evento anterior à entrada",IF(AND(F2638&lt;&gt;"",E2638=""),"Conversa sem agendamento",IF(OR(E2638&gt;TODAY(),F2638&gt;TODAY()),"Verificar evento futuro","OK"))))))</f>
        <v/>
      </c>
    </row>
    <row r="2639" spans="9:12">
      <c r="I2639" s="5">
        <f>IF(OR(A2639="",B2639=""),"",B2639-WEEKDAY(B2639,2)+1)</f>
        <v/>
      </c>
      <c r="J2639" s="5">
        <f>IF(I2639="","",I2639+6)</f>
        <v/>
      </c>
      <c r="K2639" s="6">
        <f>IF(OR(A2639="",B2639=""),"",DATE(YEAR(B2639),MONTH(B2639),1))</f>
        <v/>
      </c>
      <c r="L2639" s="7">
        <f>IF(COUNTA(A2639,B2639)=0,"",IF(OR(A2639="",B2639=""),"Preencher CPF e entrada",IF(COUNTIFS($A$12:$A$5011,A2639,$B$12:$B$5011,B2639)&gt;1,"CPF + dia duplicado",IF(OR(AND(E2639&lt;&gt;"",E2639&lt;B2639),AND(F2639&lt;&gt;"",F2639&lt;B2639)),"Evento anterior à entrada",IF(AND(F2639&lt;&gt;"",E2639=""),"Conversa sem agendamento",IF(OR(E2639&gt;TODAY(),F2639&gt;TODAY()),"Verificar evento futuro","OK"))))))</f>
        <v/>
      </c>
    </row>
    <row r="2640" spans="9:12">
      <c r="I2640" s="5">
        <f>IF(OR(A2640="",B2640=""),"",B2640-WEEKDAY(B2640,2)+1)</f>
        <v/>
      </c>
      <c r="J2640" s="5">
        <f>IF(I2640="","",I2640+6)</f>
        <v/>
      </c>
      <c r="K2640" s="6">
        <f>IF(OR(A2640="",B2640=""),"",DATE(YEAR(B2640),MONTH(B2640),1))</f>
        <v/>
      </c>
      <c r="L2640" s="7">
        <f>IF(COUNTA(A2640,B2640)=0,"",IF(OR(A2640="",B2640=""),"Preencher CPF e entrada",IF(COUNTIFS($A$12:$A$5011,A2640,$B$12:$B$5011,B2640)&gt;1,"CPF + dia duplicado",IF(OR(AND(E2640&lt;&gt;"",E2640&lt;B2640),AND(F2640&lt;&gt;"",F2640&lt;B2640)),"Evento anterior à entrada",IF(AND(F2640&lt;&gt;"",E2640=""),"Conversa sem agendamento",IF(OR(E2640&gt;TODAY(),F2640&gt;TODAY()),"Verificar evento futuro","OK"))))))</f>
        <v/>
      </c>
    </row>
    <row r="2641" spans="9:12">
      <c r="I2641" s="5">
        <f>IF(OR(A2641="",B2641=""),"",B2641-WEEKDAY(B2641,2)+1)</f>
        <v/>
      </c>
      <c r="J2641" s="5">
        <f>IF(I2641="","",I2641+6)</f>
        <v/>
      </c>
      <c r="K2641" s="6">
        <f>IF(OR(A2641="",B2641=""),"",DATE(YEAR(B2641),MONTH(B2641),1))</f>
        <v/>
      </c>
      <c r="L2641" s="7">
        <f>IF(COUNTA(A2641,B2641)=0,"",IF(OR(A2641="",B2641=""),"Preencher CPF e entrada",IF(COUNTIFS($A$12:$A$5011,A2641,$B$12:$B$5011,B2641)&gt;1,"CPF + dia duplicado",IF(OR(AND(E2641&lt;&gt;"",E2641&lt;B2641),AND(F2641&lt;&gt;"",F2641&lt;B2641)),"Evento anterior à entrada",IF(AND(F2641&lt;&gt;"",E2641=""),"Conversa sem agendamento",IF(OR(E2641&gt;TODAY(),F2641&gt;TODAY()),"Verificar evento futuro","OK"))))))</f>
        <v/>
      </c>
    </row>
    <row r="2642" spans="9:12">
      <c r="I2642" s="5">
        <f>IF(OR(A2642="",B2642=""),"",B2642-WEEKDAY(B2642,2)+1)</f>
        <v/>
      </c>
      <c r="J2642" s="5">
        <f>IF(I2642="","",I2642+6)</f>
        <v/>
      </c>
      <c r="K2642" s="6">
        <f>IF(OR(A2642="",B2642=""),"",DATE(YEAR(B2642),MONTH(B2642),1))</f>
        <v/>
      </c>
      <c r="L2642" s="7">
        <f>IF(COUNTA(A2642,B2642)=0,"",IF(OR(A2642="",B2642=""),"Preencher CPF e entrada",IF(COUNTIFS($A$12:$A$5011,A2642,$B$12:$B$5011,B2642)&gt;1,"CPF + dia duplicado",IF(OR(AND(E2642&lt;&gt;"",E2642&lt;B2642),AND(F2642&lt;&gt;"",F2642&lt;B2642)),"Evento anterior à entrada",IF(AND(F2642&lt;&gt;"",E2642=""),"Conversa sem agendamento",IF(OR(E2642&gt;TODAY(),F2642&gt;TODAY()),"Verificar evento futuro","OK"))))))</f>
        <v/>
      </c>
    </row>
    <row r="2643" spans="9:12">
      <c r="I2643" s="5">
        <f>IF(OR(A2643="",B2643=""),"",B2643-WEEKDAY(B2643,2)+1)</f>
        <v/>
      </c>
      <c r="J2643" s="5">
        <f>IF(I2643="","",I2643+6)</f>
        <v/>
      </c>
      <c r="K2643" s="6">
        <f>IF(OR(A2643="",B2643=""),"",DATE(YEAR(B2643),MONTH(B2643),1))</f>
        <v/>
      </c>
      <c r="L2643" s="7">
        <f>IF(COUNTA(A2643,B2643)=0,"",IF(OR(A2643="",B2643=""),"Preencher CPF e entrada",IF(COUNTIFS($A$12:$A$5011,A2643,$B$12:$B$5011,B2643)&gt;1,"CPF + dia duplicado",IF(OR(AND(E2643&lt;&gt;"",E2643&lt;B2643),AND(F2643&lt;&gt;"",F2643&lt;B2643)),"Evento anterior à entrada",IF(AND(F2643&lt;&gt;"",E2643=""),"Conversa sem agendamento",IF(OR(E2643&gt;TODAY(),F2643&gt;TODAY()),"Verificar evento futuro","OK"))))))</f>
        <v/>
      </c>
    </row>
    <row r="2644" spans="9:12">
      <c r="I2644" s="5">
        <f>IF(OR(A2644="",B2644=""),"",B2644-WEEKDAY(B2644,2)+1)</f>
        <v/>
      </c>
      <c r="J2644" s="5">
        <f>IF(I2644="","",I2644+6)</f>
        <v/>
      </c>
      <c r="K2644" s="6">
        <f>IF(OR(A2644="",B2644=""),"",DATE(YEAR(B2644),MONTH(B2644),1))</f>
        <v/>
      </c>
      <c r="L2644" s="7">
        <f>IF(COUNTA(A2644,B2644)=0,"",IF(OR(A2644="",B2644=""),"Preencher CPF e entrada",IF(COUNTIFS($A$12:$A$5011,A2644,$B$12:$B$5011,B2644)&gt;1,"CPF + dia duplicado",IF(OR(AND(E2644&lt;&gt;"",E2644&lt;B2644),AND(F2644&lt;&gt;"",F2644&lt;B2644)),"Evento anterior à entrada",IF(AND(F2644&lt;&gt;"",E2644=""),"Conversa sem agendamento",IF(OR(E2644&gt;TODAY(),F2644&gt;TODAY()),"Verificar evento futuro","OK"))))))</f>
        <v/>
      </c>
    </row>
    <row r="2645" spans="9:12">
      <c r="I2645" s="5">
        <f>IF(OR(A2645="",B2645=""),"",B2645-WEEKDAY(B2645,2)+1)</f>
        <v/>
      </c>
      <c r="J2645" s="5">
        <f>IF(I2645="","",I2645+6)</f>
        <v/>
      </c>
      <c r="K2645" s="6">
        <f>IF(OR(A2645="",B2645=""),"",DATE(YEAR(B2645),MONTH(B2645),1))</f>
        <v/>
      </c>
      <c r="L2645" s="7">
        <f>IF(COUNTA(A2645,B2645)=0,"",IF(OR(A2645="",B2645=""),"Preencher CPF e entrada",IF(COUNTIFS($A$12:$A$5011,A2645,$B$12:$B$5011,B2645)&gt;1,"CPF + dia duplicado",IF(OR(AND(E2645&lt;&gt;"",E2645&lt;B2645),AND(F2645&lt;&gt;"",F2645&lt;B2645)),"Evento anterior à entrada",IF(AND(F2645&lt;&gt;"",E2645=""),"Conversa sem agendamento",IF(OR(E2645&gt;TODAY(),F2645&gt;TODAY()),"Verificar evento futuro","OK"))))))</f>
        <v/>
      </c>
    </row>
    <row r="2646" spans="9:12">
      <c r="I2646" s="5">
        <f>IF(OR(A2646="",B2646=""),"",B2646-WEEKDAY(B2646,2)+1)</f>
        <v/>
      </c>
      <c r="J2646" s="5">
        <f>IF(I2646="","",I2646+6)</f>
        <v/>
      </c>
      <c r="K2646" s="6">
        <f>IF(OR(A2646="",B2646=""),"",DATE(YEAR(B2646),MONTH(B2646),1))</f>
        <v/>
      </c>
      <c r="L2646" s="7">
        <f>IF(COUNTA(A2646,B2646)=0,"",IF(OR(A2646="",B2646=""),"Preencher CPF e entrada",IF(COUNTIFS($A$12:$A$5011,A2646,$B$12:$B$5011,B2646)&gt;1,"CPF + dia duplicado",IF(OR(AND(E2646&lt;&gt;"",E2646&lt;B2646),AND(F2646&lt;&gt;"",F2646&lt;B2646)),"Evento anterior à entrada",IF(AND(F2646&lt;&gt;"",E2646=""),"Conversa sem agendamento",IF(OR(E2646&gt;TODAY(),F2646&gt;TODAY()),"Verificar evento futuro","OK"))))))</f>
        <v/>
      </c>
    </row>
    <row r="2647" spans="9:12">
      <c r="I2647" s="5">
        <f>IF(OR(A2647="",B2647=""),"",B2647-WEEKDAY(B2647,2)+1)</f>
        <v/>
      </c>
      <c r="J2647" s="5">
        <f>IF(I2647="","",I2647+6)</f>
        <v/>
      </c>
      <c r="K2647" s="6">
        <f>IF(OR(A2647="",B2647=""),"",DATE(YEAR(B2647),MONTH(B2647),1))</f>
        <v/>
      </c>
      <c r="L2647" s="7">
        <f>IF(COUNTA(A2647,B2647)=0,"",IF(OR(A2647="",B2647=""),"Preencher CPF e entrada",IF(COUNTIFS($A$12:$A$5011,A2647,$B$12:$B$5011,B2647)&gt;1,"CPF + dia duplicado",IF(OR(AND(E2647&lt;&gt;"",E2647&lt;B2647),AND(F2647&lt;&gt;"",F2647&lt;B2647)),"Evento anterior à entrada",IF(AND(F2647&lt;&gt;"",E2647=""),"Conversa sem agendamento",IF(OR(E2647&gt;TODAY(),F2647&gt;TODAY()),"Verificar evento futuro","OK"))))))</f>
        <v/>
      </c>
    </row>
    <row r="2648" spans="9:12">
      <c r="I2648" s="5">
        <f>IF(OR(A2648="",B2648=""),"",B2648-WEEKDAY(B2648,2)+1)</f>
        <v/>
      </c>
      <c r="J2648" s="5">
        <f>IF(I2648="","",I2648+6)</f>
        <v/>
      </c>
      <c r="K2648" s="6">
        <f>IF(OR(A2648="",B2648=""),"",DATE(YEAR(B2648),MONTH(B2648),1))</f>
        <v/>
      </c>
      <c r="L2648" s="7">
        <f>IF(COUNTA(A2648,B2648)=0,"",IF(OR(A2648="",B2648=""),"Preencher CPF e entrada",IF(COUNTIFS($A$12:$A$5011,A2648,$B$12:$B$5011,B2648)&gt;1,"CPF + dia duplicado",IF(OR(AND(E2648&lt;&gt;"",E2648&lt;B2648),AND(F2648&lt;&gt;"",F2648&lt;B2648)),"Evento anterior à entrada",IF(AND(F2648&lt;&gt;"",E2648=""),"Conversa sem agendamento",IF(OR(E2648&gt;TODAY(),F2648&gt;TODAY()),"Verificar evento futuro","OK"))))))</f>
        <v/>
      </c>
    </row>
    <row r="2649" spans="9:12">
      <c r="I2649" s="5">
        <f>IF(OR(A2649="",B2649=""),"",B2649-WEEKDAY(B2649,2)+1)</f>
        <v/>
      </c>
      <c r="J2649" s="5">
        <f>IF(I2649="","",I2649+6)</f>
        <v/>
      </c>
      <c r="K2649" s="6">
        <f>IF(OR(A2649="",B2649=""),"",DATE(YEAR(B2649),MONTH(B2649),1))</f>
        <v/>
      </c>
      <c r="L2649" s="7">
        <f>IF(COUNTA(A2649,B2649)=0,"",IF(OR(A2649="",B2649=""),"Preencher CPF e entrada",IF(COUNTIFS($A$12:$A$5011,A2649,$B$12:$B$5011,B2649)&gt;1,"CPF + dia duplicado",IF(OR(AND(E2649&lt;&gt;"",E2649&lt;B2649),AND(F2649&lt;&gt;"",F2649&lt;B2649)),"Evento anterior à entrada",IF(AND(F2649&lt;&gt;"",E2649=""),"Conversa sem agendamento",IF(OR(E2649&gt;TODAY(),F2649&gt;TODAY()),"Verificar evento futuro","OK"))))))</f>
        <v/>
      </c>
    </row>
    <row r="2650" spans="9:12">
      <c r="I2650" s="5">
        <f>IF(OR(A2650="",B2650=""),"",B2650-WEEKDAY(B2650,2)+1)</f>
        <v/>
      </c>
      <c r="J2650" s="5">
        <f>IF(I2650="","",I2650+6)</f>
        <v/>
      </c>
      <c r="K2650" s="6">
        <f>IF(OR(A2650="",B2650=""),"",DATE(YEAR(B2650),MONTH(B2650),1))</f>
        <v/>
      </c>
      <c r="L2650" s="7">
        <f>IF(COUNTA(A2650,B2650)=0,"",IF(OR(A2650="",B2650=""),"Preencher CPF e entrada",IF(COUNTIFS($A$12:$A$5011,A2650,$B$12:$B$5011,B2650)&gt;1,"CPF + dia duplicado",IF(OR(AND(E2650&lt;&gt;"",E2650&lt;B2650),AND(F2650&lt;&gt;"",F2650&lt;B2650)),"Evento anterior à entrada",IF(AND(F2650&lt;&gt;"",E2650=""),"Conversa sem agendamento",IF(OR(E2650&gt;TODAY(),F2650&gt;TODAY()),"Verificar evento futuro","OK"))))))</f>
        <v/>
      </c>
    </row>
    <row r="2651" spans="9:12">
      <c r="I2651" s="5">
        <f>IF(OR(A2651="",B2651=""),"",B2651-WEEKDAY(B2651,2)+1)</f>
        <v/>
      </c>
      <c r="J2651" s="5">
        <f>IF(I2651="","",I2651+6)</f>
        <v/>
      </c>
      <c r="K2651" s="6">
        <f>IF(OR(A2651="",B2651=""),"",DATE(YEAR(B2651),MONTH(B2651),1))</f>
        <v/>
      </c>
      <c r="L2651" s="7">
        <f>IF(COUNTA(A2651,B2651)=0,"",IF(OR(A2651="",B2651=""),"Preencher CPF e entrada",IF(COUNTIFS($A$12:$A$5011,A2651,$B$12:$B$5011,B2651)&gt;1,"CPF + dia duplicado",IF(OR(AND(E2651&lt;&gt;"",E2651&lt;B2651),AND(F2651&lt;&gt;"",F2651&lt;B2651)),"Evento anterior à entrada",IF(AND(F2651&lt;&gt;"",E2651=""),"Conversa sem agendamento",IF(OR(E2651&gt;TODAY(),F2651&gt;TODAY()),"Verificar evento futuro","OK"))))))</f>
        <v/>
      </c>
    </row>
    <row r="2652" spans="9:12">
      <c r="I2652" s="5">
        <f>IF(OR(A2652="",B2652=""),"",B2652-WEEKDAY(B2652,2)+1)</f>
        <v/>
      </c>
      <c r="J2652" s="5">
        <f>IF(I2652="","",I2652+6)</f>
        <v/>
      </c>
      <c r="K2652" s="6">
        <f>IF(OR(A2652="",B2652=""),"",DATE(YEAR(B2652),MONTH(B2652),1))</f>
        <v/>
      </c>
      <c r="L2652" s="7">
        <f>IF(COUNTA(A2652,B2652)=0,"",IF(OR(A2652="",B2652=""),"Preencher CPF e entrada",IF(COUNTIFS($A$12:$A$5011,A2652,$B$12:$B$5011,B2652)&gt;1,"CPF + dia duplicado",IF(OR(AND(E2652&lt;&gt;"",E2652&lt;B2652),AND(F2652&lt;&gt;"",F2652&lt;B2652)),"Evento anterior à entrada",IF(AND(F2652&lt;&gt;"",E2652=""),"Conversa sem agendamento",IF(OR(E2652&gt;TODAY(),F2652&gt;TODAY()),"Verificar evento futuro","OK"))))))</f>
        <v/>
      </c>
    </row>
    <row r="2653" spans="9:12">
      <c r="I2653" s="5">
        <f>IF(OR(A2653="",B2653=""),"",B2653-WEEKDAY(B2653,2)+1)</f>
        <v/>
      </c>
      <c r="J2653" s="5">
        <f>IF(I2653="","",I2653+6)</f>
        <v/>
      </c>
      <c r="K2653" s="6">
        <f>IF(OR(A2653="",B2653=""),"",DATE(YEAR(B2653),MONTH(B2653),1))</f>
        <v/>
      </c>
      <c r="L2653" s="7">
        <f>IF(COUNTA(A2653,B2653)=0,"",IF(OR(A2653="",B2653=""),"Preencher CPF e entrada",IF(COUNTIFS($A$12:$A$5011,A2653,$B$12:$B$5011,B2653)&gt;1,"CPF + dia duplicado",IF(OR(AND(E2653&lt;&gt;"",E2653&lt;B2653),AND(F2653&lt;&gt;"",F2653&lt;B2653)),"Evento anterior à entrada",IF(AND(F2653&lt;&gt;"",E2653=""),"Conversa sem agendamento",IF(OR(E2653&gt;TODAY(),F2653&gt;TODAY()),"Verificar evento futuro","OK"))))))</f>
        <v/>
      </c>
    </row>
    <row r="2654" spans="9:12">
      <c r="I2654" s="5">
        <f>IF(OR(A2654="",B2654=""),"",B2654-WEEKDAY(B2654,2)+1)</f>
        <v/>
      </c>
      <c r="J2654" s="5">
        <f>IF(I2654="","",I2654+6)</f>
        <v/>
      </c>
      <c r="K2654" s="6">
        <f>IF(OR(A2654="",B2654=""),"",DATE(YEAR(B2654),MONTH(B2654),1))</f>
        <v/>
      </c>
      <c r="L2654" s="7">
        <f>IF(COUNTA(A2654,B2654)=0,"",IF(OR(A2654="",B2654=""),"Preencher CPF e entrada",IF(COUNTIFS($A$12:$A$5011,A2654,$B$12:$B$5011,B2654)&gt;1,"CPF + dia duplicado",IF(OR(AND(E2654&lt;&gt;"",E2654&lt;B2654),AND(F2654&lt;&gt;"",F2654&lt;B2654)),"Evento anterior à entrada",IF(AND(F2654&lt;&gt;"",E2654=""),"Conversa sem agendamento",IF(OR(E2654&gt;TODAY(),F2654&gt;TODAY()),"Verificar evento futuro","OK"))))))</f>
        <v/>
      </c>
    </row>
    <row r="2655" spans="9:12">
      <c r="I2655" s="5">
        <f>IF(OR(A2655="",B2655=""),"",B2655-WEEKDAY(B2655,2)+1)</f>
        <v/>
      </c>
      <c r="J2655" s="5">
        <f>IF(I2655="","",I2655+6)</f>
        <v/>
      </c>
      <c r="K2655" s="6">
        <f>IF(OR(A2655="",B2655=""),"",DATE(YEAR(B2655),MONTH(B2655),1))</f>
        <v/>
      </c>
      <c r="L2655" s="7">
        <f>IF(COUNTA(A2655,B2655)=0,"",IF(OR(A2655="",B2655=""),"Preencher CPF e entrada",IF(COUNTIFS($A$12:$A$5011,A2655,$B$12:$B$5011,B2655)&gt;1,"CPF + dia duplicado",IF(OR(AND(E2655&lt;&gt;"",E2655&lt;B2655),AND(F2655&lt;&gt;"",F2655&lt;B2655)),"Evento anterior à entrada",IF(AND(F2655&lt;&gt;"",E2655=""),"Conversa sem agendamento",IF(OR(E2655&gt;TODAY(),F2655&gt;TODAY()),"Verificar evento futuro","OK"))))))</f>
        <v/>
      </c>
    </row>
    <row r="2656" spans="9:12">
      <c r="I2656" s="5">
        <f>IF(OR(A2656="",B2656=""),"",B2656-WEEKDAY(B2656,2)+1)</f>
        <v/>
      </c>
      <c r="J2656" s="5">
        <f>IF(I2656="","",I2656+6)</f>
        <v/>
      </c>
      <c r="K2656" s="6">
        <f>IF(OR(A2656="",B2656=""),"",DATE(YEAR(B2656),MONTH(B2656),1))</f>
        <v/>
      </c>
      <c r="L2656" s="7">
        <f>IF(COUNTA(A2656,B2656)=0,"",IF(OR(A2656="",B2656=""),"Preencher CPF e entrada",IF(COUNTIFS($A$12:$A$5011,A2656,$B$12:$B$5011,B2656)&gt;1,"CPF + dia duplicado",IF(OR(AND(E2656&lt;&gt;"",E2656&lt;B2656),AND(F2656&lt;&gt;"",F2656&lt;B2656)),"Evento anterior à entrada",IF(AND(F2656&lt;&gt;"",E2656=""),"Conversa sem agendamento",IF(OR(E2656&gt;TODAY(),F2656&gt;TODAY()),"Verificar evento futuro","OK"))))))</f>
        <v/>
      </c>
    </row>
    <row r="2657" spans="9:12">
      <c r="I2657" s="5">
        <f>IF(OR(A2657="",B2657=""),"",B2657-WEEKDAY(B2657,2)+1)</f>
        <v/>
      </c>
      <c r="J2657" s="5">
        <f>IF(I2657="","",I2657+6)</f>
        <v/>
      </c>
      <c r="K2657" s="6">
        <f>IF(OR(A2657="",B2657=""),"",DATE(YEAR(B2657),MONTH(B2657),1))</f>
        <v/>
      </c>
      <c r="L2657" s="7">
        <f>IF(COUNTA(A2657,B2657)=0,"",IF(OR(A2657="",B2657=""),"Preencher CPF e entrada",IF(COUNTIFS($A$12:$A$5011,A2657,$B$12:$B$5011,B2657)&gt;1,"CPF + dia duplicado",IF(OR(AND(E2657&lt;&gt;"",E2657&lt;B2657),AND(F2657&lt;&gt;"",F2657&lt;B2657)),"Evento anterior à entrada",IF(AND(F2657&lt;&gt;"",E2657=""),"Conversa sem agendamento",IF(OR(E2657&gt;TODAY(),F2657&gt;TODAY()),"Verificar evento futuro","OK"))))))</f>
        <v/>
      </c>
    </row>
    <row r="2658" spans="9:12">
      <c r="I2658" s="5">
        <f>IF(OR(A2658="",B2658=""),"",B2658-WEEKDAY(B2658,2)+1)</f>
        <v/>
      </c>
      <c r="J2658" s="5">
        <f>IF(I2658="","",I2658+6)</f>
        <v/>
      </c>
      <c r="K2658" s="6">
        <f>IF(OR(A2658="",B2658=""),"",DATE(YEAR(B2658),MONTH(B2658),1))</f>
        <v/>
      </c>
      <c r="L2658" s="7">
        <f>IF(COUNTA(A2658,B2658)=0,"",IF(OR(A2658="",B2658=""),"Preencher CPF e entrada",IF(COUNTIFS($A$12:$A$5011,A2658,$B$12:$B$5011,B2658)&gt;1,"CPF + dia duplicado",IF(OR(AND(E2658&lt;&gt;"",E2658&lt;B2658),AND(F2658&lt;&gt;"",F2658&lt;B2658)),"Evento anterior à entrada",IF(AND(F2658&lt;&gt;"",E2658=""),"Conversa sem agendamento",IF(OR(E2658&gt;TODAY(),F2658&gt;TODAY()),"Verificar evento futuro","OK"))))))</f>
        <v/>
      </c>
    </row>
    <row r="2659" spans="9:12">
      <c r="I2659" s="5">
        <f>IF(OR(A2659="",B2659=""),"",B2659-WEEKDAY(B2659,2)+1)</f>
        <v/>
      </c>
      <c r="J2659" s="5">
        <f>IF(I2659="","",I2659+6)</f>
        <v/>
      </c>
      <c r="K2659" s="6">
        <f>IF(OR(A2659="",B2659=""),"",DATE(YEAR(B2659),MONTH(B2659),1))</f>
        <v/>
      </c>
      <c r="L2659" s="7">
        <f>IF(COUNTA(A2659,B2659)=0,"",IF(OR(A2659="",B2659=""),"Preencher CPF e entrada",IF(COUNTIFS($A$12:$A$5011,A2659,$B$12:$B$5011,B2659)&gt;1,"CPF + dia duplicado",IF(OR(AND(E2659&lt;&gt;"",E2659&lt;B2659),AND(F2659&lt;&gt;"",F2659&lt;B2659)),"Evento anterior à entrada",IF(AND(F2659&lt;&gt;"",E2659=""),"Conversa sem agendamento",IF(OR(E2659&gt;TODAY(),F2659&gt;TODAY()),"Verificar evento futuro","OK"))))))</f>
        <v/>
      </c>
    </row>
    <row r="2660" spans="9:12">
      <c r="I2660" s="5">
        <f>IF(OR(A2660="",B2660=""),"",B2660-WEEKDAY(B2660,2)+1)</f>
        <v/>
      </c>
      <c r="J2660" s="5">
        <f>IF(I2660="","",I2660+6)</f>
        <v/>
      </c>
      <c r="K2660" s="6">
        <f>IF(OR(A2660="",B2660=""),"",DATE(YEAR(B2660),MONTH(B2660),1))</f>
        <v/>
      </c>
      <c r="L2660" s="7">
        <f>IF(COUNTA(A2660,B2660)=0,"",IF(OR(A2660="",B2660=""),"Preencher CPF e entrada",IF(COUNTIFS($A$12:$A$5011,A2660,$B$12:$B$5011,B2660)&gt;1,"CPF + dia duplicado",IF(OR(AND(E2660&lt;&gt;"",E2660&lt;B2660),AND(F2660&lt;&gt;"",F2660&lt;B2660)),"Evento anterior à entrada",IF(AND(F2660&lt;&gt;"",E2660=""),"Conversa sem agendamento",IF(OR(E2660&gt;TODAY(),F2660&gt;TODAY()),"Verificar evento futuro","OK"))))))</f>
        <v/>
      </c>
    </row>
    <row r="2661" spans="9:12">
      <c r="I2661" s="5">
        <f>IF(OR(A2661="",B2661=""),"",B2661-WEEKDAY(B2661,2)+1)</f>
        <v/>
      </c>
      <c r="J2661" s="5">
        <f>IF(I2661="","",I2661+6)</f>
        <v/>
      </c>
      <c r="K2661" s="6">
        <f>IF(OR(A2661="",B2661=""),"",DATE(YEAR(B2661),MONTH(B2661),1))</f>
        <v/>
      </c>
      <c r="L2661" s="7">
        <f>IF(COUNTA(A2661,B2661)=0,"",IF(OR(A2661="",B2661=""),"Preencher CPF e entrada",IF(COUNTIFS($A$12:$A$5011,A2661,$B$12:$B$5011,B2661)&gt;1,"CPF + dia duplicado",IF(OR(AND(E2661&lt;&gt;"",E2661&lt;B2661),AND(F2661&lt;&gt;"",F2661&lt;B2661)),"Evento anterior à entrada",IF(AND(F2661&lt;&gt;"",E2661=""),"Conversa sem agendamento",IF(OR(E2661&gt;TODAY(),F2661&gt;TODAY()),"Verificar evento futuro","OK"))))))</f>
        <v/>
      </c>
    </row>
    <row r="2662" spans="9:12">
      <c r="I2662" s="5">
        <f>IF(OR(A2662="",B2662=""),"",B2662-WEEKDAY(B2662,2)+1)</f>
        <v/>
      </c>
      <c r="J2662" s="5">
        <f>IF(I2662="","",I2662+6)</f>
        <v/>
      </c>
      <c r="K2662" s="6">
        <f>IF(OR(A2662="",B2662=""),"",DATE(YEAR(B2662),MONTH(B2662),1))</f>
        <v/>
      </c>
      <c r="L2662" s="7">
        <f>IF(COUNTA(A2662,B2662)=0,"",IF(OR(A2662="",B2662=""),"Preencher CPF e entrada",IF(COUNTIFS($A$12:$A$5011,A2662,$B$12:$B$5011,B2662)&gt;1,"CPF + dia duplicado",IF(OR(AND(E2662&lt;&gt;"",E2662&lt;B2662),AND(F2662&lt;&gt;"",F2662&lt;B2662)),"Evento anterior à entrada",IF(AND(F2662&lt;&gt;"",E2662=""),"Conversa sem agendamento",IF(OR(E2662&gt;TODAY(),F2662&gt;TODAY()),"Verificar evento futuro","OK"))))))</f>
        <v/>
      </c>
    </row>
    <row r="2663" spans="9:12">
      <c r="I2663" s="5">
        <f>IF(OR(A2663="",B2663=""),"",B2663-WEEKDAY(B2663,2)+1)</f>
        <v/>
      </c>
      <c r="J2663" s="5">
        <f>IF(I2663="","",I2663+6)</f>
        <v/>
      </c>
      <c r="K2663" s="6">
        <f>IF(OR(A2663="",B2663=""),"",DATE(YEAR(B2663),MONTH(B2663),1))</f>
        <v/>
      </c>
      <c r="L2663" s="7">
        <f>IF(COUNTA(A2663,B2663)=0,"",IF(OR(A2663="",B2663=""),"Preencher CPF e entrada",IF(COUNTIFS($A$12:$A$5011,A2663,$B$12:$B$5011,B2663)&gt;1,"CPF + dia duplicado",IF(OR(AND(E2663&lt;&gt;"",E2663&lt;B2663),AND(F2663&lt;&gt;"",F2663&lt;B2663)),"Evento anterior à entrada",IF(AND(F2663&lt;&gt;"",E2663=""),"Conversa sem agendamento",IF(OR(E2663&gt;TODAY(),F2663&gt;TODAY()),"Verificar evento futuro","OK"))))))</f>
        <v/>
      </c>
    </row>
    <row r="2664" spans="9:12">
      <c r="I2664" s="5">
        <f>IF(OR(A2664="",B2664=""),"",B2664-WEEKDAY(B2664,2)+1)</f>
        <v/>
      </c>
      <c r="J2664" s="5">
        <f>IF(I2664="","",I2664+6)</f>
        <v/>
      </c>
      <c r="K2664" s="6">
        <f>IF(OR(A2664="",B2664=""),"",DATE(YEAR(B2664),MONTH(B2664),1))</f>
        <v/>
      </c>
      <c r="L2664" s="7">
        <f>IF(COUNTA(A2664,B2664)=0,"",IF(OR(A2664="",B2664=""),"Preencher CPF e entrada",IF(COUNTIFS($A$12:$A$5011,A2664,$B$12:$B$5011,B2664)&gt;1,"CPF + dia duplicado",IF(OR(AND(E2664&lt;&gt;"",E2664&lt;B2664),AND(F2664&lt;&gt;"",F2664&lt;B2664)),"Evento anterior à entrada",IF(AND(F2664&lt;&gt;"",E2664=""),"Conversa sem agendamento",IF(OR(E2664&gt;TODAY(),F2664&gt;TODAY()),"Verificar evento futuro","OK"))))))</f>
        <v/>
      </c>
    </row>
    <row r="2665" spans="9:12">
      <c r="I2665" s="5">
        <f>IF(OR(A2665="",B2665=""),"",B2665-WEEKDAY(B2665,2)+1)</f>
        <v/>
      </c>
      <c r="J2665" s="5">
        <f>IF(I2665="","",I2665+6)</f>
        <v/>
      </c>
      <c r="K2665" s="6">
        <f>IF(OR(A2665="",B2665=""),"",DATE(YEAR(B2665),MONTH(B2665),1))</f>
        <v/>
      </c>
      <c r="L2665" s="7">
        <f>IF(COUNTA(A2665,B2665)=0,"",IF(OR(A2665="",B2665=""),"Preencher CPF e entrada",IF(COUNTIFS($A$12:$A$5011,A2665,$B$12:$B$5011,B2665)&gt;1,"CPF + dia duplicado",IF(OR(AND(E2665&lt;&gt;"",E2665&lt;B2665),AND(F2665&lt;&gt;"",F2665&lt;B2665)),"Evento anterior à entrada",IF(AND(F2665&lt;&gt;"",E2665=""),"Conversa sem agendamento",IF(OR(E2665&gt;TODAY(),F2665&gt;TODAY()),"Verificar evento futuro","OK"))))))</f>
        <v/>
      </c>
    </row>
    <row r="2666" spans="9:12">
      <c r="I2666" s="5">
        <f>IF(OR(A2666="",B2666=""),"",B2666-WEEKDAY(B2666,2)+1)</f>
        <v/>
      </c>
      <c r="J2666" s="5">
        <f>IF(I2666="","",I2666+6)</f>
        <v/>
      </c>
      <c r="K2666" s="6">
        <f>IF(OR(A2666="",B2666=""),"",DATE(YEAR(B2666),MONTH(B2666),1))</f>
        <v/>
      </c>
      <c r="L2666" s="7">
        <f>IF(COUNTA(A2666,B2666)=0,"",IF(OR(A2666="",B2666=""),"Preencher CPF e entrada",IF(COUNTIFS($A$12:$A$5011,A2666,$B$12:$B$5011,B2666)&gt;1,"CPF + dia duplicado",IF(OR(AND(E2666&lt;&gt;"",E2666&lt;B2666),AND(F2666&lt;&gt;"",F2666&lt;B2666)),"Evento anterior à entrada",IF(AND(F2666&lt;&gt;"",E2666=""),"Conversa sem agendamento",IF(OR(E2666&gt;TODAY(),F2666&gt;TODAY()),"Verificar evento futuro","OK"))))))</f>
        <v/>
      </c>
    </row>
    <row r="2667" spans="9:12">
      <c r="I2667" s="5">
        <f>IF(OR(A2667="",B2667=""),"",B2667-WEEKDAY(B2667,2)+1)</f>
        <v/>
      </c>
      <c r="J2667" s="5">
        <f>IF(I2667="","",I2667+6)</f>
        <v/>
      </c>
      <c r="K2667" s="6">
        <f>IF(OR(A2667="",B2667=""),"",DATE(YEAR(B2667),MONTH(B2667),1))</f>
        <v/>
      </c>
      <c r="L2667" s="7">
        <f>IF(COUNTA(A2667,B2667)=0,"",IF(OR(A2667="",B2667=""),"Preencher CPF e entrada",IF(COUNTIFS($A$12:$A$5011,A2667,$B$12:$B$5011,B2667)&gt;1,"CPF + dia duplicado",IF(OR(AND(E2667&lt;&gt;"",E2667&lt;B2667),AND(F2667&lt;&gt;"",F2667&lt;B2667)),"Evento anterior à entrada",IF(AND(F2667&lt;&gt;"",E2667=""),"Conversa sem agendamento",IF(OR(E2667&gt;TODAY(),F2667&gt;TODAY()),"Verificar evento futuro","OK"))))))</f>
        <v/>
      </c>
    </row>
    <row r="2668" spans="9:12">
      <c r="I2668" s="5">
        <f>IF(OR(A2668="",B2668=""),"",B2668-WEEKDAY(B2668,2)+1)</f>
        <v/>
      </c>
      <c r="J2668" s="5">
        <f>IF(I2668="","",I2668+6)</f>
        <v/>
      </c>
      <c r="K2668" s="6">
        <f>IF(OR(A2668="",B2668=""),"",DATE(YEAR(B2668),MONTH(B2668),1))</f>
        <v/>
      </c>
      <c r="L2668" s="7">
        <f>IF(COUNTA(A2668,B2668)=0,"",IF(OR(A2668="",B2668=""),"Preencher CPF e entrada",IF(COUNTIFS($A$12:$A$5011,A2668,$B$12:$B$5011,B2668)&gt;1,"CPF + dia duplicado",IF(OR(AND(E2668&lt;&gt;"",E2668&lt;B2668),AND(F2668&lt;&gt;"",F2668&lt;B2668)),"Evento anterior à entrada",IF(AND(F2668&lt;&gt;"",E2668=""),"Conversa sem agendamento",IF(OR(E2668&gt;TODAY(),F2668&gt;TODAY()),"Verificar evento futuro","OK"))))))</f>
        <v/>
      </c>
    </row>
    <row r="2669" spans="9:12">
      <c r="I2669" s="5">
        <f>IF(OR(A2669="",B2669=""),"",B2669-WEEKDAY(B2669,2)+1)</f>
        <v/>
      </c>
      <c r="J2669" s="5">
        <f>IF(I2669="","",I2669+6)</f>
        <v/>
      </c>
      <c r="K2669" s="6">
        <f>IF(OR(A2669="",B2669=""),"",DATE(YEAR(B2669),MONTH(B2669),1))</f>
        <v/>
      </c>
      <c r="L2669" s="7">
        <f>IF(COUNTA(A2669,B2669)=0,"",IF(OR(A2669="",B2669=""),"Preencher CPF e entrada",IF(COUNTIFS($A$12:$A$5011,A2669,$B$12:$B$5011,B2669)&gt;1,"CPF + dia duplicado",IF(OR(AND(E2669&lt;&gt;"",E2669&lt;B2669),AND(F2669&lt;&gt;"",F2669&lt;B2669)),"Evento anterior à entrada",IF(AND(F2669&lt;&gt;"",E2669=""),"Conversa sem agendamento",IF(OR(E2669&gt;TODAY(),F2669&gt;TODAY()),"Verificar evento futuro","OK"))))))</f>
        <v/>
      </c>
    </row>
    <row r="2670" spans="9:12">
      <c r="I2670" s="5">
        <f>IF(OR(A2670="",B2670=""),"",B2670-WEEKDAY(B2670,2)+1)</f>
        <v/>
      </c>
      <c r="J2670" s="5">
        <f>IF(I2670="","",I2670+6)</f>
        <v/>
      </c>
      <c r="K2670" s="6">
        <f>IF(OR(A2670="",B2670=""),"",DATE(YEAR(B2670),MONTH(B2670),1))</f>
        <v/>
      </c>
      <c r="L2670" s="7">
        <f>IF(COUNTA(A2670,B2670)=0,"",IF(OR(A2670="",B2670=""),"Preencher CPF e entrada",IF(COUNTIFS($A$12:$A$5011,A2670,$B$12:$B$5011,B2670)&gt;1,"CPF + dia duplicado",IF(OR(AND(E2670&lt;&gt;"",E2670&lt;B2670),AND(F2670&lt;&gt;"",F2670&lt;B2670)),"Evento anterior à entrada",IF(AND(F2670&lt;&gt;"",E2670=""),"Conversa sem agendamento",IF(OR(E2670&gt;TODAY(),F2670&gt;TODAY()),"Verificar evento futuro","OK"))))))</f>
        <v/>
      </c>
    </row>
    <row r="2671" spans="9:12">
      <c r="I2671" s="5">
        <f>IF(OR(A2671="",B2671=""),"",B2671-WEEKDAY(B2671,2)+1)</f>
        <v/>
      </c>
      <c r="J2671" s="5">
        <f>IF(I2671="","",I2671+6)</f>
        <v/>
      </c>
      <c r="K2671" s="6">
        <f>IF(OR(A2671="",B2671=""),"",DATE(YEAR(B2671),MONTH(B2671),1))</f>
        <v/>
      </c>
      <c r="L2671" s="7">
        <f>IF(COUNTA(A2671,B2671)=0,"",IF(OR(A2671="",B2671=""),"Preencher CPF e entrada",IF(COUNTIFS($A$12:$A$5011,A2671,$B$12:$B$5011,B2671)&gt;1,"CPF + dia duplicado",IF(OR(AND(E2671&lt;&gt;"",E2671&lt;B2671),AND(F2671&lt;&gt;"",F2671&lt;B2671)),"Evento anterior à entrada",IF(AND(F2671&lt;&gt;"",E2671=""),"Conversa sem agendamento",IF(OR(E2671&gt;TODAY(),F2671&gt;TODAY()),"Verificar evento futuro","OK"))))))</f>
        <v/>
      </c>
    </row>
    <row r="2672" spans="9:12">
      <c r="I2672" s="5">
        <f>IF(OR(A2672="",B2672=""),"",B2672-WEEKDAY(B2672,2)+1)</f>
        <v/>
      </c>
      <c r="J2672" s="5">
        <f>IF(I2672="","",I2672+6)</f>
        <v/>
      </c>
      <c r="K2672" s="6">
        <f>IF(OR(A2672="",B2672=""),"",DATE(YEAR(B2672),MONTH(B2672),1))</f>
        <v/>
      </c>
      <c r="L2672" s="7">
        <f>IF(COUNTA(A2672,B2672)=0,"",IF(OR(A2672="",B2672=""),"Preencher CPF e entrada",IF(COUNTIFS($A$12:$A$5011,A2672,$B$12:$B$5011,B2672)&gt;1,"CPF + dia duplicado",IF(OR(AND(E2672&lt;&gt;"",E2672&lt;B2672),AND(F2672&lt;&gt;"",F2672&lt;B2672)),"Evento anterior à entrada",IF(AND(F2672&lt;&gt;"",E2672=""),"Conversa sem agendamento",IF(OR(E2672&gt;TODAY(),F2672&gt;TODAY()),"Verificar evento futuro","OK"))))))</f>
        <v/>
      </c>
    </row>
    <row r="2673" spans="9:12">
      <c r="I2673" s="5">
        <f>IF(OR(A2673="",B2673=""),"",B2673-WEEKDAY(B2673,2)+1)</f>
        <v/>
      </c>
      <c r="J2673" s="5">
        <f>IF(I2673="","",I2673+6)</f>
        <v/>
      </c>
      <c r="K2673" s="6">
        <f>IF(OR(A2673="",B2673=""),"",DATE(YEAR(B2673),MONTH(B2673),1))</f>
        <v/>
      </c>
      <c r="L2673" s="7">
        <f>IF(COUNTA(A2673,B2673)=0,"",IF(OR(A2673="",B2673=""),"Preencher CPF e entrada",IF(COUNTIFS($A$12:$A$5011,A2673,$B$12:$B$5011,B2673)&gt;1,"CPF + dia duplicado",IF(OR(AND(E2673&lt;&gt;"",E2673&lt;B2673),AND(F2673&lt;&gt;"",F2673&lt;B2673)),"Evento anterior à entrada",IF(AND(F2673&lt;&gt;"",E2673=""),"Conversa sem agendamento",IF(OR(E2673&gt;TODAY(),F2673&gt;TODAY()),"Verificar evento futuro","OK"))))))</f>
        <v/>
      </c>
    </row>
    <row r="2674" spans="9:12">
      <c r="I2674" s="5">
        <f>IF(OR(A2674="",B2674=""),"",B2674-WEEKDAY(B2674,2)+1)</f>
        <v/>
      </c>
      <c r="J2674" s="5">
        <f>IF(I2674="","",I2674+6)</f>
        <v/>
      </c>
      <c r="K2674" s="6">
        <f>IF(OR(A2674="",B2674=""),"",DATE(YEAR(B2674),MONTH(B2674),1))</f>
        <v/>
      </c>
      <c r="L2674" s="7">
        <f>IF(COUNTA(A2674,B2674)=0,"",IF(OR(A2674="",B2674=""),"Preencher CPF e entrada",IF(COUNTIFS($A$12:$A$5011,A2674,$B$12:$B$5011,B2674)&gt;1,"CPF + dia duplicado",IF(OR(AND(E2674&lt;&gt;"",E2674&lt;B2674),AND(F2674&lt;&gt;"",F2674&lt;B2674)),"Evento anterior à entrada",IF(AND(F2674&lt;&gt;"",E2674=""),"Conversa sem agendamento",IF(OR(E2674&gt;TODAY(),F2674&gt;TODAY()),"Verificar evento futuro","OK"))))))</f>
        <v/>
      </c>
    </row>
    <row r="2675" spans="9:12">
      <c r="I2675" s="5">
        <f>IF(OR(A2675="",B2675=""),"",B2675-WEEKDAY(B2675,2)+1)</f>
        <v/>
      </c>
      <c r="J2675" s="5">
        <f>IF(I2675="","",I2675+6)</f>
        <v/>
      </c>
      <c r="K2675" s="6">
        <f>IF(OR(A2675="",B2675=""),"",DATE(YEAR(B2675),MONTH(B2675),1))</f>
        <v/>
      </c>
      <c r="L2675" s="7">
        <f>IF(COUNTA(A2675,B2675)=0,"",IF(OR(A2675="",B2675=""),"Preencher CPF e entrada",IF(COUNTIFS($A$12:$A$5011,A2675,$B$12:$B$5011,B2675)&gt;1,"CPF + dia duplicado",IF(OR(AND(E2675&lt;&gt;"",E2675&lt;B2675),AND(F2675&lt;&gt;"",F2675&lt;B2675)),"Evento anterior à entrada",IF(AND(F2675&lt;&gt;"",E2675=""),"Conversa sem agendamento",IF(OR(E2675&gt;TODAY(),F2675&gt;TODAY()),"Verificar evento futuro","OK"))))))</f>
        <v/>
      </c>
    </row>
    <row r="2676" spans="9:12">
      <c r="I2676" s="5">
        <f>IF(OR(A2676="",B2676=""),"",B2676-WEEKDAY(B2676,2)+1)</f>
        <v/>
      </c>
      <c r="J2676" s="5">
        <f>IF(I2676="","",I2676+6)</f>
        <v/>
      </c>
      <c r="K2676" s="6">
        <f>IF(OR(A2676="",B2676=""),"",DATE(YEAR(B2676),MONTH(B2676),1))</f>
        <v/>
      </c>
      <c r="L2676" s="7">
        <f>IF(COUNTA(A2676,B2676)=0,"",IF(OR(A2676="",B2676=""),"Preencher CPF e entrada",IF(COUNTIFS($A$12:$A$5011,A2676,$B$12:$B$5011,B2676)&gt;1,"CPF + dia duplicado",IF(OR(AND(E2676&lt;&gt;"",E2676&lt;B2676),AND(F2676&lt;&gt;"",F2676&lt;B2676)),"Evento anterior à entrada",IF(AND(F2676&lt;&gt;"",E2676=""),"Conversa sem agendamento",IF(OR(E2676&gt;TODAY(),F2676&gt;TODAY()),"Verificar evento futuro","OK"))))))</f>
        <v/>
      </c>
    </row>
    <row r="2677" spans="9:12">
      <c r="I2677" s="5">
        <f>IF(OR(A2677="",B2677=""),"",B2677-WEEKDAY(B2677,2)+1)</f>
        <v/>
      </c>
      <c r="J2677" s="5">
        <f>IF(I2677="","",I2677+6)</f>
        <v/>
      </c>
      <c r="K2677" s="6">
        <f>IF(OR(A2677="",B2677=""),"",DATE(YEAR(B2677),MONTH(B2677),1))</f>
        <v/>
      </c>
      <c r="L2677" s="7">
        <f>IF(COUNTA(A2677,B2677)=0,"",IF(OR(A2677="",B2677=""),"Preencher CPF e entrada",IF(COUNTIFS($A$12:$A$5011,A2677,$B$12:$B$5011,B2677)&gt;1,"CPF + dia duplicado",IF(OR(AND(E2677&lt;&gt;"",E2677&lt;B2677),AND(F2677&lt;&gt;"",F2677&lt;B2677)),"Evento anterior à entrada",IF(AND(F2677&lt;&gt;"",E2677=""),"Conversa sem agendamento",IF(OR(E2677&gt;TODAY(),F2677&gt;TODAY()),"Verificar evento futuro","OK"))))))</f>
        <v/>
      </c>
    </row>
    <row r="2678" spans="9:12">
      <c r="I2678" s="5">
        <f>IF(OR(A2678="",B2678=""),"",B2678-WEEKDAY(B2678,2)+1)</f>
        <v/>
      </c>
      <c r="J2678" s="5">
        <f>IF(I2678="","",I2678+6)</f>
        <v/>
      </c>
      <c r="K2678" s="6">
        <f>IF(OR(A2678="",B2678=""),"",DATE(YEAR(B2678),MONTH(B2678),1))</f>
        <v/>
      </c>
      <c r="L2678" s="7">
        <f>IF(COUNTA(A2678,B2678)=0,"",IF(OR(A2678="",B2678=""),"Preencher CPF e entrada",IF(COUNTIFS($A$12:$A$5011,A2678,$B$12:$B$5011,B2678)&gt;1,"CPF + dia duplicado",IF(OR(AND(E2678&lt;&gt;"",E2678&lt;B2678),AND(F2678&lt;&gt;"",F2678&lt;B2678)),"Evento anterior à entrada",IF(AND(F2678&lt;&gt;"",E2678=""),"Conversa sem agendamento",IF(OR(E2678&gt;TODAY(),F2678&gt;TODAY()),"Verificar evento futuro","OK"))))))</f>
        <v/>
      </c>
    </row>
    <row r="2679" spans="9:12">
      <c r="I2679" s="5">
        <f>IF(OR(A2679="",B2679=""),"",B2679-WEEKDAY(B2679,2)+1)</f>
        <v/>
      </c>
      <c r="J2679" s="5">
        <f>IF(I2679="","",I2679+6)</f>
        <v/>
      </c>
      <c r="K2679" s="6">
        <f>IF(OR(A2679="",B2679=""),"",DATE(YEAR(B2679),MONTH(B2679),1))</f>
        <v/>
      </c>
      <c r="L2679" s="7">
        <f>IF(COUNTA(A2679,B2679)=0,"",IF(OR(A2679="",B2679=""),"Preencher CPF e entrada",IF(COUNTIFS($A$12:$A$5011,A2679,$B$12:$B$5011,B2679)&gt;1,"CPF + dia duplicado",IF(OR(AND(E2679&lt;&gt;"",E2679&lt;B2679),AND(F2679&lt;&gt;"",F2679&lt;B2679)),"Evento anterior à entrada",IF(AND(F2679&lt;&gt;"",E2679=""),"Conversa sem agendamento",IF(OR(E2679&gt;TODAY(),F2679&gt;TODAY()),"Verificar evento futuro","OK"))))))</f>
        <v/>
      </c>
    </row>
    <row r="2680" spans="9:12">
      <c r="I2680" s="5">
        <f>IF(OR(A2680="",B2680=""),"",B2680-WEEKDAY(B2680,2)+1)</f>
        <v/>
      </c>
      <c r="J2680" s="5">
        <f>IF(I2680="","",I2680+6)</f>
        <v/>
      </c>
      <c r="K2680" s="6">
        <f>IF(OR(A2680="",B2680=""),"",DATE(YEAR(B2680),MONTH(B2680),1))</f>
        <v/>
      </c>
      <c r="L2680" s="7">
        <f>IF(COUNTA(A2680,B2680)=0,"",IF(OR(A2680="",B2680=""),"Preencher CPF e entrada",IF(COUNTIFS($A$12:$A$5011,A2680,$B$12:$B$5011,B2680)&gt;1,"CPF + dia duplicado",IF(OR(AND(E2680&lt;&gt;"",E2680&lt;B2680),AND(F2680&lt;&gt;"",F2680&lt;B2680)),"Evento anterior à entrada",IF(AND(F2680&lt;&gt;"",E2680=""),"Conversa sem agendamento",IF(OR(E2680&gt;TODAY(),F2680&gt;TODAY()),"Verificar evento futuro","OK"))))))</f>
        <v/>
      </c>
    </row>
    <row r="2681" spans="9:12">
      <c r="I2681" s="5">
        <f>IF(OR(A2681="",B2681=""),"",B2681-WEEKDAY(B2681,2)+1)</f>
        <v/>
      </c>
      <c r="J2681" s="5">
        <f>IF(I2681="","",I2681+6)</f>
        <v/>
      </c>
      <c r="K2681" s="6">
        <f>IF(OR(A2681="",B2681=""),"",DATE(YEAR(B2681),MONTH(B2681),1))</f>
        <v/>
      </c>
      <c r="L2681" s="7">
        <f>IF(COUNTA(A2681,B2681)=0,"",IF(OR(A2681="",B2681=""),"Preencher CPF e entrada",IF(COUNTIFS($A$12:$A$5011,A2681,$B$12:$B$5011,B2681)&gt;1,"CPF + dia duplicado",IF(OR(AND(E2681&lt;&gt;"",E2681&lt;B2681),AND(F2681&lt;&gt;"",F2681&lt;B2681)),"Evento anterior à entrada",IF(AND(F2681&lt;&gt;"",E2681=""),"Conversa sem agendamento",IF(OR(E2681&gt;TODAY(),F2681&gt;TODAY()),"Verificar evento futuro","OK"))))))</f>
        <v/>
      </c>
    </row>
    <row r="2682" spans="9:12">
      <c r="I2682" s="5">
        <f>IF(OR(A2682="",B2682=""),"",B2682-WEEKDAY(B2682,2)+1)</f>
        <v/>
      </c>
      <c r="J2682" s="5">
        <f>IF(I2682="","",I2682+6)</f>
        <v/>
      </c>
      <c r="K2682" s="6">
        <f>IF(OR(A2682="",B2682=""),"",DATE(YEAR(B2682),MONTH(B2682),1))</f>
        <v/>
      </c>
      <c r="L2682" s="7">
        <f>IF(COUNTA(A2682,B2682)=0,"",IF(OR(A2682="",B2682=""),"Preencher CPF e entrada",IF(COUNTIFS($A$12:$A$5011,A2682,$B$12:$B$5011,B2682)&gt;1,"CPF + dia duplicado",IF(OR(AND(E2682&lt;&gt;"",E2682&lt;B2682),AND(F2682&lt;&gt;"",F2682&lt;B2682)),"Evento anterior à entrada",IF(AND(F2682&lt;&gt;"",E2682=""),"Conversa sem agendamento",IF(OR(E2682&gt;TODAY(),F2682&gt;TODAY()),"Verificar evento futuro","OK"))))))</f>
        <v/>
      </c>
    </row>
    <row r="2683" spans="9:12">
      <c r="I2683" s="5">
        <f>IF(OR(A2683="",B2683=""),"",B2683-WEEKDAY(B2683,2)+1)</f>
        <v/>
      </c>
      <c r="J2683" s="5">
        <f>IF(I2683="","",I2683+6)</f>
        <v/>
      </c>
      <c r="K2683" s="6">
        <f>IF(OR(A2683="",B2683=""),"",DATE(YEAR(B2683),MONTH(B2683),1))</f>
        <v/>
      </c>
      <c r="L2683" s="7">
        <f>IF(COUNTA(A2683,B2683)=0,"",IF(OR(A2683="",B2683=""),"Preencher CPF e entrada",IF(COUNTIFS($A$12:$A$5011,A2683,$B$12:$B$5011,B2683)&gt;1,"CPF + dia duplicado",IF(OR(AND(E2683&lt;&gt;"",E2683&lt;B2683),AND(F2683&lt;&gt;"",F2683&lt;B2683)),"Evento anterior à entrada",IF(AND(F2683&lt;&gt;"",E2683=""),"Conversa sem agendamento",IF(OR(E2683&gt;TODAY(),F2683&gt;TODAY()),"Verificar evento futuro","OK"))))))</f>
        <v/>
      </c>
    </row>
    <row r="2684" spans="9:12">
      <c r="I2684" s="5">
        <f>IF(OR(A2684="",B2684=""),"",B2684-WEEKDAY(B2684,2)+1)</f>
        <v/>
      </c>
      <c r="J2684" s="5">
        <f>IF(I2684="","",I2684+6)</f>
        <v/>
      </c>
      <c r="K2684" s="6">
        <f>IF(OR(A2684="",B2684=""),"",DATE(YEAR(B2684),MONTH(B2684),1))</f>
        <v/>
      </c>
      <c r="L2684" s="7">
        <f>IF(COUNTA(A2684,B2684)=0,"",IF(OR(A2684="",B2684=""),"Preencher CPF e entrada",IF(COUNTIFS($A$12:$A$5011,A2684,$B$12:$B$5011,B2684)&gt;1,"CPF + dia duplicado",IF(OR(AND(E2684&lt;&gt;"",E2684&lt;B2684),AND(F2684&lt;&gt;"",F2684&lt;B2684)),"Evento anterior à entrada",IF(AND(F2684&lt;&gt;"",E2684=""),"Conversa sem agendamento",IF(OR(E2684&gt;TODAY(),F2684&gt;TODAY()),"Verificar evento futuro","OK"))))))</f>
        <v/>
      </c>
    </row>
    <row r="2685" spans="9:12">
      <c r="I2685" s="5">
        <f>IF(OR(A2685="",B2685=""),"",B2685-WEEKDAY(B2685,2)+1)</f>
        <v/>
      </c>
      <c r="J2685" s="5">
        <f>IF(I2685="","",I2685+6)</f>
        <v/>
      </c>
      <c r="K2685" s="6">
        <f>IF(OR(A2685="",B2685=""),"",DATE(YEAR(B2685),MONTH(B2685),1))</f>
        <v/>
      </c>
      <c r="L2685" s="7">
        <f>IF(COUNTA(A2685,B2685)=0,"",IF(OR(A2685="",B2685=""),"Preencher CPF e entrada",IF(COUNTIFS($A$12:$A$5011,A2685,$B$12:$B$5011,B2685)&gt;1,"CPF + dia duplicado",IF(OR(AND(E2685&lt;&gt;"",E2685&lt;B2685),AND(F2685&lt;&gt;"",F2685&lt;B2685)),"Evento anterior à entrada",IF(AND(F2685&lt;&gt;"",E2685=""),"Conversa sem agendamento",IF(OR(E2685&gt;TODAY(),F2685&gt;TODAY()),"Verificar evento futuro","OK"))))))</f>
        <v/>
      </c>
    </row>
    <row r="2686" spans="9:12">
      <c r="I2686" s="5">
        <f>IF(OR(A2686="",B2686=""),"",B2686-WEEKDAY(B2686,2)+1)</f>
        <v/>
      </c>
      <c r="J2686" s="5">
        <f>IF(I2686="","",I2686+6)</f>
        <v/>
      </c>
      <c r="K2686" s="6">
        <f>IF(OR(A2686="",B2686=""),"",DATE(YEAR(B2686),MONTH(B2686),1))</f>
        <v/>
      </c>
      <c r="L2686" s="7">
        <f>IF(COUNTA(A2686,B2686)=0,"",IF(OR(A2686="",B2686=""),"Preencher CPF e entrada",IF(COUNTIFS($A$12:$A$5011,A2686,$B$12:$B$5011,B2686)&gt;1,"CPF + dia duplicado",IF(OR(AND(E2686&lt;&gt;"",E2686&lt;B2686),AND(F2686&lt;&gt;"",F2686&lt;B2686)),"Evento anterior à entrada",IF(AND(F2686&lt;&gt;"",E2686=""),"Conversa sem agendamento",IF(OR(E2686&gt;TODAY(),F2686&gt;TODAY()),"Verificar evento futuro","OK"))))))</f>
        <v/>
      </c>
    </row>
    <row r="2687" spans="9:12">
      <c r="I2687" s="5">
        <f>IF(OR(A2687="",B2687=""),"",B2687-WEEKDAY(B2687,2)+1)</f>
        <v/>
      </c>
      <c r="J2687" s="5">
        <f>IF(I2687="","",I2687+6)</f>
        <v/>
      </c>
      <c r="K2687" s="6">
        <f>IF(OR(A2687="",B2687=""),"",DATE(YEAR(B2687),MONTH(B2687),1))</f>
        <v/>
      </c>
      <c r="L2687" s="7">
        <f>IF(COUNTA(A2687,B2687)=0,"",IF(OR(A2687="",B2687=""),"Preencher CPF e entrada",IF(COUNTIFS($A$12:$A$5011,A2687,$B$12:$B$5011,B2687)&gt;1,"CPF + dia duplicado",IF(OR(AND(E2687&lt;&gt;"",E2687&lt;B2687),AND(F2687&lt;&gt;"",F2687&lt;B2687)),"Evento anterior à entrada",IF(AND(F2687&lt;&gt;"",E2687=""),"Conversa sem agendamento",IF(OR(E2687&gt;TODAY(),F2687&gt;TODAY()),"Verificar evento futuro","OK"))))))</f>
        <v/>
      </c>
    </row>
    <row r="2688" spans="9:12">
      <c r="I2688" s="5">
        <f>IF(OR(A2688="",B2688=""),"",B2688-WEEKDAY(B2688,2)+1)</f>
        <v/>
      </c>
      <c r="J2688" s="5">
        <f>IF(I2688="","",I2688+6)</f>
        <v/>
      </c>
      <c r="K2688" s="6">
        <f>IF(OR(A2688="",B2688=""),"",DATE(YEAR(B2688),MONTH(B2688),1))</f>
        <v/>
      </c>
      <c r="L2688" s="7">
        <f>IF(COUNTA(A2688,B2688)=0,"",IF(OR(A2688="",B2688=""),"Preencher CPF e entrada",IF(COUNTIFS($A$12:$A$5011,A2688,$B$12:$B$5011,B2688)&gt;1,"CPF + dia duplicado",IF(OR(AND(E2688&lt;&gt;"",E2688&lt;B2688),AND(F2688&lt;&gt;"",F2688&lt;B2688)),"Evento anterior à entrada",IF(AND(F2688&lt;&gt;"",E2688=""),"Conversa sem agendamento",IF(OR(E2688&gt;TODAY(),F2688&gt;TODAY()),"Verificar evento futuro","OK"))))))</f>
        <v/>
      </c>
    </row>
    <row r="2689" spans="9:12">
      <c r="I2689" s="5">
        <f>IF(OR(A2689="",B2689=""),"",B2689-WEEKDAY(B2689,2)+1)</f>
        <v/>
      </c>
      <c r="J2689" s="5">
        <f>IF(I2689="","",I2689+6)</f>
        <v/>
      </c>
      <c r="K2689" s="6">
        <f>IF(OR(A2689="",B2689=""),"",DATE(YEAR(B2689),MONTH(B2689),1))</f>
        <v/>
      </c>
      <c r="L2689" s="7">
        <f>IF(COUNTA(A2689,B2689)=0,"",IF(OR(A2689="",B2689=""),"Preencher CPF e entrada",IF(COUNTIFS($A$12:$A$5011,A2689,$B$12:$B$5011,B2689)&gt;1,"CPF + dia duplicado",IF(OR(AND(E2689&lt;&gt;"",E2689&lt;B2689),AND(F2689&lt;&gt;"",F2689&lt;B2689)),"Evento anterior à entrada",IF(AND(F2689&lt;&gt;"",E2689=""),"Conversa sem agendamento",IF(OR(E2689&gt;TODAY(),F2689&gt;TODAY()),"Verificar evento futuro","OK"))))))</f>
        <v/>
      </c>
    </row>
    <row r="2690" spans="9:12">
      <c r="I2690" s="5">
        <f>IF(OR(A2690="",B2690=""),"",B2690-WEEKDAY(B2690,2)+1)</f>
        <v/>
      </c>
      <c r="J2690" s="5">
        <f>IF(I2690="","",I2690+6)</f>
        <v/>
      </c>
      <c r="K2690" s="6">
        <f>IF(OR(A2690="",B2690=""),"",DATE(YEAR(B2690),MONTH(B2690),1))</f>
        <v/>
      </c>
      <c r="L2690" s="7">
        <f>IF(COUNTA(A2690,B2690)=0,"",IF(OR(A2690="",B2690=""),"Preencher CPF e entrada",IF(COUNTIFS($A$12:$A$5011,A2690,$B$12:$B$5011,B2690)&gt;1,"CPF + dia duplicado",IF(OR(AND(E2690&lt;&gt;"",E2690&lt;B2690),AND(F2690&lt;&gt;"",F2690&lt;B2690)),"Evento anterior à entrada",IF(AND(F2690&lt;&gt;"",E2690=""),"Conversa sem agendamento",IF(OR(E2690&gt;TODAY(),F2690&gt;TODAY()),"Verificar evento futuro","OK"))))))</f>
        <v/>
      </c>
    </row>
    <row r="2691" spans="9:12">
      <c r="I2691" s="5">
        <f>IF(OR(A2691="",B2691=""),"",B2691-WEEKDAY(B2691,2)+1)</f>
        <v/>
      </c>
      <c r="J2691" s="5">
        <f>IF(I2691="","",I2691+6)</f>
        <v/>
      </c>
      <c r="K2691" s="6">
        <f>IF(OR(A2691="",B2691=""),"",DATE(YEAR(B2691),MONTH(B2691),1))</f>
        <v/>
      </c>
      <c r="L2691" s="7">
        <f>IF(COUNTA(A2691,B2691)=0,"",IF(OR(A2691="",B2691=""),"Preencher CPF e entrada",IF(COUNTIFS($A$12:$A$5011,A2691,$B$12:$B$5011,B2691)&gt;1,"CPF + dia duplicado",IF(OR(AND(E2691&lt;&gt;"",E2691&lt;B2691),AND(F2691&lt;&gt;"",F2691&lt;B2691)),"Evento anterior à entrada",IF(AND(F2691&lt;&gt;"",E2691=""),"Conversa sem agendamento",IF(OR(E2691&gt;TODAY(),F2691&gt;TODAY()),"Verificar evento futuro","OK"))))))</f>
        <v/>
      </c>
    </row>
    <row r="2692" spans="9:12">
      <c r="I2692" s="5">
        <f>IF(OR(A2692="",B2692=""),"",B2692-WEEKDAY(B2692,2)+1)</f>
        <v/>
      </c>
      <c r="J2692" s="5">
        <f>IF(I2692="","",I2692+6)</f>
        <v/>
      </c>
      <c r="K2692" s="6">
        <f>IF(OR(A2692="",B2692=""),"",DATE(YEAR(B2692),MONTH(B2692),1))</f>
        <v/>
      </c>
      <c r="L2692" s="7">
        <f>IF(COUNTA(A2692,B2692)=0,"",IF(OR(A2692="",B2692=""),"Preencher CPF e entrada",IF(COUNTIFS($A$12:$A$5011,A2692,$B$12:$B$5011,B2692)&gt;1,"CPF + dia duplicado",IF(OR(AND(E2692&lt;&gt;"",E2692&lt;B2692),AND(F2692&lt;&gt;"",F2692&lt;B2692)),"Evento anterior à entrada",IF(AND(F2692&lt;&gt;"",E2692=""),"Conversa sem agendamento",IF(OR(E2692&gt;TODAY(),F2692&gt;TODAY()),"Verificar evento futuro","OK"))))))</f>
        <v/>
      </c>
    </row>
    <row r="2693" spans="9:12">
      <c r="I2693" s="5">
        <f>IF(OR(A2693="",B2693=""),"",B2693-WEEKDAY(B2693,2)+1)</f>
        <v/>
      </c>
      <c r="J2693" s="5">
        <f>IF(I2693="","",I2693+6)</f>
        <v/>
      </c>
      <c r="K2693" s="6">
        <f>IF(OR(A2693="",B2693=""),"",DATE(YEAR(B2693),MONTH(B2693),1))</f>
        <v/>
      </c>
      <c r="L2693" s="7">
        <f>IF(COUNTA(A2693,B2693)=0,"",IF(OR(A2693="",B2693=""),"Preencher CPF e entrada",IF(COUNTIFS($A$12:$A$5011,A2693,$B$12:$B$5011,B2693)&gt;1,"CPF + dia duplicado",IF(OR(AND(E2693&lt;&gt;"",E2693&lt;B2693),AND(F2693&lt;&gt;"",F2693&lt;B2693)),"Evento anterior à entrada",IF(AND(F2693&lt;&gt;"",E2693=""),"Conversa sem agendamento",IF(OR(E2693&gt;TODAY(),F2693&gt;TODAY()),"Verificar evento futuro","OK"))))))</f>
        <v/>
      </c>
    </row>
    <row r="2694" spans="9:12">
      <c r="I2694" s="5">
        <f>IF(OR(A2694="",B2694=""),"",B2694-WEEKDAY(B2694,2)+1)</f>
        <v/>
      </c>
      <c r="J2694" s="5">
        <f>IF(I2694="","",I2694+6)</f>
        <v/>
      </c>
      <c r="K2694" s="6">
        <f>IF(OR(A2694="",B2694=""),"",DATE(YEAR(B2694),MONTH(B2694),1))</f>
        <v/>
      </c>
      <c r="L2694" s="7">
        <f>IF(COUNTA(A2694,B2694)=0,"",IF(OR(A2694="",B2694=""),"Preencher CPF e entrada",IF(COUNTIFS($A$12:$A$5011,A2694,$B$12:$B$5011,B2694)&gt;1,"CPF + dia duplicado",IF(OR(AND(E2694&lt;&gt;"",E2694&lt;B2694),AND(F2694&lt;&gt;"",F2694&lt;B2694)),"Evento anterior à entrada",IF(AND(F2694&lt;&gt;"",E2694=""),"Conversa sem agendamento",IF(OR(E2694&gt;TODAY(),F2694&gt;TODAY()),"Verificar evento futuro","OK"))))))</f>
        <v/>
      </c>
    </row>
    <row r="2695" spans="9:12">
      <c r="I2695" s="5">
        <f>IF(OR(A2695="",B2695=""),"",B2695-WEEKDAY(B2695,2)+1)</f>
        <v/>
      </c>
      <c r="J2695" s="5">
        <f>IF(I2695="","",I2695+6)</f>
        <v/>
      </c>
      <c r="K2695" s="6">
        <f>IF(OR(A2695="",B2695=""),"",DATE(YEAR(B2695),MONTH(B2695),1))</f>
        <v/>
      </c>
      <c r="L2695" s="7">
        <f>IF(COUNTA(A2695,B2695)=0,"",IF(OR(A2695="",B2695=""),"Preencher CPF e entrada",IF(COUNTIFS($A$12:$A$5011,A2695,$B$12:$B$5011,B2695)&gt;1,"CPF + dia duplicado",IF(OR(AND(E2695&lt;&gt;"",E2695&lt;B2695),AND(F2695&lt;&gt;"",F2695&lt;B2695)),"Evento anterior à entrada",IF(AND(F2695&lt;&gt;"",E2695=""),"Conversa sem agendamento",IF(OR(E2695&gt;TODAY(),F2695&gt;TODAY()),"Verificar evento futuro","OK"))))))</f>
        <v/>
      </c>
    </row>
    <row r="2696" spans="9:12">
      <c r="I2696" s="5">
        <f>IF(OR(A2696="",B2696=""),"",B2696-WEEKDAY(B2696,2)+1)</f>
        <v/>
      </c>
      <c r="J2696" s="5">
        <f>IF(I2696="","",I2696+6)</f>
        <v/>
      </c>
      <c r="K2696" s="6">
        <f>IF(OR(A2696="",B2696=""),"",DATE(YEAR(B2696),MONTH(B2696),1))</f>
        <v/>
      </c>
      <c r="L2696" s="7">
        <f>IF(COUNTA(A2696,B2696)=0,"",IF(OR(A2696="",B2696=""),"Preencher CPF e entrada",IF(COUNTIFS($A$12:$A$5011,A2696,$B$12:$B$5011,B2696)&gt;1,"CPF + dia duplicado",IF(OR(AND(E2696&lt;&gt;"",E2696&lt;B2696),AND(F2696&lt;&gt;"",F2696&lt;B2696)),"Evento anterior à entrada",IF(AND(F2696&lt;&gt;"",E2696=""),"Conversa sem agendamento",IF(OR(E2696&gt;TODAY(),F2696&gt;TODAY()),"Verificar evento futuro","OK"))))))</f>
        <v/>
      </c>
    </row>
    <row r="2697" spans="9:12">
      <c r="I2697" s="5">
        <f>IF(OR(A2697="",B2697=""),"",B2697-WEEKDAY(B2697,2)+1)</f>
        <v/>
      </c>
      <c r="J2697" s="5">
        <f>IF(I2697="","",I2697+6)</f>
        <v/>
      </c>
      <c r="K2697" s="6">
        <f>IF(OR(A2697="",B2697=""),"",DATE(YEAR(B2697),MONTH(B2697),1))</f>
        <v/>
      </c>
      <c r="L2697" s="7">
        <f>IF(COUNTA(A2697,B2697)=0,"",IF(OR(A2697="",B2697=""),"Preencher CPF e entrada",IF(COUNTIFS($A$12:$A$5011,A2697,$B$12:$B$5011,B2697)&gt;1,"CPF + dia duplicado",IF(OR(AND(E2697&lt;&gt;"",E2697&lt;B2697),AND(F2697&lt;&gt;"",F2697&lt;B2697)),"Evento anterior à entrada",IF(AND(F2697&lt;&gt;"",E2697=""),"Conversa sem agendamento",IF(OR(E2697&gt;TODAY(),F2697&gt;TODAY()),"Verificar evento futuro","OK"))))))</f>
        <v/>
      </c>
    </row>
    <row r="2698" spans="9:12">
      <c r="I2698" s="5">
        <f>IF(OR(A2698="",B2698=""),"",B2698-WEEKDAY(B2698,2)+1)</f>
        <v/>
      </c>
      <c r="J2698" s="5">
        <f>IF(I2698="","",I2698+6)</f>
        <v/>
      </c>
      <c r="K2698" s="6">
        <f>IF(OR(A2698="",B2698=""),"",DATE(YEAR(B2698),MONTH(B2698),1))</f>
        <v/>
      </c>
      <c r="L2698" s="7">
        <f>IF(COUNTA(A2698,B2698)=0,"",IF(OR(A2698="",B2698=""),"Preencher CPF e entrada",IF(COUNTIFS($A$12:$A$5011,A2698,$B$12:$B$5011,B2698)&gt;1,"CPF + dia duplicado",IF(OR(AND(E2698&lt;&gt;"",E2698&lt;B2698),AND(F2698&lt;&gt;"",F2698&lt;B2698)),"Evento anterior à entrada",IF(AND(F2698&lt;&gt;"",E2698=""),"Conversa sem agendamento",IF(OR(E2698&gt;TODAY(),F2698&gt;TODAY()),"Verificar evento futuro","OK"))))))</f>
        <v/>
      </c>
    </row>
    <row r="2699" spans="9:12">
      <c r="I2699" s="5">
        <f>IF(OR(A2699="",B2699=""),"",B2699-WEEKDAY(B2699,2)+1)</f>
        <v/>
      </c>
      <c r="J2699" s="5">
        <f>IF(I2699="","",I2699+6)</f>
        <v/>
      </c>
      <c r="K2699" s="6">
        <f>IF(OR(A2699="",B2699=""),"",DATE(YEAR(B2699),MONTH(B2699),1))</f>
        <v/>
      </c>
      <c r="L2699" s="7">
        <f>IF(COUNTA(A2699,B2699)=0,"",IF(OR(A2699="",B2699=""),"Preencher CPF e entrada",IF(COUNTIFS($A$12:$A$5011,A2699,$B$12:$B$5011,B2699)&gt;1,"CPF + dia duplicado",IF(OR(AND(E2699&lt;&gt;"",E2699&lt;B2699),AND(F2699&lt;&gt;"",F2699&lt;B2699)),"Evento anterior à entrada",IF(AND(F2699&lt;&gt;"",E2699=""),"Conversa sem agendamento",IF(OR(E2699&gt;TODAY(),F2699&gt;TODAY()),"Verificar evento futuro","OK"))))))</f>
        <v/>
      </c>
    </row>
    <row r="2700" spans="9:12">
      <c r="I2700" s="5">
        <f>IF(OR(A2700="",B2700=""),"",B2700-WEEKDAY(B2700,2)+1)</f>
        <v/>
      </c>
      <c r="J2700" s="5">
        <f>IF(I2700="","",I2700+6)</f>
        <v/>
      </c>
      <c r="K2700" s="6">
        <f>IF(OR(A2700="",B2700=""),"",DATE(YEAR(B2700),MONTH(B2700),1))</f>
        <v/>
      </c>
      <c r="L2700" s="7">
        <f>IF(COUNTA(A2700,B2700)=0,"",IF(OR(A2700="",B2700=""),"Preencher CPF e entrada",IF(COUNTIFS($A$12:$A$5011,A2700,$B$12:$B$5011,B2700)&gt;1,"CPF + dia duplicado",IF(OR(AND(E2700&lt;&gt;"",E2700&lt;B2700),AND(F2700&lt;&gt;"",F2700&lt;B2700)),"Evento anterior à entrada",IF(AND(F2700&lt;&gt;"",E2700=""),"Conversa sem agendamento",IF(OR(E2700&gt;TODAY(),F2700&gt;TODAY()),"Verificar evento futuro","OK"))))))</f>
        <v/>
      </c>
    </row>
    <row r="2701" spans="9:12">
      <c r="I2701" s="5">
        <f>IF(OR(A2701="",B2701=""),"",B2701-WEEKDAY(B2701,2)+1)</f>
        <v/>
      </c>
      <c r="J2701" s="5">
        <f>IF(I2701="","",I2701+6)</f>
        <v/>
      </c>
      <c r="K2701" s="6">
        <f>IF(OR(A2701="",B2701=""),"",DATE(YEAR(B2701),MONTH(B2701),1))</f>
        <v/>
      </c>
      <c r="L2701" s="7">
        <f>IF(COUNTA(A2701,B2701)=0,"",IF(OR(A2701="",B2701=""),"Preencher CPF e entrada",IF(COUNTIFS($A$12:$A$5011,A2701,$B$12:$B$5011,B2701)&gt;1,"CPF + dia duplicado",IF(OR(AND(E2701&lt;&gt;"",E2701&lt;B2701),AND(F2701&lt;&gt;"",F2701&lt;B2701)),"Evento anterior à entrada",IF(AND(F2701&lt;&gt;"",E2701=""),"Conversa sem agendamento",IF(OR(E2701&gt;TODAY(),F2701&gt;TODAY()),"Verificar evento futuro","OK"))))))</f>
        <v/>
      </c>
    </row>
    <row r="2702" spans="9:12">
      <c r="I2702" s="5">
        <f>IF(OR(A2702="",B2702=""),"",B2702-WEEKDAY(B2702,2)+1)</f>
        <v/>
      </c>
      <c r="J2702" s="5">
        <f>IF(I2702="","",I2702+6)</f>
        <v/>
      </c>
      <c r="K2702" s="6">
        <f>IF(OR(A2702="",B2702=""),"",DATE(YEAR(B2702),MONTH(B2702),1))</f>
        <v/>
      </c>
      <c r="L2702" s="7">
        <f>IF(COUNTA(A2702,B2702)=0,"",IF(OR(A2702="",B2702=""),"Preencher CPF e entrada",IF(COUNTIFS($A$12:$A$5011,A2702,$B$12:$B$5011,B2702)&gt;1,"CPF + dia duplicado",IF(OR(AND(E2702&lt;&gt;"",E2702&lt;B2702),AND(F2702&lt;&gt;"",F2702&lt;B2702)),"Evento anterior à entrada",IF(AND(F2702&lt;&gt;"",E2702=""),"Conversa sem agendamento",IF(OR(E2702&gt;TODAY(),F2702&gt;TODAY()),"Verificar evento futuro","OK"))))))</f>
        <v/>
      </c>
    </row>
    <row r="2703" spans="9:12">
      <c r="I2703" s="5">
        <f>IF(OR(A2703="",B2703=""),"",B2703-WEEKDAY(B2703,2)+1)</f>
        <v/>
      </c>
      <c r="J2703" s="5">
        <f>IF(I2703="","",I2703+6)</f>
        <v/>
      </c>
      <c r="K2703" s="6">
        <f>IF(OR(A2703="",B2703=""),"",DATE(YEAR(B2703),MONTH(B2703),1))</f>
        <v/>
      </c>
      <c r="L2703" s="7">
        <f>IF(COUNTA(A2703,B2703)=0,"",IF(OR(A2703="",B2703=""),"Preencher CPF e entrada",IF(COUNTIFS($A$12:$A$5011,A2703,$B$12:$B$5011,B2703)&gt;1,"CPF + dia duplicado",IF(OR(AND(E2703&lt;&gt;"",E2703&lt;B2703),AND(F2703&lt;&gt;"",F2703&lt;B2703)),"Evento anterior à entrada",IF(AND(F2703&lt;&gt;"",E2703=""),"Conversa sem agendamento",IF(OR(E2703&gt;TODAY(),F2703&gt;TODAY()),"Verificar evento futuro","OK"))))))</f>
        <v/>
      </c>
    </row>
    <row r="2704" spans="9:12">
      <c r="I2704" s="5">
        <f>IF(OR(A2704="",B2704=""),"",B2704-WEEKDAY(B2704,2)+1)</f>
        <v/>
      </c>
      <c r="J2704" s="5">
        <f>IF(I2704="","",I2704+6)</f>
        <v/>
      </c>
      <c r="K2704" s="6">
        <f>IF(OR(A2704="",B2704=""),"",DATE(YEAR(B2704),MONTH(B2704),1))</f>
        <v/>
      </c>
      <c r="L2704" s="7">
        <f>IF(COUNTA(A2704,B2704)=0,"",IF(OR(A2704="",B2704=""),"Preencher CPF e entrada",IF(COUNTIFS($A$12:$A$5011,A2704,$B$12:$B$5011,B2704)&gt;1,"CPF + dia duplicado",IF(OR(AND(E2704&lt;&gt;"",E2704&lt;B2704),AND(F2704&lt;&gt;"",F2704&lt;B2704)),"Evento anterior à entrada",IF(AND(F2704&lt;&gt;"",E2704=""),"Conversa sem agendamento",IF(OR(E2704&gt;TODAY(),F2704&gt;TODAY()),"Verificar evento futuro","OK"))))))</f>
        <v/>
      </c>
    </row>
    <row r="2705" spans="9:12">
      <c r="I2705" s="5">
        <f>IF(OR(A2705="",B2705=""),"",B2705-WEEKDAY(B2705,2)+1)</f>
        <v/>
      </c>
      <c r="J2705" s="5">
        <f>IF(I2705="","",I2705+6)</f>
        <v/>
      </c>
      <c r="K2705" s="6">
        <f>IF(OR(A2705="",B2705=""),"",DATE(YEAR(B2705),MONTH(B2705),1))</f>
        <v/>
      </c>
      <c r="L2705" s="7">
        <f>IF(COUNTA(A2705,B2705)=0,"",IF(OR(A2705="",B2705=""),"Preencher CPF e entrada",IF(COUNTIFS($A$12:$A$5011,A2705,$B$12:$B$5011,B2705)&gt;1,"CPF + dia duplicado",IF(OR(AND(E2705&lt;&gt;"",E2705&lt;B2705),AND(F2705&lt;&gt;"",F2705&lt;B2705)),"Evento anterior à entrada",IF(AND(F2705&lt;&gt;"",E2705=""),"Conversa sem agendamento",IF(OR(E2705&gt;TODAY(),F2705&gt;TODAY()),"Verificar evento futuro","OK"))))))</f>
        <v/>
      </c>
    </row>
    <row r="2706" spans="9:12">
      <c r="I2706" s="5">
        <f>IF(OR(A2706="",B2706=""),"",B2706-WEEKDAY(B2706,2)+1)</f>
        <v/>
      </c>
      <c r="J2706" s="5">
        <f>IF(I2706="","",I2706+6)</f>
        <v/>
      </c>
      <c r="K2706" s="6">
        <f>IF(OR(A2706="",B2706=""),"",DATE(YEAR(B2706),MONTH(B2706),1))</f>
        <v/>
      </c>
      <c r="L2706" s="7">
        <f>IF(COUNTA(A2706,B2706)=0,"",IF(OR(A2706="",B2706=""),"Preencher CPF e entrada",IF(COUNTIFS($A$12:$A$5011,A2706,$B$12:$B$5011,B2706)&gt;1,"CPF + dia duplicado",IF(OR(AND(E2706&lt;&gt;"",E2706&lt;B2706),AND(F2706&lt;&gt;"",F2706&lt;B2706)),"Evento anterior à entrada",IF(AND(F2706&lt;&gt;"",E2706=""),"Conversa sem agendamento",IF(OR(E2706&gt;TODAY(),F2706&gt;TODAY()),"Verificar evento futuro","OK"))))))</f>
        <v/>
      </c>
    </row>
    <row r="2707" spans="9:12">
      <c r="I2707" s="5">
        <f>IF(OR(A2707="",B2707=""),"",B2707-WEEKDAY(B2707,2)+1)</f>
        <v/>
      </c>
      <c r="J2707" s="5">
        <f>IF(I2707="","",I2707+6)</f>
        <v/>
      </c>
      <c r="K2707" s="6">
        <f>IF(OR(A2707="",B2707=""),"",DATE(YEAR(B2707),MONTH(B2707),1))</f>
        <v/>
      </c>
      <c r="L2707" s="7">
        <f>IF(COUNTA(A2707,B2707)=0,"",IF(OR(A2707="",B2707=""),"Preencher CPF e entrada",IF(COUNTIFS($A$12:$A$5011,A2707,$B$12:$B$5011,B2707)&gt;1,"CPF + dia duplicado",IF(OR(AND(E2707&lt;&gt;"",E2707&lt;B2707),AND(F2707&lt;&gt;"",F2707&lt;B2707)),"Evento anterior à entrada",IF(AND(F2707&lt;&gt;"",E2707=""),"Conversa sem agendamento",IF(OR(E2707&gt;TODAY(),F2707&gt;TODAY()),"Verificar evento futuro","OK"))))))</f>
        <v/>
      </c>
    </row>
    <row r="2708" spans="9:12">
      <c r="I2708" s="5">
        <f>IF(OR(A2708="",B2708=""),"",B2708-WEEKDAY(B2708,2)+1)</f>
        <v/>
      </c>
      <c r="J2708" s="5">
        <f>IF(I2708="","",I2708+6)</f>
        <v/>
      </c>
      <c r="K2708" s="6">
        <f>IF(OR(A2708="",B2708=""),"",DATE(YEAR(B2708),MONTH(B2708),1))</f>
        <v/>
      </c>
      <c r="L2708" s="7">
        <f>IF(COUNTA(A2708,B2708)=0,"",IF(OR(A2708="",B2708=""),"Preencher CPF e entrada",IF(COUNTIFS($A$12:$A$5011,A2708,$B$12:$B$5011,B2708)&gt;1,"CPF + dia duplicado",IF(OR(AND(E2708&lt;&gt;"",E2708&lt;B2708),AND(F2708&lt;&gt;"",F2708&lt;B2708)),"Evento anterior à entrada",IF(AND(F2708&lt;&gt;"",E2708=""),"Conversa sem agendamento",IF(OR(E2708&gt;TODAY(),F2708&gt;TODAY()),"Verificar evento futuro","OK"))))))</f>
        <v/>
      </c>
    </row>
    <row r="2709" spans="9:12">
      <c r="I2709" s="5">
        <f>IF(OR(A2709="",B2709=""),"",B2709-WEEKDAY(B2709,2)+1)</f>
        <v/>
      </c>
      <c r="J2709" s="5">
        <f>IF(I2709="","",I2709+6)</f>
        <v/>
      </c>
      <c r="K2709" s="6">
        <f>IF(OR(A2709="",B2709=""),"",DATE(YEAR(B2709),MONTH(B2709),1))</f>
        <v/>
      </c>
      <c r="L2709" s="7">
        <f>IF(COUNTA(A2709,B2709)=0,"",IF(OR(A2709="",B2709=""),"Preencher CPF e entrada",IF(COUNTIFS($A$12:$A$5011,A2709,$B$12:$B$5011,B2709)&gt;1,"CPF + dia duplicado",IF(OR(AND(E2709&lt;&gt;"",E2709&lt;B2709),AND(F2709&lt;&gt;"",F2709&lt;B2709)),"Evento anterior à entrada",IF(AND(F2709&lt;&gt;"",E2709=""),"Conversa sem agendamento",IF(OR(E2709&gt;TODAY(),F2709&gt;TODAY()),"Verificar evento futuro","OK"))))))</f>
        <v/>
      </c>
    </row>
    <row r="2710" spans="9:12">
      <c r="I2710" s="5">
        <f>IF(OR(A2710="",B2710=""),"",B2710-WEEKDAY(B2710,2)+1)</f>
        <v/>
      </c>
      <c r="J2710" s="5">
        <f>IF(I2710="","",I2710+6)</f>
        <v/>
      </c>
      <c r="K2710" s="6">
        <f>IF(OR(A2710="",B2710=""),"",DATE(YEAR(B2710),MONTH(B2710),1))</f>
        <v/>
      </c>
      <c r="L2710" s="7">
        <f>IF(COUNTA(A2710,B2710)=0,"",IF(OR(A2710="",B2710=""),"Preencher CPF e entrada",IF(COUNTIFS($A$12:$A$5011,A2710,$B$12:$B$5011,B2710)&gt;1,"CPF + dia duplicado",IF(OR(AND(E2710&lt;&gt;"",E2710&lt;B2710),AND(F2710&lt;&gt;"",F2710&lt;B2710)),"Evento anterior à entrada",IF(AND(F2710&lt;&gt;"",E2710=""),"Conversa sem agendamento",IF(OR(E2710&gt;TODAY(),F2710&gt;TODAY()),"Verificar evento futuro","OK"))))))</f>
        <v/>
      </c>
    </row>
    <row r="2711" spans="9:12">
      <c r="I2711" s="5">
        <f>IF(OR(A2711="",B2711=""),"",B2711-WEEKDAY(B2711,2)+1)</f>
        <v/>
      </c>
      <c r="J2711" s="5">
        <f>IF(I2711="","",I2711+6)</f>
        <v/>
      </c>
      <c r="K2711" s="6">
        <f>IF(OR(A2711="",B2711=""),"",DATE(YEAR(B2711),MONTH(B2711),1))</f>
        <v/>
      </c>
      <c r="L2711" s="7">
        <f>IF(COUNTA(A2711,B2711)=0,"",IF(OR(A2711="",B2711=""),"Preencher CPF e entrada",IF(COUNTIFS($A$12:$A$5011,A2711,$B$12:$B$5011,B2711)&gt;1,"CPF + dia duplicado",IF(OR(AND(E2711&lt;&gt;"",E2711&lt;B2711),AND(F2711&lt;&gt;"",F2711&lt;B2711)),"Evento anterior à entrada",IF(AND(F2711&lt;&gt;"",E2711=""),"Conversa sem agendamento",IF(OR(E2711&gt;TODAY(),F2711&gt;TODAY()),"Verificar evento futuro","OK"))))))</f>
        <v/>
      </c>
    </row>
    <row r="2712" spans="9:12">
      <c r="I2712" s="5">
        <f>IF(OR(A2712="",B2712=""),"",B2712-WEEKDAY(B2712,2)+1)</f>
        <v/>
      </c>
      <c r="J2712" s="5">
        <f>IF(I2712="","",I2712+6)</f>
        <v/>
      </c>
      <c r="K2712" s="6">
        <f>IF(OR(A2712="",B2712=""),"",DATE(YEAR(B2712),MONTH(B2712),1))</f>
        <v/>
      </c>
      <c r="L2712" s="7">
        <f>IF(COUNTA(A2712,B2712)=0,"",IF(OR(A2712="",B2712=""),"Preencher CPF e entrada",IF(COUNTIFS($A$12:$A$5011,A2712,$B$12:$B$5011,B2712)&gt;1,"CPF + dia duplicado",IF(OR(AND(E2712&lt;&gt;"",E2712&lt;B2712),AND(F2712&lt;&gt;"",F2712&lt;B2712)),"Evento anterior à entrada",IF(AND(F2712&lt;&gt;"",E2712=""),"Conversa sem agendamento",IF(OR(E2712&gt;TODAY(),F2712&gt;TODAY()),"Verificar evento futuro","OK"))))))</f>
        <v/>
      </c>
    </row>
    <row r="2713" spans="9:12">
      <c r="I2713" s="5">
        <f>IF(OR(A2713="",B2713=""),"",B2713-WEEKDAY(B2713,2)+1)</f>
        <v/>
      </c>
      <c r="J2713" s="5">
        <f>IF(I2713="","",I2713+6)</f>
        <v/>
      </c>
      <c r="K2713" s="6">
        <f>IF(OR(A2713="",B2713=""),"",DATE(YEAR(B2713),MONTH(B2713),1))</f>
        <v/>
      </c>
      <c r="L2713" s="7">
        <f>IF(COUNTA(A2713,B2713)=0,"",IF(OR(A2713="",B2713=""),"Preencher CPF e entrada",IF(COUNTIFS($A$12:$A$5011,A2713,$B$12:$B$5011,B2713)&gt;1,"CPF + dia duplicado",IF(OR(AND(E2713&lt;&gt;"",E2713&lt;B2713),AND(F2713&lt;&gt;"",F2713&lt;B2713)),"Evento anterior à entrada",IF(AND(F2713&lt;&gt;"",E2713=""),"Conversa sem agendamento",IF(OR(E2713&gt;TODAY(),F2713&gt;TODAY()),"Verificar evento futuro","OK"))))))</f>
        <v/>
      </c>
    </row>
    <row r="2714" spans="9:12">
      <c r="I2714" s="5">
        <f>IF(OR(A2714="",B2714=""),"",B2714-WEEKDAY(B2714,2)+1)</f>
        <v/>
      </c>
      <c r="J2714" s="5">
        <f>IF(I2714="","",I2714+6)</f>
        <v/>
      </c>
      <c r="K2714" s="6">
        <f>IF(OR(A2714="",B2714=""),"",DATE(YEAR(B2714),MONTH(B2714),1))</f>
        <v/>
      </c>
      <c r="L2714" s="7">
        <f>IF(COUNTA(A2714,B2714)=0,"",IF(OR(A2714="",B2714=""),"Preencher CPF e entrada",IF(COUNTIFS($A$12:$A$5011,A2714,$B$12:$B$5011,B2714)&gt;1,"CPF + dia duplicado",IF(OR(AND(E2714&lt;&gt;"",E2714&lt;B2714),AND(F2714&lt;&gt;"",F2714&lt;B2714)),"Evento anterior à entrada",IF(AND(F2714&lt;&gt;"",E2714=""),"Conversa sem agendamento",IF(OR(E2714&gt;TODAY(),F2714&gt;TODAY()),"Verificar evento futuro","OK"))))))</f>
        <v/>
      </c>
    </row>
    <row r="2715" spans="9:12">
      <c r="I2715" s="5">
        <f>IF(OR(A2715="",B2715=""),"",B2715-WEEKDAY(B2715,2)+1)</f>
        <v/>
      </c>
      <c r="J2715" s="5">
        <f>IF(I2715="","",I2715+6)</f>
        <v/>
      </c>
      <c r="K2715" s="6">
        <f>IF(OR(A2715="",B2715=""),"",DATE(YEAR(B2715),MONTH(B2715),1))</f>
        <v/>
      </c>
      <c r="L2715" s="7">
        <f>IF(COUNTA(A2715,B2715)=0,"",IF(OR(A2715="",B2715=""),"Preencher CPF e entrada",IF(COUNTIFS($A$12:$A$5011,A2715,$B$12:$B$5011,B2715)&gt;1,"CPF + dia duplicado",IF(OR(AND(E2715&lt;&gt;"",E2715&lt;B2715),AND(F2715&lt;&gt;"",F2715&lt;B2715)),"Evento anterior à entrada",IF(AND(F2715&lt;&gt;"",E2715=""),"Conversa sem agendamento",IF(OR(E2715&gt;TODAY(),F2715&gt;TODAY()),"Verificar evento futuro","OK"))))))</f>
        <v/>
      </c>
    </row>
    <row r="2716" spans="9:12">
      <c r="I2716" s="5">
        <f>IF(OR(A2716="",B2716=""),"",B2716-WEEKDAY(B2716,2)+1)</f>
        <v/>
      </c>
      <c r="J2716" s="5">
        <f>IF(I2716="","",I2716+6)</f>
        <v/>
      </c>
      <c r="K2716" s="6">
        <f>IF(OR(A2716="",B2716=""),"",DATE(YEAR(B2716),MONTH(B2716),1))</f>
        <v/>
      </c>
      <c r="L2716" s="7">
        <f>IF(COUNTA(A2716,B2716)=0,"",IF(OR(A2716="",B2716=""),"Preencher CPF e entrada",IF(COUNTIFS($A$12:$A$5011,A2716,$B$12:$B$5011,B2716)&gt;1,"CPF + dia duplicado",IF(OR(AND(E2716&lt;&gt;"",E2716&lt;B2716),AND(F2716&lt;&gt;"",F2716&lt;B2716)),"Evento anterior à entrada",IF(AND(F2716&lt;&gt;"",E2716=""),"Conversa sem agendamento",IF(OR(E2716&gt;TODAY(),F2716&gt;TODAY()),"Verificar evento futuro","OK"))))))</f>
        <v/>
      </c>
    </row>
    <row r="2717" spans="9:12">
      <c r="I2717" s="5">
        <f>IF(OR(A2717="",B2717=""),"",B2717-WEEKDAY(B2717,2)+1)</f>
        <v/>
      </c>
      <c r="J2717" s="5">
        <f>IF(I2717="","",I2717+6)</f>
        <v/>
      </c>
      <c r="K2717" s="6">
        <f>IF(OR(A2717="",B2717=""),"",DATE(YEAR(B2717),MONTH(B2717),1))</f>
        <v/>
      </c>
      <c r="L2717" s="7">
        <f>IF(COUNTA(A2717,B2717)=0,"",IF(OR(A2717="",B2717=""),"Preencher CPF e entrada",IF(COUNTIFS($A$12:$A$5011,A2717,$B$12:$B$5011,B2717)&gt;1,"CPF + dia duplicado",IF(OR(AND(E2717&lt;&gt;"",E2717&lt;B2717),AND(F2717&lt;&gt;"",F2717&lt;B2717)),"Evento anterior à entrada",IF(AND(F2717&lt;&gt;"",E2717=""),"Conversa sem agendamento",IF(OR(E2717&gt;TODAY(),F2717&gt;TODAY()),"Verificar evento futuro","OK"))))))</f>
        <v/>
      </c>
    </row>
    <row r="2718" spans="9:12">
      <c r="I2718" s="5">
        <f>IF(OR(A2718="",B2718=""),"",B2718-WEEKDAY(B2718,2)+1)</f>
        <v/>
      </c>
      <c r="J2718" s="5">
        <f>IF(I2718="","",I2718+6)</f>
        <v/>
      </c>
      <c r="K2718" s="6">
        <f>IF(OR(A2718="",B2718=""),"",DATE(YEAR(B2718),MONTH(B2718),1))</f>
        <v/>
      </c>
      <c r="L2718" s="7">
        <f>IF(COUNTA(A2718,B2718)=0,"",IF(OR(A2718="",B2718=""),"Preencher CPF e entrada",IF(COUNTIFS($A$12:$A$5011,A2718,$B$12:$B$5011,B2718)&gt;1,"CPF + dia duplicado",IF(OR(AND(E2718&lt;&gt;"",E2718&lt;B2718),AND(F2718&lt;&gt;"",F2718&lt;B2718)),"Evento anterior à entrada",IF(AND(F2718&lt;&gt;"",E2718=""),"Conversa sem agendamento",IF(OR(E2718&gt;TODAY(),F2718&gt;TODAY()),"Verificar evento futuro","OK"))))))</f>
        <v/>
      </c>
    </row>
    <row r="2719" spans="9:12">
      <c r="I2719" s="5">
        <f>IF(OR(A2719="",B2719=""),"",B2719-WEEKDAY(B2719,2)+1)</f>
        <v/>
      </c>
      <c r="J2719" s="5">
        <f>IF(I2719="","",I2719+6)</f>
        <v/>
      </c>
      <c r="K2719" s="6">
        <f>IF(OR(A2719="",B2719=""),"",DATE(YEAR(B2719),MONTH(B2719),1))</f>
        <v/>
      </c>
      <c r="L2719" s="7">
        <f>IF(COUNTA(A2719,B2719)=0,"",IF(OR(A2719="",B2719=""),"Preencher CPF e entrada",IF(COUNTIFS($A$12:$A$5011,A2719,$B$12:$B$5011,B2719)&gt;1,"CPF + dia duplicado",IF(OR(AND(E2719&lt;&gt;"",E2719&lt;B2719),AND(F2719&lt;&gt;"",F2719&lt;B2719)),"Evento anterior à entrada",IF(AND(F2719&lt;&gt;"",E2719=""),"Conversa sem agendamento",IF(OR(E2719&gt;TODAY(),F2719&gt;TODAY()),"Verificar evento futuro","OK"))))))</f>
        <v/>
      </c>
    </row>
    <row r="2720" spans="9:12">
      <c r="I2720" s="5">
        <f>IF(OR(A2720="",B2720=""),"",B2720-WEEKDAY(B2720,2)+1)</f>
        <v/>
      </c>
      <c r="J2720" s="5">
        <f>IF(I2720="","",I2720+6)</f>
        <v/>
      </c>
      <c r="K2720" s="6">
        <f>IF(OR(A2720="",B2720=""),"",DATE(YEAR(B2720),MONTH(B2720),1))</f>
        <v/>
      </c>
      <c r="L2720" s="7">
        <f>IF(COUNTA(A2720,B2720)=0,"",IF(OR(A2720="",B2720=""),"Preencher CPF e entrada",IF(COUNTIFS($A$12:$A$5011,A2720,$B$12:$B$5011,B2720)&gt;1,"CPF + dia duplicado",IF(OR(AND(E2720&lt;&gt;"",E2720&lt;B2720),AND(F2720&lt;&gt;"",F2720&lt;B2720)),"Evento anterior à entrada",IF(AND(F2720&lt;&gt;"",E2720=""),"Conversa sem agendamento",IF(OR(E2720&gt;TODAY(),F2720&gt;TODAY()),"Verificar evento futuro","OK"))))))</f>
        <v/>
      </c>
    </row>
    <row r="2721" spans="9:12">
      <c r="I2721" s="5">
        <f>IF(OR(A2721="",B2721=""),"",B2721-WEEKDAY(B2721,2)+1)</f>
        <v/>
      </c>
      <c r="J2721" s="5">
        <f>IF(I2721="","",I2721+6)</f>
        <v/>
      </c>
      <c r="K2721" s="6">
        <f>IF(OR(A2721="",B2721=""),"",DATE(YEAR(B2721),MONTH(B2721),1))</f>
        <v/>
      </c>
      <c r="L2721" s="7">
        <f>IF(COUNTA(A2721,B2721)=0,"",IF(OR(A2721="",B2721=""),"Preencher CPF e entrada",IF(COUNTIFS($A$12:$A$5011,A2721,$B$12:$B$5011,B2721)&gt;1,"CPF + dia duplicado",IF(OR(AND(E2721&lt;&gt;"",E2721&lt;B2721),AND(F2721&lt;&gt;"",F2721&lt;B2721)),"Evento anterior à entrada",IF(AND(F2721&lt;&gt;"",E2721=""),"Conversa sem agendamento",IF(OR(E2721&gt;TODAY(),F2721&gt;TODAY()),"Verificar evento futuro","OK"))))))</f>
        <v/>
      </c>
    </row>
    <row r="2722" spans="9:12">
      <c r="I2722" s="5">
        <f>IF(OR(A2722="",B2722=""),"",B2722-WEEKDAY(B2722,2)+1)</f>
        <v/>
      </c>
      <c r="J2722" s="5">
        <f>IF(I2722="","",I2722+6)</f>
        <v/>
      </c>
      <c r="K2722" s="6">
        <f>IF(OR(A2722="",B2722=""),"",DATE(YEAR(B2722),MONTH(B2722),1))</f>
        <v/>
      </c>
      <c r="L2722" s="7">
        <f>IF(COUNTA(A2722,B2722)=0,"",IF(OR(A2722="",B2722=""),"Preencher CPF e entrada",IF(COUNTIFS($A$12:$A$5011,A2722,$B$12:$B$5011,B2722)&gt;1,"CPF + dia duplicado",IF(OR(AND(E2722&lt;&gt;"",E2722&lt;B2722),AND(F2722&lt;&gt;"",F2722&lt;B2722)),"Evento anterior à entrada",IF(AND(F2722&lt;&gt;"",E2722=""),"Conversa sem agendamento",IF(OR(E2722&gt;TODAY(),F2722&gt;TODAY()),"Verificar evento futuro","OK"))))))</f>
        <v/>
      </c>
    </row>
    <row r="2723" spans="9:12">
      <c r="I2723" s="5">
        <f>IF(OR(A2723="",B2723=""),"",B2723-WEEKDAY(B2723,2)+1)</f>
        <v/>
      </c>
      <c r="J2723" s="5">
        <f>IF(I2723="","",I2723+6)</f>
        <v/>
      </c>
      <c r="K2723" s="6">
        <f>IF(OR(A2723="",B2723=""),"",DATE(YEAR(B2723),MONTH(B2723),1))</f>
        <v/>
      </c>
      <c r="L2723" s="7">
        <f>IF(COUNTA(A2723,B2723)=0,"",IF(OR(A2723="",B2723=""),"Preencher CPF e entrada",IF(COUNTIFS($A$12:$A$5011,A2723,$B$12:$B$5011,B2723)&gt;1,"CPF + dia duplicado",IF(OR(AND(E2723&lt;&gt;"",E2723&lt;B2723),AND(F2723&lt;&gt;"",F2723&lt;B2723)),"Evento anterior à entrada",IF(AND(F2723&lt;&gt;"",E2723=""),"Conversa sem agendamento",IF(OR(E2723&gt;TODAY(),F2723&gt;TODAY()),"Verificar evento futuro","OK"))))))</f>
        <v/>
      </c>
    </row>
    <row r="2724" spans="9:12">
      <c r="I2724" s="5">
        <f>IF(OR(A2724="",B2724=""),"",B2724-WEEKDAY(B2724,2)+1)</f>
        <v/>
      </c>
      <c r="J2724" s="5">
        <f>IF(I2724="","",I2724+6)</f>
        <v/>
      </c>
      <c r="K2724" s="6">
        <f>IF(OR(A2724="",B2724=""),"",DATE(YEAR(B2724),MONTH(B2724),1))</f>
        <v/>
      </c>
      <c r="L2724" s="7">
        <f>IF(COUNTA(A2724,B2724)=0,"",IF(OR(A2724="",B2724=""),"Preencher CPF e entrada",IF(COUNTIFS($A$12:$A$5011,A2724,$B$12:$B$5011,B2724)&gt;1,"CPF + dia duplicado",IF(OR(AND(E2724&lt;&gt;"",E2724&lt;B2724),AND(F2724&lt;&gt;"",F2724&lt;B2724)),"Evento anterior à entrada",IF(AND(F2724&lt;&gt;"",E2724=""),"Conversa sem agendamento",IF(OR(E2724&gt;TODAY(),F2724&gt;TODAY()),"Verificar evento futuro","OK"))))))</f>
        <v/>
      </c>
    </row>
    <row r="2725" spans="9:12">
      <c r="I2725" s="5">
        <f>IF(OR(A2725="",B2725=""),"",B2725-WEEKDAY(B2725,2)+1)</f>
        <v/>
      </c>
      <c r="J2725" s="5">
        <f>IF(I2725="","",I2725+6)</f>
        <v/>
      </c>
      <c r="K2725" s="6">
        <f>IF(OR(A2725="",B2725=""),"",DATE(YEAR(B2725),MONTH(B2725),1))</f>
        <v/>
      </c>
      <c r="L2725" s="7">
        <f>IF(COUNTA(A2725,B2725)=0,"",IF(OR(A2725="",B2725=""),"Preencher CPF e entrada",IF(COUNTIFS($A$12:$A$5011,A2725,$B$12:$B$5011,B2725)&gt;1,"CPF + dia duplicado",IF(OR(AND(E2725&lt;&gt;"",E2725&lt;B2725),AND(F2725&lt;&gt;"",F2725&lt;B2725)),"Evento anterior à entrada",IF(AND(F2725&lt;&gt;"",E2725=""),"Conversa sem agendamento",IF(OR(E2725&gt;TODAY(),F2725&gt;TODAY()),"Verificar evento futuro","OK"))))))</f>
        <v/>
      </c>
    </row>
    <row r="2726" spans="9:12">
      <c r="I2726" s="5">
        <f>IF(OR(A2726="",B2726=""),"",B2726-WEEKDAY(B2726,2)+1)</f>
        <v/>
      </c>
      <c r="J2726" s="5">
        <f>IF(I2726="","",I2726+6)</f>
        <v/>
      </c>
      <c r="K2726" s="6">
        <f>IF(OR(A2726="",B2726=""),"",DATE(YEAR(B2726),MONTH(B2726),1))</f>
        <v/>
      </c>
      <c r="L2726" s="7">
        <f>IF(COUNTA(A2726,B2726)=0,"",IF(OR(A2726="",B2726=""),"Preencher CPF e entrada",IF(COUNTIFS($A$12:$A$5011,A2726,$B$12:$B$5011,B2726)&gt;1,"CPF + dia duplicado",IF(OR(AND(E2726&lt;&gt;"",E2726&lt;B2726),AND(F2726&lt;&gt;"",F2726&lt;B2726)),"Evento anterior à entrada",IF(AND(F2726&lt;&gt;"",E2726=""),"Conversa sem agendamento",IF(OR(E2726&gt;TODAY(),F2726&gt;TODAY()),"Verificar evento futuro","OK"))))))</f>
        <v/>
      </c>
    </row>
    <row r="2727" spans="9:12">
      <c r="I2727" s="5">
        <f>IF(OR(A2727="",B2727=""),"",B2727-WEEKDAY(B2727,2)+1)</f>
        <v/>
      </c>
      <c r="J2727" s="5">
        <f>IF(I2727="","",I2727+6)</f>
        <v/>
      </c>
      <c r="K2727" s="6">
        <f>IF(OR(A2727="",B2727=""),"",DATE(YEAR(B2727),MONTH(B2727),1))</f>
        <v/>
      </c>
      <c r="L2727" s="7">
        <f>IF(COUNTA(A2727,B2727)=0,"",IF(OR(A2727="",B2727=""),"Preencher CPF e entrada",IF(COUNTIFS($A$12:$A$5011,A2727,$B$12:$B$5011,B2727)&gt;1,"CPF + dia duplicado",IF(OR(AND(E2727&lt;&gt;"",E2727&lt;B2727),AND(F2727&lt;&gt;"",F2727&lt;B2727)),"Evento anterior à entrada",IF(AND(F2727&lt;&gt;"",E2727=""),"Conversa sem agendamento",IF(OR(E2727&gt;TODAY(),F2727&gt;TODAY()),"Verificar evento futuro","OK"))))))</f>
        <v/>
      </c>
    </row>
    <row r="2728" spans="9:12">
      <c r="I2728" s="5">
        <f>IF(OR(A2728="",B2728=""),"",B2728-WEEKDAY(B2728,2)+1)</f>
        <v/>
      </c>
      <c r="J2728" s="5">
        <f>IF(I2728="","",I2728+6)</f>
        <v/>
      </c>
      <c r="K2728" s="6">
        <f>IF(OR(A2728="",B2728=""),"",DATE(YEAR(B2728),MONTH(B2728),1))</f>
        <v/>
      </c>
      <c r="L2728" s="7">
        <f>IF(COUNTA(A2728,B2728)=0,"",IF(OR(A2728="",B2728=""),"Preencher CPF e entrada",IF(COUNTIFS($A$12:$A$5011,A2728,$B$12:$B$5011,B2728)&gt;1,"CPF + dia duplicado",IF(OR(AND(E2728&lt;&gt;"",E2728&lt;B2728),AND(F2728&lt;&gt;"",F2728&lt;B2728)),"Evento anterior à entrada",IF(AND(F2728&lt;&gt;"",E2728=""),"Conversa sem agendamento",IF(OR(E2728&gt;TODAY(),F2728&gt;TODAY()),"Verificar evento futuro","OK"))))))</f>
        <v/>
      </c>
    </row>
    <row r="2729" spans="9:12">
      <c r="I2729" s="5">
        <f>IF(OR(A2729="",B2729=""),"",B2729-WEEKDAY(B2729,2)+1)</f>
        <v/>
      </c>
      <c r="J2729" s="5">
        <f>IF(I2729="","",I2729+6)</f>
        <v/>
      </c>
      <c r="K2729" s="6">
        <f>IF(OR(A2729="",B2729=""),"",DATE(YEAR(B2729),MONTH(B2729),1))</f>
        <v/>
      </c>
      <c r="L2729" s="7">
        <f>IF(COUNTA(A2729,B2729)=0,"",IF(OR(A2729="",B2729=""),"Preencher CPF e entrada",IF(COUNTIFS($A$12:$A$5011,A2729,$B$12:$B$5011,B2729)&gt;1,"CPF + dia duplicado",IF(OR(AND(E2729&lt;&gt;"",E2729&lt;B2729),AND(F2729&lt;&gt;"",F2729&lt;B2729)),"Evento anterior à entrada",IF(AND(F2729&lt;&gt;"",E2729=""),"Conversa sem agendamento",IF(OR(E2729&gt;TODAY(),F2729&gt;TODAY()),"Verificar evento futuro","OK"))))))</f>
        <v/>
      </c>
    </row>
    <row r="2730" spans="9:12">
      <c r="I2730" s="5">
        <f>IF(OR(A2730="",B2730=""),"",B2730-WEEKDAY(B2730,2)+1)</f>
        <v/>
      </c>
      <c r="J2730" s="5">
        <f>IF(I2730="","",I2730+6)</f>
        <v/>
      </c>
      <c r="K2730" s="6">
        <f>IF(OR(A2730="",B2730=""),"",DATE(YEAR(B2730),MONTH(B2730),1))</f>
        <v/>
      </c>
      <c r="L2730" s="7">
        <f>IF(COUNTA(A2730,B2730)=0,"",IF(OR(A2730="",B2730=""),"Preencher CPF e entrada",IF(COUNTIFS($A$12:$A$5011,A2730,$B$12:$B$5011,B2730)&gt;1,"CPF + dia duplicado",IF(OR(AND(E2730&lt;&gt;"",E2730&lt;B2730),AND(F2730&lt;&gt;"",F2730&lt;B2730)),"Evento anterior à entrada",IF(AND(F2730&lt;&gt;"",E2730=""),"Conversa sem agendamento",IF(OR(E2730&gt;TODAY(),F2730&gt;TODAY()),"Verificar evento futuro","OK"))))))</f>
        <v/>
      </c>
    </row>
    <row r="2731" spans="9:12">
      <c r="I2731" s="5">
        <f>IF(OR(A2731="",B2731=""),"",B2731-WEEKDAY(B2731,2)+1)</f>
        <v/>
      </c>
      <c r="J2731" s="5">
        <f>IF(I2731="","",I2731+6)</f>
        <v/>
      </c>
      <c r="K2731" s="6">
        <f>IF(OR(A2731="",B2731=""),"",DATE(YEAR(B2731),MONTH(B2731),1))</f>
        <v/>
      </c>
      <c r="L2731" s="7">
        <f>IF(COUNTA(A2731,B2731)=0,"",IF(OR(A2731="",B2731=""),"Preencher CPF e entrada",IF(COUNTIFS($A$12:$A$5011,A2731,$B$12:$B$5011,B2731)&gt;1,"CPF + dia duplicado",IF(OR(AND(E2731&lt;&gt;"",E2731&lt;B2731),AND(F2731&lt;&gt;"",F2731&lt;B2731)),"Evento anterior à entrada",IF(AND(F2731&lt;&gt;"",E2731=""),"Conversa sem agendamento",IF(OR(E2731&gt;TODAY(),F2731&gt;TODAY()),"Verificar evento futuro","OK"))))))</f>
        <v/>
      </c>
    </row>
    <row r="2732" spans="9:12">
      <c r="I2732" s="5">
        <f>IF(OR(A2732="",B2732=""),"",B2732-WEEKDAY(B2732,2)+1)</f>
        <v/>
      </c>
      <c r="J2732" s="5">
        <f>IF(I2732="","",I2732+6)</f>
        <v/>
      </c>
      <c r="K2732" s="6">
        <f>IF(OR(A2732="",B2732=""),"",DATE(YEAR(B2732),MONTH(B2732),1))</f>
        <v/>
      </c>
      <c r="L2732" s="7">
        <f>IF(COUNTA(A2732,B2732)=0,"",IF(OR(A2732="",B2732=""),"Preencher CPF e entrada",IF(COUNTIFS($A$12:$A$5011,A2732,$B$12:$B$5011,B2732)&gt;1,"CPF + dia duplicado",IF(OR(AND(E2732&lt;&gt;"",E2732&lt;B2732),AND(F2732&lt;&gt;"",F2732&lt;B2732)),"Evento anterior à entrada",IF(AND(F2732&lt;&gt;"",E2732=""),"Conversa sem agendamento",IF(OR(E2732&gt;TODAY(),F2732&gt;TODAY()),"Verificar evento futuro","OK"))))))</f>
        <v/>
      </c>
    </row>
    <row r="2733" spans="9:12">
      <c r="I2733" s="5">
        <f>IF(OR(A2733="",B2733=""),"",B2733-WEEKDAY(B2733,2)+1)</f>
        <v/>
      </c>
      <c r="J2733" s="5">
        <f>IF(I2733="","",I2733+6)</f>
        <v/>
      </c>
      <c r="K2733" s="6">
        <f>IF(OR(A2733="",B2733=""),"",DATE(YEAR(B2733),MONTH(B2733),1))</f>
        <v/>
      </c>
      <c r="L2733" s="7">
        <f>IF(COUNTA(A2733,B2733)=0,"",IF(OR(A2733="",B2733=""),"Preencher CPF e entrada",IF(COUNTIFS($A$12:$A$5011,A2733,$B$12:$B$5011,B2733)&gt;1,"CPF + dia duplicado",IF(OR(AND(E2733&lt;&gt;"",E2733&lt;B2733),AND(F2733&lt;&gt;"",F2733&lt;B2733)),"Evento anterior à entrada",IF(AND(F2733&lt;&gt;"",E2733=""),"Conversa sem agendamento",IF(OR(E2733&gt;TODAY(),F2733&gt;TODAY()),"Verificar evento futuro","OK"))))))</f>
        <v/>
      </c>
    </row>
    <row r="2734" spans="9:12">
      <c r="I2734" s="5">
        <f>IF(OR(A2734="",B2734=""),"",B2734-WEEKDAY(B2734,2)+1)</f>
        <v/>
      </c>
      <c r="J2734" s="5">
        <f>IF(I2734="","",I2734+6)</f>
        <v/>
      </c>
      <c r="K2734" s="6">
        <f>IF(OR(A2734="",B2734=""),"",DATE(YEAR(B2734),MONTH(B2734),1))</f>
        <v/>
      </c>
      <c r="L2734" s="7">
        <f>IF(COUNTA(A2734,B2734)=0,"",IF(OR(A2734="",B2734=""),"Preencher CPF e entrada",IF(COUNTIFS($A$12:$A$5011,A2734,$B$12:$B$5011,B2734)&gt;1,"CPF + dia duplicado",IF(OR(AND(E2734&lt;&gt;"",E2734&lt;B2734),AND(F2734&lt;&gt;"",F2734&lt;B2734)),"Evento anterior à entrada",IF(AND(F2734&lt;&gt;"",E2734=""),"Conversa sem agendamento",IF(OR(E2734&gt;TODAY(),F2734&gt;TODAY()),"Verificar evento futuro","OK"))))))</f>
        <v/>
      </c>
    </row>
    <row r="2735" spans="9:12">
      <c r="I2735" s="5">
        <f>IF(OR(A2735="",B2735=""),"",B2735-WEEKDAY(B2735,2)+1)</f>
        <v/>
      </c>
      <c r="J2735" s="5">
        <f>IF(I2735="","",I2735+6)</f>
        <v/>
      </c>
      <c r="K2735" s="6">
        <f>IF(OR(A2735="",B2735=""),"",DATE(YEAR(B2735),MONTH(B2735),1))</f>
        <v/>
      </c>
      <c r="L2735" s="7">
        <f>IF(COUNTA(A2735,B2735)=0,"",IF(OR(A2735="",B2735=""),"Preencher CPF e entrada",IF(COUNTIFS($A$12:$A$5011,A2735,$B$12:$B$5011,B2735)&gt;1,"CPF + dia duplicado",IF(OR(AND(E2735&lt;&gt;"",E2735&lt;B2735),AND(F2735&lt;&gt;"",F2735&lt;B2735)),"Evento anterior à entrada",IF(AND(F2735&lt;&gt;"",E2735=""),"Conversa sem agendamento",IF(OR(E2735&gt;TODAY(),F2735&gt;TODAY()),"Verificar evento futuro","OK"))))))</f>
        <v/>
      </c>
    </row>
    <row r="2736" spans="9:12">
      <c r="I2736" s="5">
        <f>IF(OR(A2736="",B2736=""),"",B2736-WEEKDAY(B2736,2)+1)</f>
        <v/>
      </c>
      <c r="J2736" s="5">
        <f>IF(I2736="","",I2736+6)</f>
        <v/>
      </c>
      <c r="K2736" s="6">
        <f>IF(OR(A2736="",B2736=""),"",DATE(YEAR(B2736),MONTH(B2736),1))</f>
        <v/>
      </c>
      <c r="L2736" s="7">
        <f>IF(COUNTA(A2736,B2736)=0,"",IF(OR(A2736="",B2736=""),"Preencher CPF e entrada",IF(COUNTIFS($A$12:$A$5011,A2736,$B$12:$B$5011,B2736)&gt;1,"CPF + dia duplicado",IF(OR(AND(E2736&lt;&gt;"",E2736&lt;B2736),AND(F2736&lt;&gt;"",F2736&lt;B2736)),"Evento anterior à entrada",IF(AND(F2736&lt;&gt;"",E2736=""),"Conversa sem agendamento",IF(OR(E2736&gt;TODAY(),F2736&gt;TODAY()),"Verificar evento futuro","OK"))))))</f>
        <v/>
      </c>
    </row>
    <row r="2737" spans="9:12">
      <c r="I2737" s="5">
        <f>IF(OR(A2737="",B2737=""),"",B2737-WEEKDAY(B2737,2)+1)</f>
        <v/>
      </c>
      <c r="J2737" s="5">
        <f>IF(I2737="","",I2737+6)</f>
        <v/>
      </c>
      <c r="K2737" s="6">
        <f>IF(OR(A2737="",B2737=""),"",DATE(YEAR(B2737),MONTH(B2737),1))</f>
        <v/>
      </c>
      <c r="L2737" s="7">
        <f>IF(COUNTA(A2737,B2737)=0,"",IF(OR(A2737="",B2737=""),"Preencher CPF e entrada",IF(COUNTIFS($A$12:$A$5011,A2737,$B$12:$B$5011,B2737)&gt;1,"CPF + dia duplicado",IF(OR(AND(E2737&lt;&gt;"",E2737&lt;B2737),AND(F2737&lt;&gt;"",F2737&lt;B2737)),"Evento anterior à entrada",IF(AND(F2737&lt;&gt;"",E2737=""),"Conversa sem agendamento",IF(OR(E2737&gt;TODAY(),F2737&gt;TODAY()),"Verificar evento futuro","OK"))))))</f>
        <v/>
      </c>
    </row>
    <row r="2738" spans="9:12">
      <c r="I2738" s="5">
        <f>IF(OR(A2738="",B2738=""),"",B2738-WEEKDAY(B2738,2)+1)</f>
        <v/>
      </c>
      <c r="J2738" s="5">
        <f>IF(I2738="","",I2738+6)</f>
        <v/>
      </c>
      <c r="K2738" s="6">
        <f>IF(OR(A2738="",B2738=""),"",DATE(YEAR(B2738),MONTH(B2738),1))</f>
        <v/>
      </c>
      <c r="L2738" s="7">
        <f>IF(COUNTA(A2738,B2738)=0,"",IF(OR(A2738="",B2738=""),"Preencher CPF e entrada",IF(COUNTIFS($A$12:$A$5011,A2738,$B$12:$B$5011,B2738)&gt;1,"CPF + dia duplicado",IF(OR(AND(E2738&lt;&gt;"",E2738&lt;B2738),AND(F2738&lt;&gt;"",F2738&lt;B2738)),"Evento anterior à entrada",IF(AND(F2738&lt;&gt;"",E2738=""),"Conversa sem agendamento",IF(OR(E2738&gt;TODAY(),F2738&gt;TODAY()),"Verificar evento futuro","OK"))))))</f>
        <v/>
      </c>
    </row>
    <row r="2739" spans="9:12">
      <c r="I2739" s="5">
        <f>IF(OR(A2739="",B2739=""),"",B2739-WEEKDAY(B2739,2)+1)</f>
        <v/>
      </c>
      <c r="J2739" s="5">
        <f>IF(I2739="","",I2739+6)</f>
        <v/>
      </c>
      <c r="K2739" s="6">
        <f>IF(OR(A2739="",B2739=""),"",DATE(YEAR(B2739),MONTH(B2739),1))</f>
        <v/>
      </c>
      <c r="L2739" s="7">
        <f>IF(COUNTA(A2739,B2739)=0,"",IF(OR(A2739="",B2739=""),"Preencher CPF e entrada",IF(COUNTIFS($A$12:$A$5011,A2739,$B$12:$B$5011,B2739)&gt;1,"CPF + dia duplicado",IF(OR(AND(E2739&lt;&gt;"",E2739&lt;B2739),AND(F2739&lt;&gt;"",F2739&lt;B2739)),"Evento anterior à entrada",IF(AND(F2739&lt;&gt;"",E2739=""),"Conversa sem agendamento",IF(OR(E2739&gt;TODAY(),F2739&gt;TODAY()),"Verificar evento futuro","OK"))))))</f>
        <v/>
      </c>
    </row>
    <row r="2740" spans="9:12">
      <c r="I2740" s="5">
        <f>IF(OR(A2740="",B2740=""),"",B2740-WEEKDAY(B2740,2)+1)</f>
        <v/>
      </c>
      <c r="J2740" s="5">
        <f>IF(I2740="","",I2740+6)</f>
        <v/>
      </c>
      <c r="K2740" s="6">
        <f>IF(OR(A2740="",B2740=""),"",DATE(YEAR(B2740),MONTH(B2740),1))</f>
        <v/>
      </c>
      <c r="L2740" s="7">
        <f>IF(COUNTA(A2740,B2740)=0,"",IF(OR(A2740="",B2740=""),"Preencher CPF e entrada",IF(COUNTIFS($A$12:$A$5011,A2740,$B$12:$B$5011,B2740)&gt;1,"CPF + dia duplicado",IF(OR(AND(E2740&lt;&gt;"",E2740&lt;B2740),AND(F2740&lt;&gt;"",F2740&lt;B2740)),"Evento anterior à entrada",IF(AND(F2740&lt;&gt;"",E2740=""),"Conversa sem agendamento",IF(OR(E2740&gt;TODAY(),F2740&gt;TODAY()),"Verificar evento futuro","OK"))))))</f>
        <v/>
      </c>
    </row>
    <row r="2741" spans="9:12">
      <c r="I2741" s="5">
        <f>IF(OR(A2741="",B2741=""),"",B2741-WEEKDAY(B2741,2)+1)</f>
        <v/>
      </c>
      <c r="J2741" s="5">
        <f>IF(I2741="","",I2741+6)</f>
        <v/>
      </c>
      <c r="K2741" s="6">
        <f>IF(OR(A2741="",B2741=""),"",DATE(YEAR(B2741),MONTH(B2741),1))</f>
        <v/>
      </c>
      <c r="L2741" s="7">
        <f>IF(COUNTA(A2741,B2741)=0,"",IF(OR(A2741="",B2741=""),"Preencher CPF e entrada",IF(COUNTIFS($A$12:$A$5011,A2741,$B$12:$B$5011,B2741)&gt;1,"CPF + dia duplicado",IF(OR(AND(E2741&lt;&gt;"",E2741&lt;B2741),AND(F2741&lt;&gt;"",F2741&lt;B2741)),"Evento anterior à entrada",IF(AND(F2741&lt;&gt;"",E2741=""),"Conversa sem agendamento",IF(OR(E2741&gt;TODAY(),F2741&gt;TODAY()),"Verificar evento futuro","OK"))))))</f>
        <v/>
      </c>
    </row>
    <row r="2742" spans="9:12">
      <c r="I2742" s="5">
        <f>IF(OR(A2742="",B2742=""),"",B2742-WEEKDAY(B2742,2)+1)</f>
        <v/>
      </c>
      <c r="J2742" s="5">
        <f>IF(I2742="","",I2742+6)</f>
        <v/>
      </c>
      <c r="K2742" s="6">
        <f>IF(OR(A2742="",B2742=""),"",DATE(YEAR(B2742),MONTH(B2742),1))</f>
        <v/>
      </c>
      <c r="L2742" s="7">
        <f>IF(COUNTA(A2742,B2742)=0,"",IF(OR(A2742="",B2742=""),"Preencher CPF e entrada",IF(COUNTIFS($A$12:$A$5011,A2742,$B$12:$B$5011,B2742)&gt;1,"CPF + dia duplicado",IF(OR(AND(E2742&lt;&gt;"",E2742&lt;B2742),AND(F2742&lt;&gt;"",F2742&lt;B2742)),"Evento anterior à entrada",IF(AND(F2742&lt;&gt;"",E2742=""),"Conversa sem agendamento",IF(OR(E2742&gt;TODAY(),F2742&gt;TODAY()),"Verificar evento futuro","OK"))))))</f>
        <v/>
      </c>
    </row>
    <row r="2743" spans="9:12">
      <c r="I2743" s="5">
        <f>IF(OR(A2743="",B2743=""),"",B2743-WEEKDAY(B2743,2)+1)</f>
        <v/>
      </c>
      <c r="J2743" s="5">
        <f>IF(I2743="","",I2743+6)</f>
        <v/>
      </c>
      <c r="K2743" s="6">
        <f>IF(OR(A2743="",B2743=""),"",DATE(YEAR(B2743),MONTH(B2743),1))</f>
        <v/>
      </c>
      <c r="L2743" s="7">
        <f>IF(COUNTA(A2743,B2743)=0,"",IF(OR(A2743="",B2743=""),"Preencher CPF e entrada",IF(COUNTIFS($A$12:$A$5011,A2743,$B$12:$B$5011,B2743)&gt;1,"CPF + dia duplicado",IF(OR(AND(E2743&lt;&gt;"",E2743&lt;B2743),AND(F2743&lt;&gt;"",F2743&lt;B2743)),"Evento anterior à entrada",IF(AND(F2743&lt;&gt;"",E2743=""),"Conversa sem agendamento",IF(OR(E2743&gt;TODAY(),F2743&gt;TODAY()),"Verificar evento futuro","OK"))))))</f>
        <v/>
      </c>
    </row>
    <row r="2744" spans="9:12">
      <c r="I2744" s="5">
        <f>IF(OR(A2744="",B2744=""),"",B2744-WEEKDAY(B2744,2)+1)</f>
        <v/>
      </c>
      <c r="J2744" s="5">
        <f>IF(I2744="","",I2744+6)</f>
        <v/>
      </c>
      <c r="K2744" s="6">
        <f>IF(OR(A2744="",B2744=""),"",DATE(YEAR(B2744),MONTH(B2744),1))</f>
        <v/>
      </c>
      <c r="L2744" s="7">
        <f>IF(COUNTA(A2744,B2744)=0,"",IF(OR(A2744="",B2744=""),"Preencher CPF e entrada",IF(COUNTIFS($A$12:$A$5011,A2744,$B$12:$B$5011,B2744)&gt;1,"CPF + dia duplicado",IF(OR(AND(E2744&lt;&gt;"",E2744&lt;B2744),AND(F2744&lt;&gt;"",F2744&lt;B2744)),"Evento anterior à entrada",IF(AND(F2744&lt;&gt;"",E2744=""),"Conversa sem agendamento",IF(OR(E2744&gt;TODAY(),F2744&gt;TODAY()),"Verificar evento futuro","OK"))))))</f>
        <v/>
      </c>
    </row>
    <row r="2745" spans="9:12">
      <c r="I2745" s="5">
        <f>IF(OR(A2745="",B2745=""),"",B2745-WEEKDAY(B2745,2)+1)</f>
        <v/>
      </c>
      <c r="J2745" s="5">
        <f>IF(I2745="","",I2745+6)</f>
        <v/>
      </c>
      <c r="K2745" s="6">
        <f>IF(OR(A2745="",B2745=""),"",DATE(YEAR(B2745),MONTH(B2745),1))</f>
        <v/>
      </c>
      <c r="L2745" s="7">
        <f>IF(COUNTA(A2745,B2745)=0,"",IF(OR(A2745="",B2745=""),"Preencher CPF e entrada",IF(COUNTIFS($A$12:$A$5011,A2745,$B$12:$B$5011,B2745)&gt;1,"CPF + dia duplicado",IF(OR(AND(E2745&lt;&gt;"",E2745&lt;B2745),AND(F2745&lt;&gt;"",F2745&lt;B2745)),"Evento anterior à entrada",IF(AND(F2745&lt;&gt;"",E2745=""),"Conversa sem agendamento",IF(OR(E2745&gt;TODAY(),F2745&gt;TODAY()),"Verificar evento futuro","OK"))))))</f>
        <v/>
      </c>
    </row>
    <row r="2746" spans="9:12">
      <c r="I2746" s="5">
        <f>IF(OR(A2746="",B2746=""),"",B2746-WEEKDAY(B2746,2)+1)</f>
        <v/>
      </c>
      <c r="J2746" s="5">
        <f>IF(I2746="","",I2746+6)</f>
        <v/>
      </c>
      <c r="K2746" s="6">
        <f>IF(OR(A2746="",B2746=""),"",DATE(YEAR(B2746),MONTH(B2746),1))</f>
        <v/>
      </c>
      <c r="L2746" s="7">
        <f>IF(COUNTA(A2746,B2746)=0,"",IF(OR(A2746="",B2746=""),"Preencher CPF e entrada",IF(COUNTIFS($A$12:$A$5011,A2746,$B$12:$B$5011,B2746)&gt;1,"CPF + dia duplicado",IF(OR(AND(E2746&lt;&gt;"",E2746&lt;B2746),AND(F2746&lt;&gt;"",F2746&lt;B2746)),"Evento anterior à entrada",IF(AND(F2746&lt;&gt;"",E2746=""),"Conversa sem agendamento",IF(OR(E2746&gt;TODAY(),F2746&gt;TODAY()),"Verificar evento futuro","OK"))))))</f>
        <v/>
      </c>
    </row>
    <row r="2747" spans="9:12">
      <c r="I2747" s="5">
        <f>IF(OR(A2747="",B2747=""),"",B2747-WEEKDAY(B2747,2)+1)</f>
        <v/>
      </c>
      <c r="J2747" s="5">
        <f>IF(I2747="","",I2747+6)</f>
        <v/>
      </c>
      <c r="K2747" s="6">
        <f>IF(OR(A2747="",B2747=""),"",DATE(YEAR(B2747),MONTH(B2747),1))</f>
        <v/>
      </c>
      <c r="L2747" s="7">
        <f>IF(COUNTA(A2747,B2747)=0,"",IF(OR(A2747="",B2747=""),"Preencher CPF e entrada",IF(COUNTIFS($A$12:$A$5011,A2747,$B$12:$B$5011,B2747)&gt;1,"CPF + dia duplicado",IF(OR(AND(E2747&lt;&gt;"",E2747&lt;B2747),AND(F2747&lt;&gt;"",F2747&lt;B2747)),"Evento anterior à entrada",IF(AND(F2747&lt;&gt;"",E2747=""),"Conversa sem agendamento",IF(OR(E2747&gt;TODAY(),F2747&gt;TODAY()),"Verificar evento futuro","OK"))))))</f>
        <v/>
      </c>
    </row>
    <row r="2748" spans="9:12">
      <c r="I2748" s="5">
        <f>IF(OR(A2748="",B2748=""),"",B2748-WEEKDAY(B2748,2)+1)</f>
        <v/>
      </c>
      <c r="J2748" s="5">
        <f>IF(I2748="","",I2748+6)</f>
        <v/>
      </c>
      <c r="K2748" s="6">
        <f>IF(OR(A2748="",B2748=""),"",DATE(YEAR(B2748),MONTH(B2748),1))</f>
        <v/>
      </c>
      <c r="L2748" s="7">
        <f>IF(COUNTA(A2748,B2748)=0,"",IF(OR(A2748="",B2748=""),"Preencher CPF e entrada",IF(COUNTIFS($A$12:$A$5011,A2748,$B$12:$B$5011,B2748)&gt;1,"CPF + dia duplicado",IF(OR(AND(E2748&lt;&gt;"",E2748&lt;B2748),AND(F2748&lt;&gt;"",F2748&lt;B2748)),"Evento anterior à entrada",IF(AND(F2748&lt;&gt;"",E2748=""),"Conversa sem agendamento",IF(OR(E2748&gt;TODAY(),F2748&gt;TODAY()),"Verificar evento futuro","OK"))))))</f>
        <v/>
      </c>
    </row>
    <row r="2749" spans="9:12">
      <c r="I2749" s="5">
        <f>IF(OR(A2749="",B2749=""),"",B2749-WEEKDAY(B2749,2)+1)</f>
        <v/>
      </c>
      <c r="J2749" s="5">
        <f>IF(I2749="","",I2749+6)</f>
        <v/>
      </c>
      <c r="K2749" s="6">
        <f>IF(OR(A2749="",B2749=""),"",DATE(YEAR(B2749),MONTH(B2749),1))</f>
        <v/>
      </c>
      <c r="L2749" s="7">
        <f>IF(COUNTA(A2749,B2749)=0,"",IF(OR(A2749="",B2749=""),"Preencher CPF e entrada",IF(COUNTIFS($A$12:$A$5011,A2749,$B$12:$B$5011,B2749)&gt;1,"CPF + dia duplicado",IF(OR(AND(E2749&lt;&gt;"",E2749&lt;B2749),AND(F2749&lt;&gt;"",F2749&lt;B2749)),"Evento anterior à entrada",IF(AND(F2749&lt;&gt;"",E2749=""),"Conversa sem agendamento",IF(OR(E2749&gt;TODAY(),F2749&gt;TODAY()),"Verificar evento futuro","OK"))))))</f>
        <v/>
      </c>
    </row>
    <row r="2750" spans="9:12">
      <c r="I2750" s="5">
        <f>IF(OR(A2750="",B2750=""),"",B2750-WEEKDAY(B2750,2)+1)</f>
        <v/>
      </c>
      <c r="J2750" s="5">
        <f>IF(I2750="","",I2750+6)</f>
        <v/>
      </c>
      <c r="K2750" s="6">
        <f>IF(OR(A2750="",B2750=""),"",DATE(YEAR(B2750),MONTH(B2750),1))</f>
        <v/>
      </c>
      <c r="L2750" s="7">
        <f>IF(COUNTA(A2750,B2750)=0,"",IF(OR(A2750="",B2750=""),"Preencher CPF e entrada",IF(COUNTIFS($A$12:$A$5011,A2750,$B$12:$B$5011,B2750)&gt;1,"CPF + dia duplicado",IF(OR(AND(E2750&lt;&gt;"",E2750&lt;B2750),AND(F2750&lt;&gt;"",F2750&lt;B2750)),"Evento anterior à entrada",IF(AND(F2750&lt;&gt;"",E2750=""),"Conversa sem agendamento",IF(OR(E2750&gt;TODAY(),F2750&gt;TODAY()),"Verificar evento futuro","OK"))))))</f>
        <v/>
      </c>
    </row>
    <row r="2751" spans="9:12">
      <c r="I2751" s="5">
        <f>IF(OR(A2751="",B2751=""),"",B2751-WEEKDAY(B2751,2)+1)</f>
        <v/>
      </c>
      <c r="J2751" s="5">
        <f>IF(I2751="","",I2751+6)</f>
        <v/>
      </c>
      <c r="K2751" s="6">
        <f>IF(OR(A2751="",B2751=""),"",DATE(YEAR(B2751),MONTH(B2751),1))</f>
        <v/>
      </c>
      <c r="L2751" s="7">
        <f>IF(COUNTA(A2751,B2751)=0,"",IF(OR(A2751="",B2751=""),"Preencher CPF e entrada",IF(COUNTIFS($A$12:$A$5011,A2751,$B$12:$B$5011,B2751)&gt;1,"CPF + dia duplicado",IF(OR(AND(E2751&lt;&gt;"",E2751&lt;B2751),AND(F2751&lt;&gt;"",F2751&lt;B2751)),"Evento anterior à entrada",IF(AND(F2751&lt;&gt;"",E2751=""),"Conversa sem agendamento",IF(OR(E2751&gt;TODAY(),F2751&gt;TODAY()),"Verificar evento futuro","OK"))))))</f>
        <v/>
      </c>
    </row>
    <row r="2752" spans="9:12">
      <c r="I2752" s="5">
        <f>IF(OR(A2752="",B2752=""),"",B2752-WEEKDAY(B2752,2)+1)</f>
        <v/>
      </c>
      <c r="J2752" s="5">
        <f>IF(I2752="","",I2752+6)</f>
        <v/>
      </c>
      <c r="K2752" s="6">
        <f>IF(OR(A2752="",B2752=""),"",DATE(YEAR(B2752),MONTH(B2752),1))</f>
        <v/>
      </c>
      <c r="L2752" s="7">
        <f>IF(COUNTA(A2752,B2752)=0,"",IF(OR(A2752="",B2752=""),"Preencher CPF e entrada",IF(COUNTIFS($A$12:$A$5011,A2752,$B$12:$B$5011,B2752)&gt;1,"CPF + dia duplicado",IF(OR(AND(E2752&lt;&gt;"",E2752&lt;B2752),AND(F2752&lt;&gt;"",F2752&lt;B2752)),"Evento anterior à entrada",IF(AND(F2752&lt;&gt;"",E2752=""),"Conversa sem agendamento",IF(OR(E2752&gt;TODAY(),F2752&gt;TODAY()),"Verificar evento futuro","OK"))))))</f>
        <v/>
      </c>
    </row>
    <row r="2753" spans="9:12">
      <c r="I2753" s="5">
        <f>IF(OR(A2753="",B2753=""),"",B2753-WEEKDAY(B2753,2)+1)</f>
        <v/>
      </c>
      <c r="J2753" s="5">
        <f>IF(I2753="","",I2753+6)</f>
        <v/>
      </c>
      <c r="K2753" s="6">
        <f>IF(OR(A2753="",B2753=""),"",DATE(YEAR(B2753),MONTH(B2753),1))</f>
        <v/>
      </c>
      <c r="L2753" s="7">
        <f>IF(COUNTA(A2753,B2753)=0,"",IF(OR(A2753="",B2753=""),"Preencher CPF e entrada",IF(COUNTIFS($A$12:$A$5011,A2753,$B$12:$B$5011,B2753)&gt;1,"CPF + dia duplicado",IF(OR(AND(E2753&lt;&gt;"",E2753&lt;B2753),AND(F2753&lt;&gt;"",F2753&lt;B2753)),"Evento anterior à entrada",IF(AND(F2753&lt;&gt;"",E2753=""),"Conversa sem agendamento",IF(OR(E2753&gt;TODAY(),F2753&gt;TODAY()),"Verificar evento futuro","OK"))))))</f>
        <v/>
      </c>
    </row>
    <row r="2754" spans="9:12">
      <c r="I2754" s="5">
        <f>IF(OR(A2754="",B2754=""),"",B2754-WEEKDAY(B2754,2)+1)</f>
        <v/>
      </c>
      <c r="J2754" s="5">
        <f>IF(I2754="","",I2754+6)</f>
        <v/>
      </c>
      <c r="K2754" s="6">
        <f>IF(OR(A2754="",B2754=""),"",DATE(YEAR(B2754),MONTH(B2754),1))</f>
        <v/>
      </c>
      <c r="L2754" s="7">
        <f>IF(COUNTA(A2754,B2754)=0,"",IF(OR(A2754="",B2754=""),"Preencher CPF e entrada",IF(COUNTIFS($A$12:$A$5011,A2754,$B$12:$B$5011,B2754)&gt;1,"CPF + dia duplicado",IF(OR(AND(E2754&lt;&gt;"",E2754&lt;B2754),AND(F2754&lt;&gt;"",F2754&lt;B2754)),"Evento anterior à entrada",IF(AND(F2754&lt;&gt;"",E2754=""),"Conversa sem agendamento",IF(OR(E2754&gt;TODAY(),F2754&gt;TODAY()),"Verificar evento futuro","OK"))))))</f>
        <v/>
      </c>
    </row>
    <row r="2755" spans="9:12">
      <c r="I2755" s="5">
        <f>IF(OR(A2755="",B2755=""),"",B2755-WEEKDAY(B2755,2)+1)</f>
        <v/>
      </c>
      <c r="J2755" s="5">
        <f>IF(I2755="","",I2755+6)</f>
        <v/>
      </c>
      <c r="K2755" s="6">
        <f>IF(OR(A2755="",B2755=""),"",DATE(YEAR(B2755),MONTH(B2755),1))</f>
        <v/>
      </c>
      <c r="L2755" s="7">
        <f>IF(COUNTA(A2755,B2755)=0,"",IF(OR(A2755="",B2755=""),"Preencher CPF e entrada",IF(COUNTIFS($A$12:$A$5011,A2755,$B$12:$B$5011,B2755)&gt;1,"CPF + dia duplicado",IF(OR(AND(E2755&lt;&gt;"",E2755&lt;B2755),AND(F2755&lt;&gt;"",F2755&lt;B2755)),"Evento anterior à entrada",IF(AND(F2755&lt;&gt;"",E2755=""),"Conversa sem agendamento",IF(OR(E2755&gt;TODAY(),F2755&gt;TODAY()),"Verificar evento futuro","OK"))))))</f>
        <v/>
      </c>
    </row>
    <row r="2756" spans="9:12">
      <c r="I2756" s="5">
        <f>IF(OR(A2756="",B2756=""),"",B2756-WEEKDAY(B2756,2)+1)</f>
        <v/>
      </c>
      <c r="J2756" s="5">
        <f>IF(I2756="","",I2756+6)</f>
        <v/>
      </c>
      <c r="K2756" s="6">
        <f>IF(OR(A2756="",B2756=""),"",DATE(YEAR(B2756),MONTH(B2756),1))</f>
        <v/>
      </c>
      <c r="L2756" s="7">
        <f>IF(COUNTA(A2756,B2756)=0,"",IF(OR(A2756="",B2756=""),"Preencher CPF e entrada",IF(COUNTIFS($A$12:$A$5011,A2756,$B$12:$B$5011,B2756)&gt;1,"CPF + dia duplicado",IF(OR(AND(E2756&lt;&gt;"",E2756&lt;B2756),AND(F2756&lt;&gt;"",F2756&lt;B2756)),"Evento anterior à entrada",IF(AND(F2756&lt;&gt;"",E2756=""),"Conversa sem agendamento",IF(OR(E2756&gt;TODAY(),F2756&gt;TODAY()),"Verificar evento futuro","OK"))))))</f>
        <v/>
      </c>
    </row>
    <row r="2757" spans="9:12">
      <c r="I2757" s="5">
        <f>IF(OR(A2757="",B2757=""),"",B2757-WEEKDAY(B2757,2)+1)</f>
        <v/>
      </c>
      <c r="J2757" s="5">
        <f>IF(I2757="","",I2757+6)</f>
        <v/>
      </c>
      <c r="K2757" s="6">
        <f>IF(OR(A2757="",B2757=""),"",DATE(YEAR(B2757),MONTH(B2757),1))</f>
        <v/>
      </c>
      <c r="L2757" s="7">
        <f>IF(COUNTA(A2757,B2757)=0,"",IF(OR(A2757="",B2757=""),"Preencher CPF e entrada",IF(COUNTIFS($A$12:$A$5011,A2757,$B$12:$B$5011,B2757)&gt;1,"CPF + dia duplicado",IF(OR(AND(E2757&lt;&gt;"",E2757&lt;B2757),AND(F2757&lt;&gt;"",F2757&lt;B2757)),"Evento anterior à entrada",IF(AND(F2757&lt;&gt;"",E2757=""),"Conversa sem agendamento",IF(OR(E2757&gt;TODAY(),F2757&gt;TODAY()),"Verificar evento futuro","OK"))))))</f>
        <v/>
      </c>
    </row>
    <row r="2758" spans="9:12">
      <c r="I2758" s="5">
        <f>IF(OR(A2758="",B2758=""),"",B2758-WEEKDAY(B2758,2)+1)</f>
        <v/>
      </c>
      <c r="J2758" s="5">
        <f>IF(I2758="","",I2758+6)</f>
        <v/>
      </c>
      <c r="K2758" s="6">
        <f>IF(OR(A2758="",B2758=""),"",DATE(YEAR(B2758),MONTH(B2758),1))</f>
        <v/>
      </c>
      <c r="L2758" s="7">
        <f>IF(COUNTA(A2758,B2758)=0,"",IF(OR(A2758="",B2758=""),"Preencher CPF e entrada",IF(COUNTIFS($A$12:$A$5011,A2758,$B$12:$B$5011,B2758)&gt;1,"CPF + dia duplicado",IF(OR(AND(E2758&lt;&gt;"",E2758&lt;B2758),AND(F2758&lt;&gt;"",F2758&lt;B2758)),"Evento anterior à entrada",IF(AND(F2758&lt;&gt;"",E2758=""),"Conversa sem agendamento",IF(OR(E2758&gt;TODAY(),F2758&gt;TODAY()),"Verificar evento futuro","OK"))))))</f>
        <v/>
      </c>
    </row>
    <row r="2759" spans="9:12">
      <c r="I2759" s="5">
        <f>IF(OR(A2759="",B2759=""),"",B2759-WEEKDAY(B2759,2)+1)</f>
        <v/>
      </c>
      <c r="J2759" s="5">
        <f>IF(I2759="","",I2759+6)</f>
        <v/>
      </c>
      <c r="K2759" s="6">
        <f>IF(OR(A2759="",B2759=""),"",DATE(YEAR(B2759),MONTH(B2759),1))</f>
        <v/>
      </c>
      <c r="L2759" s="7">
        <f>IF(COUNTA(A2759,B2759)=0,"",IF(OR(A2759="",B2759=""),"Preencher CPF e entrada",IF(COUNTIFS($A$12:$A$5011,A2759,$B$12:$B$5011,B2759)&gt;1,"CPF + dia duplicado",IF(OR(AND(E2759&lt;&gt;"",E2759&lt;B2759),AND(F2759&lt;&gt;"",F2759&lt;B2759)),"Evento anterior à entrada",IF(AND(F2759&lt;&gt;"",E2759=""),"Conversa sem agendamento",IF(OR(E2759&gt;TODAY(),F2759&gt;TODAY()),"Verificar evento futuro","OK"))))))</f>
        <v/>
      </c>
    </row>
    <row r="2760" spans="9:12">
      <c r="I2760" s="5">
        <f>IF(OR(A2760="",B2760=""),"",B2760-WEEKDAY(B2760,2)+1)</f>
        <v/>
      </c>
      <c r="J2760" s="5">
        <f>IF(I2760="","",I2760+6)</f>
        <v/>
      </c>
      <c r="K2760" s="6">
        <f>IF(OR(A2760="",B2760=""),"",DATE(YEAR(B2760),MONTH(B2760),1))</f>
        <v/>
      </c>
      <c r="L2760" s="7">
        <f>IF(COUNTA(A2760,B2760)=0,"",IF(OR(A2760="",B2760=""),"Preencher CPF e entrada",IF(COUNTIFS($A$12:$A$5011,A2760,$B$12:$B$5011,B2760)&gt;1,"CPF + dia duplicado",IF(OR(AND(E2760&lt;&gt;"",E2760&lt;B2760),AND(F2760&lt;&gt;"",F2760&lt;B2760)),"Evento anterior à entrada",IF(AND(F2760&lt;&gt;"",E2760=""),"Conversa sem agendamento",IF(OR(E2760&gt;TODAY(),F2760&gt;TODAY()),"Verificar evento futuro","OK"))))))</f>
        <v/>
      </c>
    </row>
    <row r="2761" spans="9:12">
      <c r="I2761" s="5">
        <f>IF(OR(A2761="",B2761=""),"",B2761-WEEKDAY(B2761,2)+1)</f>
        <v/>
      </c>
      <c r="J2761" s="5">
        <f>IF(I2761="","",I2761+6)</f>
        <v/>
      </c>
      <c r="K2761" s="6">
        <f>IF(OR(A2761="",B2761=""),"",DATE(YEAR(B2761),MONTH(B2761),1))</f>
        <v/>
      </c>
      <c r="L2761" s="7">
        <f>IF(COUNTA(A2761,B2761)=0,"",IF(OR(A2761="",B2761=""),"Preencher CPF e entrada",IF(COUNTIFS($A$12:$A$5011,A2761,$B$12:$B$5011,B2761)&gt;1,"CPF + dia duplicado",IF(OR(AND(E2761&lt;&gt;"",E2761&lt;B2761),AND(F2761&lt;&gt;"",F2761&lt;B2761)),"Evento anterior à entrada",IF(AND(F2761&lt;&gt;"",E2761=""),"Conversa sem agendamento",IF(OR(E2761&gt;TODAY(),F2761&gt;TODAY()),"Verificar evento futuro","OK"))))))</f>
        <v/>
      </c>
    </row>
    <row r="2762" spans="9:12">
      <c r="I2762" s="5">
        <f>IF(OR(A2762="",B2762=""),"",B2762-WEEKDAY(B2762,2)+1)</f>
        <v/>
      </c>
      <c r="J2762" s="5">
        <f>IF(I2762="","",I2762+6)</f>
        <v/>
      </c>
      <c r="K2762" s="6">
        <f>IF(OR(A2762="",B2762=""),"",DATE(YEAR(B2762),MONTH(B2762),1))</f>
        <v/>
      </c>
      <c r="L2762" s="7">
        <f>IF(COUNTA(A2762,B2762)=0,"",IF(OR(A2762="",B2762=""),"Preencher CPF e entrada",IF(COUNTIFS($A$12:$A$5011,A2762,$B$12:$B$5011,B2762)&gt;1,"CPF + dia duplicado",IF(OR(AND(E2762&lt;&gt;"",E2762&lt;B2762),AND(F2762&lt;&gt;"",F2762&lt;B2762)),"Evento anterior à entrada",IF(AND(F2762&lt;&gt;"",E2762=""),"Conversa sem agendamento",IF(OR(E2762&gt;TODAY(),F2762&gt;TODAY()),"Verificar evento futuro","OK"))))))</f>
        <v/>
      </c>
    </row>
    <row r="2763" spans="9:12">
      <c r="I2763" s="5">
        <f>IF(OR(A2763="",B2763=""),"",B2763-WEEKDAY(B2763,2)+1)</f>
        <v/>
      </c>
      <c r="J2763" s="5">
        <f>IF(I2763="","",I2763+6)</f>
        <v/>
      </c>
      <c r="K2763" s="6">
        <f>IF(OR(A2763="",B2763=""),"",DATE(YEAR(B2763),MONTH(B2763),1))</f>
        <v/>
      </c>
      <c r="L2763" s="7">
        <f>IF(COUNTA(A2763,B2763)=0,"",IF(OR(A2763="",B2763=""),"Preencher CPF e entrada",IF(COUNTIFS($A$12:$A$5011,A2763,$B$12:$B$5011,B2763)&gt;1,"CPF + dia duplicado",IF(OR(AND(E2763&lt;&gt;"",E2763&lt;B2763),AND(F2763&lt;&gt;"",F2763&lt;B2763)),"Evento anterior à entrada",IF(AND(F2763&lt;&gt;"",E2763=""),"Conversa sem agendamento",IF(OR(E2763&gt;TODAY(),F2763&gt;TODAY()),"Verificar evento futuro","OK"))))))</f>
        <v/>
      </c>
    </row>
    <row r="2764" spans="9:12">
      <c r="I2764" s="5">
        <f>IF(OR(A2764="",B2764=""),"",B2764-WEEKDAY(B2764,2)+1)</f>
        <v/>
      </c>
      <c r="J2764" s="5">
        <f>IF(I2764="","",I2764+6)</f>
        <v/>
      </c>
      <c r="K2764" s="6">
        <f>IF(OR(A2764="",B2764=""),"",DATE(YEAR(B2764),MONTH(B2764),1))</f>
        <v/>
      </c>
      <c r="L2764" s="7">
        <f>IF(COUNTA(A2764,B2764)=0,"",IF(OR(A2764="",B2764=""),"Preencher CPF e entrada",IF(COUNTIFS($A$12:$A$5011,A2764,$B$12:$B$5011,B2764)&gt;1,"CPF + dia duplicado",IF(OR(AND(E2764&lt;&gt;"",E2764&lt;B2764),AND(F2764&lt;&gt;"",F2764&lt;B2764)),"Evento anterior à entrada",IF(AND(F2764&lt;&gt;"",E2764=""),"Conversa sem agendamento",IF(OR(E2764&gt;TODAY(),F2764&gt;TODAY()),"Verificar evento futuro","OK"))))))</f>
        <v/>
      </c>
    </row>
    <row r="2765" spans="9:12">
      <c r="I2765" s="5">
        <f>IF(OR(A2765="",B2765=""),"",B2765-WEEKDAY(B2765,2)+1)</f>
        <v/>
      </c>
      <c r="J2765" s="5">
        <f>IF(I2765="","",I2765+6)</f>
        <v/>
      </c>
      <c r="K2765" s="6">
        <f>IF(OR(A2765="",B2765=""),"",DATE(YEAR(B2765),MONTH(B2765),1))</f>
        <v/>
      </c>
      <c r="L2765" s="7">
        <f>IF(COUNTA(A2765,B2765)=0,"",IF(OR(A2765="",B2765=""),"Preencher CPF e entrada",IF(COUNTIFS($A$12:$A$5011,A2765,$B$12:$B$5011,B2765)&gt;1,"CPF + dia duplicado",IF(OR(AND(E2765&lt;&gt;"",E2765&lt;B2765),AND(F2765&lt;&gt;"",F2765&lt;B2765)),"Evento anterior à entrada",IF(AND(F2765&lt;&gt;"",E2765=""),"Conversa sem agendamento",IF(OR(E2765&gt;TODAY(),F2765&gt;TODAY()),"Verificar evento futuro","OK"))))))</f>
        <v/>
      </c>
    </row>
    <row r="2766" spans="9:12">
      <c r="I2766" s="5">
        <f>IF(OR(A2766="",B2766=""),"",B2766-WEEKDAY(B2766,2)+1)</f>
        <v/>
      </c>
      <c r="J2766" s="5">
        <f>IF(I2766="","",I2766+6)</f>
        <v/>
      </c>
      <c r="K2766" s="6">
        <f>IF(OR(A2766="",B2766=""),"",DATE(YEAR(B2766),MONTH(B2766),1))</f>
        <v/>
      </c>
      <c r="L2766" s="7">
        <f>IF(COUNTA(A2766,B2766)=0,"",IF(OR(A2766="",B2766=""),"Preencher CPF e entrada",IF(COUNTIFS($A$12:$A$5011,A2766,$B$12:$B$5011,B2766)&gt;1,"CPF + dia duplicado",IF(OR(AND(E2766&lt;&gt;"",E2766&lt;B2766),AND(F2766&lt;&gt;"",F2766&lt;B2766)),"Evento anterior à entrada",IF(AND(F2766&lt;&gt;"",E2766=""),"Conversa sem agendamento",IF(OR(E2766&gt;TODAY(),F2766&gt;TODAY()),"Verificar evento futuro","OK"))))))</f>
        <v/>
      </c>
    </row>
    <row r="2767" spans="9:12">
      <c r="I2767" s="5">
        <f>IF(OR(A2767="",B2767=""),"",B2767-WEEKDAY(B2767,2)+1)</f>
        <v/>
      </c>
      <c r="J2767" s="5">
        <f>IF(I2767="","",I2767+6)</f>
        <v/>
      </c>
      <c r="K2767" s="6">
        <f>IF(OR(A2767="",B2767=""),"",DATE(YEAR(B2767),MONTH(B2767),1))</f>
        <v/>
      </c>
      <c r="L2767" s="7">
        <f>IF(COUNTA(A2767,B2767)=0,"",IF(OR(A2767="",B2767=""),"Preencher CPF e entrada",IF(COUNTIFS($A$12:$A$5011,A2767,$B$12:$B$5011,B2767)&gt;1,"CPF + dia duplicado",IF(OR(AND(E2767&lt;&gt;"",E2767&lt;B2767),AND(F2767&lt;&gt;"",F2767&lt;B2767)),"Evento anterior à entrada",IF(AND(F2767&lt;&gt;"",E2767=""),"Conversa sem agendamento",IF(OR(E2767&gt;TODAY(),F2767&gt;TODAY()),"Verificar evento futuro","OK"))))))</f>
        <v/>
      </c>
    </row>
    <row r="2768" spans="9:12">
      <c r="I2768" s="5">
        <f>IF(OR(A2768="",B2768=""),"",B2768-WEEKDAY(B2768,2)+1)</f>
        <v/>
      </c>
      <c r="J2768" s="5">
        <f>IF(I2768="","",I2768+6)</f>
        <v/>
      </c>
      <c r="K2768" s="6">
        <f>IF(OR(A2768="",B2768=""),"",DATE(YEAR(B2768),MONTH(B2768),1))</f>
        <v/>
      </c>
      <c r="L2768" s="7">
        <f>IF(COUNTA(A2768,B2768)=0,"",IF(OR(A2768="",B2768=""),"Preencher CPF e entrada",IF(COUNTIFS($A$12:$A$5011,A2768,$B$12:$B$5011,B2768)&gt;1,"CPF + dia duplicado",IF(OR(AND(E2768&lt;&gt;"",E2768&lt;B2768),AND(F2768&lt;&gt;"",F2768&lt;B2768)),"Evento anterior à entrada",IF(AND(F2768&lt;&gt;"",E2768=""),"Conversa sem agendamento",IF(OR(E2768&gt;TODAY(),F2768&gt;TODAY()),"Verificar evento futuro","OK"))))))</f>
        <v/>
      </c>
    </row>
    <row r="2769" spans="9:12">
      <c r="I2769" s="5">
        <f>IF(OR(A2769="",B2769=""),"",B2769-WEEKDAY(B2769,2)+1)</f>
        <v/>
      </c>
      <c r="J2769" s="5">
        <f>IF(I2769="","",I2769+6)</f>
        <v/>
      </c>
      <c r="K2769" s="6">
        <f>IF(OR(A2769="",B2769=""),"",DATE(YEAR(B2769),MONTH(B2769),1))</f>
        <v/>
      </c>
      <c r="L2769" s="7">
        <f>IF(COUNTA(A2769,B2769)=0,"",IF(OR(A2769="",B2769=""),"Preencher CPF e entrada",IF(COUNTIFS($A$12:$A$5011,A2769,$B$12:$B$5011,B2769)&gt;1,"CPF + dia duplicado",IF(OR(AND(E2769&lt;&gt;"",E2769&lt;B2769),AND(F2769&lt;&gt;"",F2769&lt;B2769)),"Evento anterior à entrada",IF(AND(F2769&lt;&gt;"",E2769=""),"Conversa sem agendamento",IF(OR(E2769&gt;TODAY(),F2769&gt;TODAY()),"Verificar evento futuro","OK"))))))</f>
        <v/>
      </c>
    </row>
    <row r="2770" spans="9:12">
      <c r="I2770" s="5">
        <f>IF(OR(A2770="",B2770=""),"",B2770-WEEKDAY(B2770,2)+1)</f>
        <v/>
      </c>
      <c r="J2770" s="5">
        <f>IF(I2770="","",I2770+6)</f>
        <v/>
      </c>
      <c r="K2770" s="6">
        <f>IF(OR(A2770="",B2770=""),"",DATE(YEAR(B2770),MONTH(B2770),1))</f>
        <v/>
      </c>
      <c r="L2770" s="7">
        <f>IF(COUNTA(A2770,B2770)=0,"",IF(OR(A2770="",B2770=""),"Preencher CPF e entrada",IF(COUNTIFS($A$12:$A$5011,A2770,$B$12:$B$5011,B2770)&gt;1,"CPF + dia duplicado",IF(OR(AND(E2770&lt;&gt;"",E2770&lt;B2770),AND(F2770&lt;&gt;"",F2770&lt;B2770)),"Evento anterior à entrada",IF(AND(F2770&lt;&gt;"",E2770=""),"Conversa sem agendamento",IF(OR(E2770&gt;TODAY(),F2770&gt;TODAY()),"Verificar evento futuro","OK"))))))</f>
        <v/>
      </c>
    </row>
    <row r="2771" spans="9:12">
      <c r="I2771" s="5">
        <f>IF(OR(A2771="",B2771=""),"",B2771-WEEKDAY(B2771,2)+1)</f>
        <v/>
      </c>
      <c r="J2771" s="5">
        <f>IF(I2771="","",I2771+6)</f>
        <v/>
      </c>
      <c r="K2771" s="6">
        <f>IF(OR(A2771="",B2771=""),"",DATE(YEAR(B2771),MONTH(B2771),1))</f>
        <v/>
      </c>
      <c r="L2771" s="7">
        <f>IF(COUNTA(A2771,B2771)=0,"",IF(OR(A2771="",B2771=""),"Preencher CPF e entrada",IF(COUNTIFS($A$12:$A$5011,A2771,$B$12:$B$5011,B2771)&gt;1,"CPF + dia duplicado",IF(OR(AND(E2771&lt;&gt;"",E2771&lt;B2771),AND(F2771&lt;&gt;"",F2771&lt;B2771)),"Evento anterior à entrada",IF(AND(F2771&lt;&gt;"",E2771=""),"Conversa sem agendamento",IF(OR(E2771&gt;TODAY(),F2771&gt;TODAY()),"Verificar evento futuro","OK"))))))</f>
        <v/>
      </c>
    </row>
    <row r="2772" spans="9:12">
      <c r="I2772" s="5">
        <f>IF(OR(A2772="",B2772=""),"",B2772-WEEKDAY(B2772,2)+1)</f>
        <v/>
      </c>
      <c r="J2772" s="5">
        <f>IF(I2772="","",I2772+6)</f>
        <v/>
      </c>
      <c r="K2772" s="6">
        <f>IF(OR(A2772="",B2772=""),"",DATE(YEAR(B2772),MONTH(B2772),1))</f>
        <v/>
      </c>
      <c r="L2772" s="7">
        <f>IF(COUNTA(A2772,B2772)=0,"",IF(OR(A2772="",B2772=""),"Preencher CPF e entrada",IF(COUNTIFS($A$12:$A$5011,A2772,$B$12:$B$5011,B2772)&gt;1,"CPF + dia duplicado",IF(OR(AND(E2772&lt;&gt;"",E2772&lt;B2772),AND(F2772&lt;&gt;"",F2772&lt;B2772)),"Evento anterior à entrada",IF(AND(F2772&lt;&gt;"",E2772=""),"Conversa sem agendamento",IF(OR(E2772&gt;TODAY(),F2772&gt;TODAY()),"Verificar evento futuro","OK"))))))</f>
        <v/>
      </c>
    </row>
    <row r="2773" spans="9:12">
      <c r="I2773" s="5">
        <f>IF(OR(A2773="",B2773=""),"",B2773-WEEKDAY(B2773,2)+1)</f>
        <v/>
      </c>
      <c r="J2773" s="5">
        <f>IF(I2773="","",I2773+6)</f>
        <v/>
      </c>
      <c r="K2773" s="6">
        <f>IF(OR(A2773="",B2773=""),"",DATE(YEAR(B2773),MONTH(B2773),1))</f>
        <v/>
      </c>
      <c r="L2773" s="7">
        <f>IF(COUNTA(A2773,B2773)=0,"",IF(OR(A2773="",B2773=""),"Preencher CPF e entrada",IF(COUNTIFS($A$12:$A$5011,A2773,$B$12:$B$5011,B2773)&gt;1,"CPF + dia duplicado",IF(OR(AND(E2773&lt;&gt;"",E2773&lt;B2773),AND(F2773&lt;&gt;"",F2773&lt;B2773)),"Evento anterior à entrada",IF(AND(F2773&lt;&gt;"",E2773=""),"Conversa sem agendamento",IF(OR(E2773&gt;TODAY(),F2773&gt;TODAY()),"Verificar evento futuro","OK"))))))</f>
        <v/>
      </c>
    </row>
    <row r="2774" spans="9:12">
      <c r="I2774" s="5">
        <f>IF(OR(A2774="",B2774=""),"",B2774-WEEKDAY(B2774,2)+1)</f>
        <v/>
      </c>
      <c r="J2774" s="5">
        <f>IF(I2774="","",I2774+6)</f>
        <v/>
      </c>
      <c r="K2774" s="6">
        <f>IF(OR(A2774="",B2774=""),"",DATE(YEAR(B2774),MONTH(B2774),1))</f>
        <v/>
      </c>
      <c r="L2774" s="7">
        <f>IF(COUNTA(A2774,B2774)=0,"",IF(OR(A2774="",B2774=""),"Preencher CPF e entrada",IF(COUNTIFS($A$12:$A$5011,A2774,$B$12:$B$5011,B2774)&gt;1,"CPF + dia duplicado",IF(OR(AND(E2774&lt;&gt;"",E2774&lt;B2774),AND(F2774&lt;&gt;"",F2774&lt;B2774)),"Evento anterior à entrada",IF(AND(F2774&lt;&gt;"",E2774=""),"Conversa sem agendamento",IF(OR(E2774&gt;TODAY(),F2774&gt;TODAY()),"Verificar evento futuro","OK"))))))</f>
        <v/>
      </c>
    </row>
    <row r="2775" spans="9:12">
      <c r="I2775" s="5">
        <f>IF(OR(A2775="",B2775=""),"",B2775-WEEKDAY(B2775,2)+1)</f>
        <v/>
      </c>
      <c r="J2775" s="5">
        <f>IF(I2775="","",I2775+6)</f>
        <v/>
      </c>
      <c r="K2775" s="6">
        <f>IF(OR(A2775="",B2775=""),"",DATE(YEAR(B2775),MONTH(B2775),1))</f>
        <v/>
      </c>
      <c r="L2775" s="7">
        <f>IF(COUNTA(A2775,B2775)=0,"",IF(OR(A2775="",B2775=""),"Preencher CPF e entrada",IF(COUNTIFS($A$12:$A$5011,A2775,$B$12:$B$5011,B2775)&gt;1,"CPF + dia duplicado",IF(OR(AND(E2775&lt;&gt;"",E2775&lt;B2775),AND(F2775&lt;&gt;"",F2775&lt;B2775)),"Evento anterior à entrada",IF(AND(F2775&lt;&gt;"",E2775=""),"Conversa sem agendamento",IF(OR(E2775&gt;TODAY(),F2775&gt;TODAY()),"Verificar evento futuro","OK"))))))</f>
        <v/>
      </c>
    </row>
    <row r="2776" spans="9:12">
      <c r="I2776" s="5">
        <f>IF(OR(A2776="",B2776=""),"",B2776-WEEKDAY(B2776,2)+1)</f>
        <v/>
      </c>
      <c r="J2776" s="5">
        <f>IF(I2776="","",I2776+6)</f>
        <v/>
      </c>
      <c r="K2776" s="6">
        <f>IF(OR(A2776="",B2776=""),"",DATE(YEAR(B2776),MONTH(B2776),1))</f>
        <v/>
      </c>
      <c r="L2776" s="7">
        <f>IF(COUNTA(A2776,B2776)=0,"",IF(OR(A2776="",B2776=""),"Preencher CPF e entrada",IF(COUNTIFS($A$12:$A$5011,A2776,$B$12:$B$5011,B2776)&gt;1,"CPF + dia duplicado",IF(OR(AND(E2776&lt;&gt;"",E2776&lt;B2776),AND(F2776&lt;&gt;"",F2776&lt;B2776)),"Evento anterior à entrada",IF(AND(F2776&lt;&gt;"",E2776=""),"Conversa sem agendamento",IF(OR(E2776&gt;TODAY(),F2776&gt;TODAY()),"Verificar evento futuro","OK"))))))</f>
        <v/>
      </c>
    </row>
    <row r="2777" spans="9:12">
      <c r="I2777" s="5">
        <f>IF(OR(A2777="",B2777=""),"",B2777-WEEKDAY(B2777,2)+1)</f>
        <v/>
      </c>
      <c r="J2777" s="5">
        <f>IF(I2777="","",I2777+6)</f>
        <v/>
      </c>
      <c r="K2777" s="6">
        <f>IF(OR(A2777="",B2777=""),"",DATE(YEAR(B2777),MONTH(B2777),1))</f>
        <v/>
      </c>
      <c r="L2777" s="7">
        <f>IF(COUNTA(A2777,B2777)=0,"",IF(OR(A2777="",B2777=""),"Preencher CPF e entrada",IF(COUNTIFS($A$12:$A$5011,A2777,$B$12:$B$5011,B2777)&gt;1,"CPF + dia duplicado",IF(OR(AND(E2777&lt;&gt;"",E2777&lt;B2777),AND(F2777&lt;&gt;"",F2777&lt;B2777)),"Evento anterior à entrada",IF(AND(F2777&lt;&gt;"",E2777=""),"Conversa sem agendamento",IF(OR(E2777&gt;TODAY(),F2777&gt;TODAY()),"Verificar evento futuro","OK"))))))</f>
        <v/>
      </c>
    </row>
    <row r="2778" spans="9:12">
      <c r="I2778" s="5">
        <f>IF(OR(A2778="",B2778=""),"",B2778-WEEKDAY(B2778,2)+1)</f>
        <v/>
      </c>
      <c r="J2778" s="5">
        <f>IF(I2778="","",I2778+6)</f>
        <v/>
      </c>
      <c r="K2778" s="6">
        <f>IF(OR(A2778="",B2778=""),"",DATE(YEAR(B2778),MONTH(B2778),1))</f>
        <v/>
      </c>
      <c r="L2778" s="7">
        <f>IF(COUNTA(A2778,B2778)=0,"",IF(OR(A2778="",B2778=""),"Preencher CPF e entrada",IF(COUNTIFS($A$12:$A$5011,A2778,$B$12:$B$5011,B2778)&gt;1,"CPF + dia duplicado",IF(OR(AND(E2778&lt;&gt;"",E2778&lt;B2778),AND(F2778&lt;&gt;"",F2778&lt;B2778)),"Evento anterior à entrada",IF(AND(F2778&lt;&gt;"",E2778=""),"Conversa sem agendamento",IF(OR(E2778&gt;TODAY(),F2778&gt;TODAY()),"Verificar evento futuro","OK"))))))</f>
        <v/>
      </c>
    </row>
    <row r="2779" spans="9:12">
      <c r="I2779" s="5">
        <f>IF(OR(A2779="",B2779=""),"",B2779-WEEKDAY(B2779,2)+1)</f>
        <v/>
      </c>
      <c r="J2779" s="5">
        <f>IF(I2779="","",I2779+6)</f>
        <v/>
      </c>
      <c r="K2779" s="6">
        <f>IF(OR(A2779="",B2779=""),"",DATE(YEAR(B2779),MONTH(B2779),1))</f>
        <v/>
      </c>
      <c r="L2779" s="7">
        <f>IF(COUNTA(A2779,B2779)=0,"",IF(OR(A2779="",B2779=""),"Preencher CPF e entrada",IF(COUNTIFS($A$12:$A$5011,A2779,$B$12:$B$5011,B2779)&gt;1,"CPF + dia duplicado",IF(OR(AND(E2779&lt;&gt;"",E2779&lt;B2779),AND(F2779&lt;&gt;"",F2779&lt;B2779)),"Evento anterior à entrada",IF(AND(F2779&lt;&gt;"",E2779=""),"Conversa sem agendamento",IF(OR(E2779&gt;TODAY(),F2779&gt;TODAY()),"Verificar evento futuro","OK"))))))</f>
        <v/>
      </c>
    </row>
    <row r="2780" spans="9:12">
      <c r="I2780" s="5">
        <f>IF(OR(A2780="",B2780=""),"",B2780-WEEKDAY(B2780,2)+1)</f>
        <v/>
      </c>
      <c r="J2780" s="5">
        <f>IF(I2780="","",I2780+6)</f>
        <v/>
      </c>
      <c r="K2780" s="6">
        <f>IF(OR(A2780="",B2780=""),"",DATE(YEAR(B2780),MONTH(B2780),1))</f>
        <v/>
      </c>
      <c r="L2780" s="7">
        <f>IF(COUNTA(A2780,B2780)=0,"",IF(OR(A2780="",B2780=""),"Preencher CPF e entrada",IF(COUNTIFS($A$12:$A$5011,A2780,$B$12:$B$5011,B2780)&gt;1,"CPF + dia duplicado",IF(OR(AND(E2780&lt;&gt;"",E2780&lt;B2780),AND(F2780&lt;&gt;"",F2780&lt;B2780)),"Evento anterior à entrada",IF(AND(F2780&lt;&gt;"",E2780=""),"Conversa sem agendamento",IF(OR(E2780&gt;TODAY(),F2780&gt;TODAY()),"Verificar evento futuro","OK"))))))</f>
        <v/>
      </c>
    </row>
    <row r="2781" spans="9:12">
      <c r="I2781" s="5">
        <f>IF(OR(A2781="",B2781=""),"",B2781-WEEKDAY(B2781,2)+1)</f>
        <v/>
      </c>
      <c r="J2781" s="5">
        <f>IF(I2781="","",I2781+6)</f>
        <v/>
      </c>
      <c r="K2781" s="6">
        <f>IF(OR(A2781="",B2781=""),"",DATE(YEAR(B2781),MONTH(B2781),1))</f>
        <v/>
      </c>
      <c r="L2781" s="7">
        <f>IF(COUNTA(A2781,B2781)=0,"",IF(OR(A2781="",B2781=""),"Preencher CPF e entrada",IF(COUNTIFS($A$12:$A$5011,A2781,$B$12:$B$5011,B2781)&gt;1,"CPF + dia duplicado",IF(OR(AND(E2781&lt;&gt;"",E2781&lt;B2781),AND(F2781&lt;&gt;"",F2781&lt;B2781)),"Evento anterior à entrada",IF(AND(F2781&lt;&gt;"",E2781=""),"Conversa sem agendamento",IF(OR(E2781&gt;TODAY(),F2781&gt;TODAY()),"Verificar evento futuro","OK"))))))</f>
        <v/>
      </c>
    </row>
    <row r="2782" spans="9:12">
      <c r="I2782" s="5">
        <f>IF(OR(A2782="",B2782=""),"",B2782-WEEKDAY(B2782,2)+1)</f>
        <v/>
      </c>
      <c r="J2782" s="5">
        <f>IF(I2782="","",I2782+6)</f>
        <v/>
      </c>
      <c r="K2782" s="6">
        <f>IF(OR(A2782="",B2782=""),"",DATE(YEAR(B2782),MONTH(B2782),1))</f>
        <v/>
      </c>
      <c r="L2782" s="7">
        <f>IF(COUNTA(A2782,B2782)=0,"",IF(OR(A2782="",B2782=""),"Preencher CPF e entrada",IF(COUNTIFS($A$12:$A$5011,A2782,$B$12:$B$5011,B2782)&gt;1,"CPF + dia duplicado",IF(OR(AND(E2782&lt;&gt;"",E2782&lt;B2782),AND(F2782&lt;&gt;"",F2782&lt;B2782)),"Evento anterior à entrada",IF(AND(F2782&lt;&gt;"",E2782=""),"Conversa sem agendamento",IF(OR(E2782&gt;TODAY(),F2782&gt;TODAY()),"Verificar evento futuro","OK"))))))</f>
        <v/>
      </c>
    </row>
    <row r="2783" spans="9:12">
      <c r="I2783" s="5">
        <f>IF(OR(A2783="",B2783=""),"",B2783-WEEKDAY(B2783,2)+1)</f>
        <v/>
      </c>
      <c r="J2783" s="5">
        <f>IF(I2783="","",I2783+6)</f>
        <v/>
      </c>
      <c r="K2783" s="6">
        <f>IF(OR(A2783="",B2783=""),"",DATE(YEAR(B2783),MONTH(B2783),1))</f>
        <v/>
      </c>
      <c r="L2783" s="7">
        <f>IF(COUNTA(A2783,B2783)=0,"",IF(OR(A2783="",B2783=""),"Preencher CPF e entrada",IF(COUNTIFS($A$12:$A$5011,A2783,$B$12:$B$5011,B2783)&gt;1,"CPF + dia duplicado",IF(OR(AND(E2783&lt;&gt;"",E2783&lt;B2783),AND(F2783&lt;&gt;"",F2783&lt;B2783)),"Evento anterior à entrada",IF(AND(F2783&lt;&gt;"",E2783=""),"Conversa sem agendamento",IF(OR(E2783&gt;TODAY(),F2783&gt;TODAY()),"Verificar evento futuro","OK"))))))</f>
        <v/>
      </c>
    </row>
    <row r="2784" spans="9:12">
      <c r="I2784" s="5">
        <f>IF(OR(A2784="",B2784=""),"",B2784-WEEKDAY(B2784,2)+1)</f>
        <v/>
      </c>
      <c r="J2784" s="5">
        <f>IF(I2784="","",I2784+6)</f>
        <v/>
      </c>
      <c r="K2784" s="6">
        <f>IF(OR(A2784="",B2784=""),"",DATE(YEAR(B2784),MONTH(B2784),1))</f>
        <v/>
      </c>
      <c r="L2784" s="7">
        <f>IF(COUNTA(A2784,B2784)=0,"",IF(OR(A2784="",B2784=""),"Preencher CPF e entrada",IF(COUNTIFS($A$12:$A$5011,A2784,$B$12:$B$5011,B2784)&gt;1,"CPF + dia duplicado",IF(OR(AND(E2784&lt;&gt;"",E2784&lt;B2784),AND(F2784&lt;&gt;"",F2784&lt;B2784)),"Evento anterior à entrada",IF(AND(F2784&lt;&gt;"",E2784=""),"Conversa sem agendamento",IF(OR(E2784&gt;TODAY(),F2784&gt;TODAY()),"Verificar evento futuro","OK"))))))</f>
        <v/>
      </c>
    </row>
    <row r="2785" spans="9:12">
      <c r="I2785" s="5">
        <f>IF(OR(A2785="",B2785=""),"",B2785-WEEKDAY(B2785,2)+1)</f>
        <v/>
      </c>
      <c r="J2785" s="5">
        <f>IF(I2785="","",I2785+6)</f>
        <v/>
      </c>
      <c r="K2785" s="6">
        <f>IF(OR(A2785="",B2785=""),"",DATE(YEAR(B2785),MONTH(B2785),1))</f>
        <v/>
      </c>
      <c r="L2785" s="7">
        <f>IF(COUNTA(A2785,B2785)=0,"",IF(OR(A2785="",B2785=""),"Preencher CPF e entrada",IF(COUNTIFS($A$12:$A$5011,A2785,$B$12:$B$5011,B2785)&gt;1,"CPF + dia duplicado",IF(OR(AND(E2785&lt;&gt;"",E2785&lt;B2785),AND(F2785&lt;&gt;"",F2785&lt;B2785)),"Evento anterior à entrada",IF(AND(F2785&lt;&gt;"",E2785=""),"Conversa sem agendamento",IF(OR(E2785&gt;TODAY(),F2785&gt;TODAY()),"Verificar evento futuro","OK"))))))</f>
        <v/>
      </c>
    </row>
    <row r="2786" spans="9:12">
      <c r="I2786" s="5">
        <f>IF(OR(A2786="",B2786=""),"",B2786-WEEKDAY(B2786,2)+1)</f>
        <v/>
      </c>
      <c r="J2786" s="5">
        <f>IF(I2786="","",I2786+6)</f>
        <v/>
      </c>
      <c r="K2786" s="6">
        <f>IF(OR(A2786="",B2786=""),"",DATE(YEAR(B2786),MONTH(B2786),1))</f>
        <v/>
      </c>
      <c r="L2786" s="7">
        <f>IF(COUNTA(A2786,B2786)=0,"",IF(OR(A2786="",B2786=""),"Preencher CPF e entrada",IF(COUNTIFS($A$12:$A$5011,A2786,$B$12:$B$5011,B2786)&gt;1,"CPF + dia duplicado",IF(OR(AND(E2786&lt;&gt;"",E2786&lt;B2786),AND(F2786&lt;&gt;"",F2786&lt;B2786)),"Evento anterior à entrada",IF(AND(F2786&lt;&gt;"",E2786=""),"Conversa sem agendamento",IF(OR(E2786&gt;TODAY(),F2786&gt;TODAY()),"Verificar evento futuro","OK"))))))</f>
        <v/>
      </c>
    </row>
    <row r="2787" spans="9:12">
      <c r="I2787" s="5">
        <f>IF(OR(A2787="",B2787=""),"",B2787-WEEKDAY(B2787,2)+1)</f>
        <v/>
      </c>
      <c r="J2787" s="5">
        <f>IF(I2787="","",I2787+6)</f>
        <v/>
      </c>
      <c r="K2787" s="6">
        <f>IF(OR(A2787="",B2787=""),"",DATE(YEAR(B2787),MONTH(B2787),1))</f>
        <v/>
      </c>
      <c r="L2787" s="7">
        <f>IF(COUNTA(A2787,B2787)=0,"",IF(OR(A2787="",B2787=""),"Preencher CPF e entrada",IF(COUNTIFS($A$12:$A$5011,A2787,$B$12:$B$5011,B2787)&gt;1,"CPF + dia duplicado",IF(OR(AND(E2787&lt;&gt;"",E2787&lt;B2787),AND(F2787&lt;&gt;"",F2787&lt;B2787)),"Evento anterior à entrada",IF(AND(F2787&lt;&gt;"",E2787=""),"Conversa sem agendamento",IF(OR(E2787&gt;TODAY(),F2787&gt;TODAY()),"Verificar evento futuro","OK"))))))</f>
        <v/>
      </c>
    </row>
    <row r="2788" spans="9:12">
      <c r="I2788" s="5">
        <f>IF(OR(A2788="",B2788=""),"",B2788-WEEKDAY(B2788,2)+1)</f>
        <v/>
      </c>
      <c r="J2788" s="5">
        <f>IF(I2788="","",I2788+6)</f>
        <v/>
      </c>
      <c r="K2788" s="6">
        <f>IF(OR(A2788="",B2788=""),"",DATE(YEAR(B2788),MONTH(B2788),1))</f>
        <v/>
      </c>
      <c r="L2788" s="7">
        <f>IF(COUNTA(A2788,B2788)=0,"",IF(OR(A2788="",B2788=""),"Preencher CPF e entrada",IF(COUNTIFS($A$12:$A$5011,A2788,$B$12:$B$5011,B2788)&gt;1,"CPF + dia duplicado",IF(OR(AND(E2788&lt;&gt;"",E2788&lt;B2788),AND(F2788&lt;&gt;"",F2788&lt;B2788)),"Evento anterior à entrada",IF(AND(F2788&lt;&gt;"",E2788=""),"Conversa sem agendamento",IF(OR(E2788&gt;TODAY(),F2788&gt;TODAY()),"Verificar evento futuro","OK"))))))</f>
        <v/>
      </c>
    </row>
    <row r="2789" spans="9:12">
      <c r="I2789" s="5">
        <f>IF(OR(A2789="",B2789=""),"",B2789-WEEKDAY(B2789,2)+1)</f>
        <v/>
      </c>
      <c r="J2789" s="5">
        <f>IF(I2789="","",I2789+6)</f>
        <v/>
      </c>
      <c r="K2789" s="6">
        <f>IF(OR(A2789="",B2789=""),"",DATE(YEAR(B2789),MONTH(B2789),1))</f>
        <v/>
      </c>
      <c r="L2789" s="7">
        <f>IF(COUNTA(A2789,B2789)=0,"",IF(OR(A2789="",B2789=""),"Preencher CPF e entrada",IF(COUNTIFS($A$12:$A$5011,A2789,$B$12:$B$5011,B2789)&gt;1,"CPF + dia duplicado",IF(OR(AND(E2789&lt;&gt;"",E2789&lt;B2789),AND(F2789&lt;&gt;"",F2789&lt;B2789)),"Evento anterior à entrada",IF(AND(F2789&lt;&gt;"",E2789=""),"Conversa sem agendamento",IF(OR(E2789&gt;TODAY(),F2789&gt;TODAY()),"Verificar evento futuro","OK"))))))</f>
        <v/>
      </c>
    </row>
    <row r="2790" spans="9:12">
      <c r="I2790" s="5">
        <f>IF(OR(A2790="",B2790=""),"",B2790-WEEKDAY(B2790,2)+1)</f>
        <v/>
      </c>
      <c r="J2790" s="5">
        <f>IF(I2790="","",I2790+6)</f>
        <v/>
      </c>
      <c r="K2790" s="6">
        <f>IF(OR(A2790="",B2790=""),"",DATE(YEAR(B2790),MONTH(B2790),1))</f>
        <v/>
      </c>
      <c r="L2790" s="7">
        <f>IF(COUNTA(A2790,B2790)=0,"",IF(OR(A2790="",B2790=""),"Preencher CPF e entrada",IF(COUNTIFS($A$12:$A$5011,A2790,$B$12:$B$5011,B2790)&gt;1,"CPF + dia duplicado",IF(OR(AND(E2790&lt;&gt;"",E2790&lt;B2790),AND(F2790&lt;&gt;"",F2790&lt;B2790)),"Evento anterior à entrada",IF(AND(F2790&lt;&gt;"",E2790=""),"Conversa sem agendamento",IF(OR(E2790&gt;TODAY(),F2790&gt;TODAY()),"Verificar evento futuro","OK"))))))</f>
        <v/>
      </c>
    </row>
    <row r="2791" spans="9:12">
      <c r="I2791" s="5">
        <f>IF(OR(A2791="",B2791=""),"",B2791-WEEKDAY(B2791,2)+1)</f>
        <v/>
      </c>
      <c r="J2791" s="5">
        <f>IF(I2791="","",I2791+6)</f>
        <v/>
      </c>
      <c r="K2791" s="6">
        <f>IF(OR(A2791="",B2791=""),"",DATE(YEAR(B2791),MONTH(B2791),1))</f>
        <v/>
      </c>
      <c r="L2791" s="7">
        <f>IF(COUNTA(A2791,B2791)=0,"",IF(OR(A2791="",B2791=""),"Preencher CPF e entrada",IF(COUNTIFS($A$12:$A$5011,A2791,$B$12:$B$5011,B2791)&gt;1,"CPF + dia duplicado",IF(OR(AND(E2791&lt;&gt;"",E2791&lt;B2791),AND(F2791&lt;&gt;"",F2791&lt;B2791)),"Evento anterior à entrada",IF(AND(F2791&lt;&gt;"",E2791=""),"Conversa sem agendamento",IF(OR(E2791&gt;TODAY(),F2791&gt;TODAY()),"Verificar evento futuro","OK"))))))</f>
        <v/>
      </c>
    </row>
    <row r="2792" spans="9:12">
      <c r="I2792" s="5">
        <f>IF(OR(A2792="",B2792=""),"",B2792-WEEKDAY(B2792,2)+1)</f>
        <v/>
      </c>
      <c r="J2792" s="5">
        <f>IF(I2792="","",I2792+6)</f>
        <v/>
      </c>
      <c r="K2792" s="6">
        <f>IF(OR(A2792="",B2792=""),"",DATE(YEAR(B2792),MONTH(B2792),1))</f>
        <v/>
      </c>
      <c r="L2792" s="7">
        <f>IF(COUNTA(A2792,B2792)=0,"",IF(OR(A2792="",B2792=""),"Preencher CPF e entrada",IF(COUNTIFS($A$12:$A$5011,A2792,$B$12:$B$5011,B2792)&gt;1,"CPF + dia duplicado",IF(OR(AND(E2792&lt;&gt;"",E2792&lt;B2792),AND(F2792&lt;&gt;"",F2792&lt;B2792)),"Evento anterior à entrada",IF(AND(F2792&lt;&gt;"",E2792=""),"Conversa sem agendamento",IF(OR(E2792&gt;TODAY(),F2792&gt;TODAY()),"Verificar evento futuro","OK"))))))</f>
        <v/>
      </c>
    </row>
    <row r="2793" spans="9:12">
      <c r="I2793" s="5">
        <f>IF(OR(A2793="",B2793=""),"",B2793-WEEKDAY(B2793,2)+1)</f>
        <v/>
      </c>
      <c r="J2793" s="5">
        <f>IF(I2793="","",I2793+6)</f>
        <v/>
      </c>
      <c r="K2793" s="6">
        <f>IF(OR(A2793="",B2793=""),"",DATE(YEAR(B2793),MONTH(B2793),1))</f>
        <v/>
      </c>
      <c r="L2793" s="7">
        <f>IF(COUNTA(A2793,B2793)=0,"",IF(OR(A2793="",B2793=""),"Preencher CPF e entrada",IF(COUNTIFS($A$12:$A$5011,A2793,$B$12:$B$5011,B2793)&gt;1,"CPF + dia duplicado",IF(OR(AND(E2793&lt;&gt;"",E2793&lt;B2793),AND(F2793&lt;&gt;"",F2793&lt;B2793)),"Evento anterior à entrada",IF(AND(F2793&lt;&gt;"",E2793=""),"Conversa sem agendamento",IF(OR(E2793&gt;TODAY(),F2793&gt;TODAY()),"Verificar evento futuro","OK"))))))</f>
        <v/>
      </c>
    </row>
    <row r="2794" spans="9:12">
      <c r="I2794" s="5">
        <f>IF(OR(A2794="",B2794=""),"",B2794-WEEKDAY(B2794,2)+1)</f>
        <v/>
      </c>
      <c r="J2794" s="5">
        <f>IF(I2794="","",I2794+6)</f>
        <v/>
      </c>
      <c r="K2794" s="6">
        <f>IF(OR(A2794="",B2794=""),"",DATE(YEAR(B2794),MONTH(B2794),1))</f>
        <v/>
      </c>
      <c r="L2794" s="7">
        <f>IF(COUNTA(A2794,B2794)=0,"",IF(OR(A2794="",B2794=""),"Preencher CPF e entrada",IF(COUNTIFS($A$12:$A$5011,A2794,$B$12:$B$5011,B2794)&gt;1,"CPF + dia duplicado",IF(OR(AND(E2794&lt;&gt;"",E2794&lt;B2794),AND(F2794&lt;&gt;"",F2794&lt;B2794)),"Evento anterior à entrada",IF(AND(F2794&lt;&gt;"",E2794=""),"Conversa sem agendamento",IF(OR(E2794&gt;TODAY(),F2794&gt;TODAY()),"Verificar evento futuro","OK"))))))</f>
        <v/>
      </c>
    </row>
    <row r="2795" spans="9:12">
      <c r="I2795" s="5">
        <f>IF(OR(A2795="",B2795=""),"",B2795-WEEKDAY(B2795,2)+1)</f>
        <v/>
      </c>
      <c r="J2795" s="5">
        <f>IF(I2795="","",I2795+6)</f>
        <v/>
      </c>
      <c r="K2795" s="6">
        <f>IF(OR(A2795="",B2795=""),"",DATE(YEAR(B2795),MONTH(B2795),1))</f>
        <v/>
      </c>
      <c r="L2795" s="7">
        <f>IF(COUNTA(A2795,B2795)=0,"",IF(OR(A2795="",B2795=""),"Preencher CPF e entrada",IF(COUNTIFS($A$12:$A$5011,A2795,$B$12:$B$5011,B2795)&gt;1,"CPF + dia duplicado",IF(OR(AND(E2795&lt;&gt;"",E2795&lt;B2795),AND(F2795&lt;&gt;"",F2795&lt;B2795)),"Evento anterior à entrada",IF(AND(F2795&lt;&gt;"",E2795=""),"Conversa sem agendamento",IF(OR(E2795&gt;TODAY(),F2795&gt;TODAY()),"Verificar evento futuro","OK"))))))</f>
        <v/>
      </c>
    </row>
    <row r="2796" spans="9:12">
      <c r="I2796" s="5">
        <f>IF(OR(A2796="",B2796=""),"",B2796-WEEKDAY(B2796,2)+1)</f>
        <v/>
      </c>
      <c r="J2796" s="5">
        <f>IF(I2796="","",I2796+6)</f>
        <v/>
      </c>
      <c r="K2796" s="6">
        <f>IF(OR(A2796="",B2796=""),"",DATE(YEAR(B2796),MONTH(B2796),1))</f>
        <v/>
      </c>
      <c r="L2796" s="7">
        <f>IF(COUNTA(A2796,B2796)=0,"",IF(OR(A2796="",B2796=""),"Preencher CPF e entrada",IF(COUNTIFS($A$12:$A$5011,A2796,$B$12:$B$5011,B2796)&gt;1,"CPF + dia duplicado",IF(OR(AND(E2796&lt;&gt;"",E2796&lt;B2796),AND(F2796&lt;&gt;"",F2796&lt;B2796)),"Evento anterior à entrada",IF(AND(F2796&lt;&gt;"",E2796=""),"Conversa sem agendamento",IF(OR(E2796&gt;TODAY(),F2796&gt;TODAY()),"Verificar evento futuro","OK"))))))</f>
        <v/>
      </c>
    </row>
    <row r="2797" spans="9:12">
      <c r="I2797" s="5">
        <f>IF(OR(A2797="",B2797=""),"",B2797-WEEKDAY(B2797,2)+1)</f>
        <v/>
      </c>
      <c r="J2797" s="5">
        <f>IF(I2797="","",I2797+6)</f>
        <v/>
      </c>
      <c r="K2797" s="6">
        <f>IF(OR(A2797="",B2797=""),"",DATE(YEAR(B2797),MONTH(B2797),1))</f>
        <v/>
      </c>
      <c r="L2797" s="7">
        <f>IF(COUNTA(A2797,B2797)=0,"",IF(OR(A2797="",B2797=""),"Preencher CPF e entrada",IF(COUNTIFS($A$12:$A$5011,A2797,$B$12:$B$5011,B2797)&gt;1,"CPF + dia duplicado",IF(OR(AND(E2797&lt;&gt;"",E2797&lt;B2797),AND(F2797&lt;&gt;"",F2797&lt;B2797)),"Evento anterior à entrada",IF(AND(F2797&lt;&gt;"",E2797=""),"Conversa sem agendamento",IF(OR(E2797&gt;TODAY(),F2797&gt;TODAY()),"Verificar evento futuro","OK"))))))</f>
        <v/>
      </c>
    </row>
    <row r="2798" spans="9:12">
      <c r="I2798" s="5">
        <f>IF(OR(A2798="",B2798=""),"",B2798-WEEKDAY(B2798,2)+1)</f>
        <v/>
      </c>
      <c r="J2798" s="5">
        <f>IF(I2798="","",I2798+6)</f>
        <v/>
      </c>
      <c r="K2798" s="6">
        <f>IF(OR(A2798="",B2798=""),"",DATE(YEAR(B2798),MONTH(B2798),1))</f>
        <v/>
      </c>
      <c r="L2798" s="7">
        <f>IF(COUNTA(A2798,B2798)=0,"",IF(OR(A2798="",B2798=""),"Preencher CPF e entrada",IF(COUNTIFS($A$12:$A$5011,A2798,$B$12:$B$5011,B2798)&gt;1,"CPF + dia duplicado",IF(OR(AND(E2798&lt;&gt;"",E2798&lt;B2798),AND(F2798&lt;&gt;"",F2798&lt;B2798)),"Evento anterior à entrada",IF(AND(F2798&lt;&gt;"",E2798=""),"Conversa sem agendamento",IF(OR(E2798&gt;TODAY(),F2798&gt;TODAY()),"Verificar evento futuro","OK"))))))</f>
        <v/>
      </c>
    </row>
    <row r="2799" spans="9:12">
      <c r="I2799" s="5">
        <f>IF(OR(A2799="",B2799=""),"",B2799-WEEKDAY(B2799,2)+1)</f>
        <v/>
      </c>
      <c r="J2799" s="5">
        <f>IF(I2799="","",I2799+6)</f>
        <v/>
      </c>
      <c r="K2799" s="6">
        <f>IF(OR(A2799="",B2799=""),"",DATE(YEAR(B2799),MONTH(B2799),1))</f>
        <v/>
      </c>
      <c r="L2799" s="7">
        <f>IF(COUNTA(A2799,B2799)=0,"",IF(OR(A2799="",B2799=""),"Preencher CPF e entrada",IF(COUNTIFS($A$12:$A$5011,A2799,$B$12:$B$5011,B2799)&gt;1,"CPF + dia duplicado",IF(OR(AND(E2799&lt;&gt;"",E2799&lt;B2799),AND(F2799&lt;&gt;"",F2799&lt;B2799)),"Evento anterior à entrada",IF(AND(F2799&lt;&gt;"",E2799=""),"Conversa sem agendamento",IF(OR(E2799&gt;TODAY(),F2799&gt;TODAY()),"Verificar evento futuro","OK"))))))</f>
        <v/>
      </c>
    </row>
    <row r="2800" spans="9:12">
      <c r="I2800" s="5">
        <f>IF(OR(A2800="",B2800=""),"",B2800-WEEKDAY(B2800,2)+1)</f>
        <v/>
      </c>
      <c r="J2800" s="5">
        <f>IF(I2800="","",I2800+6)</f>
        <v/>
      </c>
      <c r="K2800" s="6">
        <f>IF(OR(A2800="",B2800=""),"",DATE(YEAR(B2800),MONTH(B2800),1))</f>
        <v/>
      </c>
      <c r="L2800" s="7">
        <f>IF(COUNTA(A2800,B2800)=0,"",IF(OR(A2800="",B2800=""),"Preencher CPF e entrada",IF(COUNTIFS($A$12:$A$5011,A2800,$B$12:$B$5011,B2800)&gt;1,"CPF + dia duplicado",IF(OR(AND(E2800&lt;&gt;"",E2800&lt;B2800),AND(F2800&lt;&gt;"",F2800&lt;B2800)),"Evento anterior à entrada",IF(AND(F2800&lt;&gt;"",E2800=""),"Conversa sem agendamento",IF(OR(E2800&gt;TODAY(),F2800&gt;TODAY()),"Verificar evento futuro","OK"))))))</f>
        <v/>
      </c>
    </row>
    <row r="2801" spans="9:12">
      <c r="I2801" s="5">
        <f>IF(OR(A2801="",B2801=""),"",B2801-WEEKDAY(B2801,2)+1)</f>
        <v/>
      </c>
      <c r="J2801" s="5">
        <f>IF(I2801="","",I2801+6)</f>
        <v/>
      </c>
      <c r="K2801" s="6">
        <f>IF(OR(A2801="",B2801=""),"",DATE(YEAR(B2801),MONTH(B2801),1))</f>
        <v/>
      </c>
      <c r="L2801" s="7">
        <f>IF(COUNTA(A2801,B2801)=0,"",IF(OR(A2801="",B2801=""),"Preencher CPF e entrada",IF(COUNTIFS($A$12:$A$5011,A2801,$B$12:$B$5011,B2801)&gt;1,"CPF + dia duplicado",IF(OR(AND(E2801&lt;&gt;"",E2801&lt;B2801),AND(F2801&lt;&gt;"",F2801&lt;B2801)),"Evento anterior à entrada",IF(AND(F2801&lt;&gt;"",E2801=""),"Conversa sem agendamento",IF(OR(E2801&gt;TODAY(),F2801&gt;TODAY()),"Verificar evento futuro","OK"))))))</f>
        <v/>
      </c>
    </row>
    <row r="2802" spans="9:12">
      <c r="I2802" s="5">
        <f>IF(OR(A2802="",B2802=""),"",B2802-WEEKDAY(B2802,2)+1)</f>
        <v/>
      </c>
      <c r="J2802" s="5">
        <f>IF(I2802="","",I2802+6)</f>
        <v/>
      </c>
      <c r="K2802" s="6">
        <f>IF(OR(A2802="",B2802=""),"",DATE(YEAR(B2802),MONTH(B2802),1))</f>
        <v/>
      </c>
      <c r="L2802" s="7">
        <f>IF(COUNTA(A2802,B2802)=0,"",IF(OR(A2802="",B2802=""),"Preencher CPF e entrada",IF(COUNTIFS($A$12:$A$5011,A2802,$B$12:$B$5011,B2802)&gt;1,"CPF + dia duplicado",IF(OR(AND(E2802&lt;&gt;"",E2802&lt;B2802),AND(F2802&lt;&gt;"",F2802&lt;B2802)),"Evento anterior à entrada",IF(AND(F2802&lt;&gt;"",E2802=""),"Conversa sem agendamento",IF(OR(E2802&gt;TODAY(),F2802&gt;TODAY()),"Verificar evento futuro","OK"))))))</f>
        <v/>
      </c>
    </row>
    <row r="2803" spans="9:12">
      <c r="I2803" s="5">
        <f>IF(OR(A2803="",B2803=""),"",B2803-WEEKDAY(B2803,2)+1)</f>
        <v/>
      </c>
      <c r="J2803" s="5">
        <f>IF(I2803="","",I2803+6)</f>
        <v/>
      </c>
      <c r="K2803" s="6">
        <f>IF(OR(A2803="",B2803=""),"",DATE(YEAR(B2803),MONTH(B2803),1))</f>
        <v/>
      </c>
      <c r="L2803" s="7">
        <f>IF(COUNTA(A2803,B2803)=0,"",IF(OR(A2803="",B2803=""),"Preencher CPF e entrada",IF(COUNTIFS($A$12:$A$5011,A2803,$B$12:$B$5011,B2803)&gt;1,"CPF + dia duplicado",IF(OR(AND(E2803&lt;&gt;"",E2803&lt;B2803),AND(F2803&lt;&gt;"",F2803&lt;B2803)),"Evento anterior à entrada",IF(AND(F2803&lt;&gt;"",E2803=""),"Conversa sem agendamento",IF(OR(E2803&gt;TODAY(),F2803&gt;TODAY()),"Verificar evento futuro","OK"))))))</f>
        <v/>
      </c>
    </row>
    <row r="2804" spans="9:12">
      <c r="I2804" s="5">
        <f>IF(OR(A2804="",B2804=""),"",B2804-WEEKDAY(B2804,2)+1)</f>
        <v/>
      </c>
      <c r="J2804" s="5">
        <f>IF(I2804="","",I2804+6)</f>
        <v/>
      </c>
      <c r="K2804" s="6">
        <f>IF(OR(A2804="",B2804=""),"",DATE(YEAR(B2804),MONTH(B2804),1))</f>
        <v/>
      </c>
      <c r="L2804" s="7">
        <f>IF(COUNTA(A2804,B2804)=0,"",IF(OR(A2804="",B2804=""),"Preencher CPF e entrada",IF(COUNTIFS($A$12:$A$5011,A2804,$B$12:$B$5011,B2804)&gt;1,"CPF + dia duplicado",IF(OR(AND(E2804&lt;&gt;"",E2804&lt;B2804),AND(F2804&lt;&gt;"",F2804&lt;B2804)),"Evento anterior à entrada",IF(AND(F2804&lt;&gt;"",E2804=""),"Conversa sem agendamento",IF(OR(E2804&gt;TODAY(),F2804&gt;TODAY()),"Verificar evento futuro","OK"))))))</f>
        <v/>
      </c>
    </row>
    <row r="2805" spans="9:12">
      <c r="I2805" s="5">
        <f>IF(OR(A2805="",B2805=""),"",B2805-WEEKDAY(B2805,2)+1)</f>
        <v/>
      </c>
      <c r="J2805" s="5">
        <f>IF(I2805="","",I2805+6)</f>
        <v/>
      </c>
      <c r="K2805" s="6">
        <f>IF(OR(A2805="",B2805=""),"",DATE(YEAR(B2805),MONTH(B2805),1))</f>
        <v/>
      </c>
      <c r="L2805" s="7">
        <f>IF(COUNTA(A2805,B2805)=0,"",IF(OR(A2805="",B2805=""),"Preencher CPF e entrada",IF(COUNTIFS($A$12:$A$5011,A2805,$B$12:$B$5011,B2805)&gt;1,"CPF + dia duplicado",IF(OR(AND(E2805&lt;&gt;"",E2805&lt;B2805),AND(F2805&lt;&gt;"",F2805&lt;B2805)),"Evento anterior à entrada",IF(AND(F2805&lt;&gt;"",E2805=""),"Conversa sem agendamento",IF(OR(E2805&gt;TODAY(),F2805&gt;TODAY()),"Verificar evento futuro","OK"))))))</f>
        <v/>
      </c>
    </row>
    <row r="2806" spans="9:12">
      <c r="I2806" s="5">
        <f>IF(OR(A2806="",B2806=""),"",B2806-WEEKDAY(B2806,2)+1)</f>
        <v/>
      </c>
      <c r="J2806" s="5">
        <f>IF(I2806="","",I2806+6)</f>
        <v/>
      </c>
      <c r="K2806" s="6">
        <f>IF(OR(A2806="",B2806=""),"",DATE(YEAR(B2806),MONTH(B2806),1))</f>
        <v/>
      </c>
      <c r="L2806" s="7">
        <f>IF(COUNTA(A2806,B2806)=0,"",IF(OR(A2806="",B2806=""),"Preencher CPF e entrada",IF(COUNTIFS($A$12:$A$5011,A2806,$B$12:$B$5011,B2806)&gt;1,"CPF + dia duplicado",IF(OR(AND(E2806&lt;&gt;"",E2806&lt;B2806),AND(F2806&lt;&gt;"",F2806&lt;B2806)),"Evento anterior à entrada",IF(AND(F2806&lt;&gt;"",E2806=""),"Conversa sem agendamento",IF(OR(E2806&gt;TODAY(),F2806&gt;TODAY()),"Verificar evento futuro","OK"))))))</f>
        <v/>
      </c>
    </row>
    <row r="2807" spans="9:12">
      <c r="I2807" s="5">
        <f>IF(OR(A2807="",B2807=""),"",B2807-WEEKDAY(B2807,2)+1)</f>
        <v/>
      </c>
      <c r="J2807" s="5">
        <f>IF(I2807="","",I2807+6)</f>
        <v/>
      </c>
      <c r="K2807" s="6">
        <f>IF(OR(A2807="",B2807=""),"",DATE(YEAR(B2807),MONTH(B2807),1))</f>
        <v/>
      </c>
      <c r="L2807" s="7">
        <f>IF(COUNTA(A2807,B2807)=0,"",IF(OR(A2807="",B2807=""),"Preencher CPF e entrada",IF(COUNTIFS($A$12:$A$5011,A2807,$B$12:$B$5011,B2807)&gt;1,"CPF + dia duplicado",IF(OR(AND(E2807&lt;&gt;"",E2807&lt;B2807),AND(F2807&lt;&gt;"",F2807&lt;B2807)),"Evento anterior à entrada",IF(AND(F2807&lt;&gt;"",E2807=""),"Conversa sem agendamento",IF(OR(E2807&gt;TODAY(),F2807&gt;TODAY()),"Verificar evento futuro","OK"))))))</f>
        <v/>
      </c>
    </row>
    <row r="2808" spans="9:12">
      <c r="I2808" s="5">
        <f>IF(OR(A2808="",B2808=""),"",B2808-WEEKDAY(B2808,2)+1)</f>
        <v/>
      </c>
      <c r="J2808" s="5">
        <f>IF(I2808="","",I2808+6)</f>
        <v/>
      </c>
      <c r="K2808" s="6">
        <f>IF(OR(A2808="",B2808=""),"",DATE(YEAR(B2808),MONTH(B2808),1))</f>
        <v/>
      </c>
      <c r="L2808" s="7">
        <f>IF(COUNTA(A2808,B2808)=0,"",IF(OR(A2808="",B2808=""),"Preencher CPF e entrada",IF(COUNTIFS($A$12:$A$5011,A2808,$B$12:$B$5011,B2808)&gt;1,"CPF + dia duplicado",IF(OR(AND(E2808&lt;&gt;"",E2808&lt;B2808),AND(F2808&lt;&gt;"",F2808&lt;B2808)),"Evento anterior à entrada",IF(AND(F2808&lt;&gt;"",E2808=""),"Conversa sem agendamento",IF(OR(E2808&gt;TODAY(),F2808&gt;TODAY()),"Verificar evento futuro","OK"))))))</f>
        <v/>
      </c>
    </row>
    <row r="2809" spans="9:12">
      <c r="I2809" s="5">
        <f>IF(OR(A2809="",B2809=""),"",B2809-WEEKDAY(B2809,2)+1)</f>
        <v/>
      </c>
      <c r="J2809" s="5">
        <f>IF(I2809="","",I2809+6)</f>
        <v/>
      </c>
      <c r="K2809" s="6">
        <f>IF(OR(A2809="",B2809=""),"",DATE(YEAR(B2809),MONTH(B2809),1))</f>
        <v/>
      </c>
      <c r="L2809" s="7">
        <f>IF(COUNTA(A2809,B2809)=0,"",IF(OR(A2809="",B2809=""),"Preencher CPF e entrada",IF(COUNTIFS($A$12:$A$5011,A2809,$B$12:$B$5011,B2809)&gt;1,"CPF + dia duplicado",IF(OR(AND(E2809&lt;&gt;"",E2809&lt;B2809),AND(F2809&lt;&gt;"",F2809&lt;B2809)),"Evento anterior à entrada",IF(AND(F2809&lt;&gt;"",E2809=""),"Conversa sem agendamento",IF(OR(E2809&gt;TODAY(),F2809&gt;TODAY()),"Verificar evento futuro","OK"))))))</f>
        <v/>
      </c>
    </row>
    <row r="2810" spans="9:12">
      <c r="I2810" s="5">
        <f>IF(OR(A2810="",B2810=""),"",B2810-WEEKDAY(B2810,2)+1)</f>
        <v/>
      </c>
      <c r="J2810" s="5">
        <f>IF(I2810="","",I2810+6)</f>
        <v/>
      </c>
      <c r="K2810" s="6">
        <f>IF(OR(A2810="",B2810=""),"",DATE(YEAR(B2810),MONTH(B2810),1))</f>
        <v/>
      </c>
      <c r="L2810" s="7">
        <f>IF(COUNTA(A2810,B2810)=0,"",IF(OR(A2810="",B2810=""),"Preencher CPF e entrada",IF(COUNTIFS($A$12:$A$5011,A2810,$B$12:$B$5011,B2810)&gt;1,"CPF + dia duplicado",IF(OR(AND(E2810&lt;&gt;"",E2810&lt;B2810),AND(F2810&lt;&gt;"",F2810&lt;B2810)),"Evento anterior à entrada",IF(AND(F2810&lt;&gt;"",E2810=""),"Conversa sem agendamento",IF(OR(E2810&gt;TODAY(),F2810&gt;TODAY()),"Verificar evento futuro","OK"))))))</f>
        <v/>
      </c>
    </row>
    <row r="2811" spans="9:12">
      <c r="I2811" s="5">
        <f>IF(OR(A2811="",B2811=""),"",B2811-WEEKDAY(B2811,2)+1)</f>
        <v/>
      </c>
      <c r="J2811" s="5">
        <f>IF(I2811="","",I2811+6)</f>
        <v/>
      </c>
      <c r="K2811" s="6">
        <f>IF(OR(A2811="",B2811=""),"",DATE(YEAR(B2811),MONTH(B2811),1))</f>
        <v/>
      </c>
      <c r="L2811" s="7">
        <f>IF(COUNTA(A2811,B2811)=0,"",IF(OR(A2811="",B2811=""),"Preencher CPF e entrada",IF(COUNTIFS($A$12:$A$5011,A2811,$B$12:$B$5011,B2811)&gt;1,"CPF + dia duplicado",IF(OR(AND(E2811&lt;&gt;"",E2811&lt;B2811),AND(F2811&lt;&gt;"",F2811&lt;B2811)),"Evento anterior à entrada",IF(AND(F2811&lt;&gt;"",E2811=""),"Conversa sem agendamento",IF(OR(E2811&gt;TODAY(),F2811&gt;TODAY()),"Verificar evento futuro","OK"))))))</f>
        <v/>
      </c>
    </row>
    <row r="2812" spans="9:12">
      <c r="I2812" s="5">
        <f>IF(OR(A2812="",B2812=""),"",B2812-WEEKDAY(B2812,2)+1)</f>
        <v/>
      </c>
      <c r="J2812" s="5">
        <f>IF(I2812="","",I2812+6)</f>
        <v/>
      </c>
      <c r="K2812" s="6">
        <f>IF(OR(A2812="",B2812=""),"",DATE(YEAR(B2812),MONTH(B2812),1))</f>
        <v/>
      </c>
      <c r="L2812" s="7">
        <f>IF(COUNTA(A2812,B2812)=0,"",IF(OR(A2812="",B2812=""),"Preencher CPF e entrada",IF(COUNTIFS($A$12:$A$5011,A2812,$B$12:$B$5011,B2812)&gt;1,"CPF + dia duplicado",IF(OR(AND(E2812&lt;&gt;"",E2812&lt;B2812),AND(F2812&lt;&gt;"",F2812&lt;B2812)),"Evento anterior à entrada",IF(AND(F2812&lt;&gt;"",E2812=""),"Conversa sem agendamento",IF(OR(E2812&gt;TODAY(),F2812&gt;TODAY()),"Verificar evento futuro","OK"))))))</f>
        <v/>
      </c>
    </row>
    <row r="2813" spans="9:12">
      <c r="I2813" s="5">
        <f>IF(OR(A2813="",B2813=""),"",B2813-WEEKDAY(B2813,2)+1)</f>
        <v/>
      </c>
      <c r="J2813" s="5">
        <f>IF(I2813="","",I2813+6)</f>
        <v/>
      </c>
      <c r="K2813" s="6">
        <f>IF(OR(A2813="",B2813=""),"",DATE(YEAR(B2813),MONTH(B2813),1))</f>
        <v/>
      </c>
      <c r="L2813" s="7">
        <f>IF(COUNTA(A2813,B2813)=0,"",IF(OR(A2813="",B2813=""),"Preencher CPF e entrada",IF(COUNTIFS($A$12:$A$5011,A2813,$B$12:$B$5011,B2813)&gt;1,"CPF + dia duplicado",IF(OR(AND(E2813&lt;&gt;"",E2813&lt;B2813),AND(F2813&lt;&gt;"",F2813&lt;B2813)),"Evento anterior à entrada",IF(AND(F2813&lt;&gt;"",E2813=""),"Conversa sem agendamento",IF(OR(E2813&gt;TODAY(),F2813&gt;TODAY()),"Verificar evento futuro","OK"))))))</f>
        <v/>
      </c>
    </row>
    <row r="2814" spans="9:12">
      <c r="I2814" s="5">
        <f>IF(OR(A2814="",B2814=""),"",B2814-WEEKDAY(B2814,2)+1)</f>
        <v/>
      </c>
      <c r="J2814" s="5">
        <f>IF(I2814="","",I2814+6)</f>
        <v/>
      </c>
      <c r="K2814" s="6">
        <f>IF(OR(A2814="",B2814=""),"",DATE(YEAR(B2814),MONTH(B2814),1))</f>
        <v/>
      </c>
      <c r="L2814" s="7">
        <f>IF(COUNTA(A2814,B2814)=0,"",IF(OR(A2814="",B2814=""),"Preencher CPF e entrada",IF(COUNTIFS($A$12:$A$5011,A2814,$B$12:$B$5011,B2814)&gt;1,"CPF + dia duplicado",IF(OR(AND(E2814&lt;&gt;"",E2814&lt;B2814),AND(F2814&lt;&gt;"",F2814&lt;B2814)),"Evento anterior à entrada",IF(AND(F2814&lt;&gt;"",E2814=""),"Conversa sem agendamento",IF(OR(E2814&gt;TODAY(),F2814&gt;TODAY()),"Verificar evento futuro","OK"))))))</f>
        <v/>
      </c>
    </row>
    <row r="2815" spans="9:12">
      <c r="I2815" s="5">
        <f>IF(OR(A2815="",B2815=""),"",B2815-WEEKDAY(B2815,2)+1)</f>
        <v/>
      </c>
      <c r="J2815" s="5">
        <f>IF(I2815="","",I2815+6)</f>
        <v/>
      </c>
      <c r="K2815" s="6">
        <f>IF(OR(A2815="",B2815=""),"",DATE(YEAR(B2815),MONTH(B2815),1))</f>
        <v/>
      </c>
      <c r="L2815" s="7">
        <f>IF(COUNTA(A2815,B2815)=0,"",IF(OR(A2815="",B2815=""),"Preencher CPF e entrada",IF(COUNTIFS($A$12:$A$5011,A2815,$B$12:$B$5011,B2815)&gt;1,"CPF + dia duplicado",IF(OR(AND(E2815&lt;&gt;"",E2815&lt;B2815),AND(F2815&lt;&gt;"",F2815&lt;B2815)),"Evento anterior à entrada",IF(AND(F2815&lt;&gt;"",E2815=""),"Conversa sem agendamento",IF(OR(E2815&gt;TODAY(),F2815&gt;TODAY()),"Verificar evento futuro","OK"))))))</f>
        <v/>
      </c>
    </row>
    <row r="2816" spans="9:12">
      <c r="I2816" s="5">
        <f>IF(OR(A2816="",B2816=""),"",B2816-WEEKDAY(B2816,2)+1)</f>
        <v/>
      </c>
      <c r="J2816" s="5">
        <f>IF(I2816="","",I2816+6)</f>
        <v/>
      </c>
      <c r="K2816" s="6">
        <f>IF(OR(A2816="",B2816=""),"",DATE(YEAR(B2816),MONTH(B2816),1))</f>
        <v/>
      </c>
      <c r="L2816" s="7">
        <f>IF(COUNTA(A2816,B2816)=0,"",IF(OR(A2816="",B2816=""),"Preencher CPF e entrada",IF(COUNTIFS($A$12:$A$5011,A2816,$B$12:$B$5011,B2816)&gt;1,"CPF + dia duplicado",IF(OR(AND(E2816&lt;&gt;"",E2816&lt;B2816),AND(F2816&lt;&gt;"",F2816&lt;B2816)),"Evento anterior à entrada",IF(AND(F2816&lt;&gt;"",E2816=""),"Conversa sem agendamento",IF(OR(E2816&gt;TODAY(),F2816&gt;TODAY()),"Verificar evento futuro","OK"))))))</f>
        <v/>
      </c>
    </row>
    <row r="2817" spans="9:12">
      <c r="I2817" s="5">
        <f>IF(OR(A2817="",B2817=""),"",B2817-WEEKDAY(B2817,2)+1)</f>
        <v/>
      </c>
      <c r="J2817" s="5">
        <f>IF(I2817="","",I2817+6)</f>
        <v/>
      </c>
      <c r="K2817" s="6">
        <f>IF(OR(A2817="",B2817=""),"",DATE(YEAR(B2817),MONTH(B2817),1))</f>
        <v/>
      </c>
      <c r="L2817" s="7">
        <f>IF(COUNTA(A2817,B2817)=0,"",IF(OR(A2817="",B2817=""),"Preencher CPF e entrada",IF(COUNTIFS($A$12:$A$5011,A2817,$B$12:$B$5011,B2817)&gt;1,"CPF + dia duplicado",IF(OR(AND(E2817&lt;&gt;"",E2817&lt;B2817),AND(F2817&lt;&gt;"",F2817&lt;B2817)),"Evento anterior à entrada",IF(AND(F2817&lt;&gt;"",E2817=""),"Conversa sem agendamento",IF(OR(E2817&gt;TODAY(),F2817&gt;TODAY()),"Verificar evento futuro","OK"))))))</f>
        <v/>
      </c>
    </row>
    <row r="2818" spans="9:12">
      <c r="I2818" s="5">
        <f>IF(OR(A2818="",B2818=""),"",B2818-WEEKDAY(B2818,2)+1)</f>
        <v/>
      </c>
      <c r="J2818" s="5">
        <f>IF(I2818="","",I2818+6)</f>
        <v/>
      </c>
      <c r="K2818" s="6">
        <f>IF(OR(A2818="",B2818=""),"",DATE(YEAR(B2818),MONTH(B2818),1))</f>
        <v/>
      </c>
      <c r="L2818" s="7">
        <f>IF(COUNTA(A2818,B2818)=0,"",IF(OR(A2818="",B2818=""),"Preencher CPF e entrada",IF(COUNTIFS($A$12:$A$5011,A2818,$B$12:$B$5011,B2818)&gt;1,"CPF + dia duplicado",IF(OR(AND(E2818&lt;&gt;"",E2818&lt;B2818),AND(F2818&lt;&gt;"",F2818&lt;B2818)),"Evento anterior à entrada",IF(AND(F2818&lt;&gt;"",E2818=""),"Conversa sem agendamento",IF(OR(E2818&gt;TODAY(),F2818&gt;TODAY()),"Verificar evento futuro","OK"))))))</f>
        <v/>
      </c>
    </row>
    <row r="2819" spans="9:12">
      <c r="I2819" s="5">
        <f>IF(OR(A2819="",B2819=""),"",B2819-WEEKDAY(B2819,2)+1)</f>
        <v/>
      </c>
      <c r="J2819" s="5">
        <f>IF(I2819="","",I2819+6)</f>
        <v/>
      </c>
      <c r="K2819" s="6">
        <f>IF(OR(A2819="",B2819=""),"",DATE(YEAR(B2819),MONTH(B2819),1))</f>
        <v/>
      </c>
      <c r="L2819" s="7">
        <f>IF(COUNTA(A2819,B2819)=0,"",IF(OR(A2819="",B2819=""),"Preencher CPF e entrada",IF(COUNTIFS($A$12:$A$5011,A2819,$B$12:$B$5011,B2819)&gt;1,"CPF + dia duplicado",IF(OR(AND(E2819&lt;&gt;"",E2819&lt;B2819),AND(F2819&lt;&gt;"",F2819&lt;B2819)),"Evento anterior à entrada",IF(AND(F2819&lt;&gt;"",E2819=""),"Conversa sem agendamento",IF(OR(E2819&gt;TODAY(),F2819&gt;TODAY()),"Verificar evento futuro","OK"))))))</f>
        <v/>
      </c>
    </row>
    <row r="2820" spans="9:12">
      <c r="I2820" s="5">
        <f>IF(OR(A2820="",B2820=""),"",B2820-WEEKDAY(B2820,2)+1)</f>
        <v/>
      </c>
      <c r="J2820" s="5">
        <f>IF(I2820="","",I2820+6)</f>
        <v/>
      </c>
      <c r="K2820" s="6">
        <f>IF(OR(A2820="",B2820=""),"",DATE(YEAR(B2820),MONTH(B2820),1))</f>
        <v/>
      </c>
      <c r="L2820" s="7">
        <f>IF(COUNTA(A2820,B2820)=0,"",IF(OR(A2820="",B2820=""),"Preencher CPF e entrada",IF(COUNTIFS($A$12:$A$5011,A2820,$B$12:$B$5011,B2820)&gt;1,"CPF + dia duplicado",IF(OR(AND(E2820&lt;&gt;"",E2820&lt;B2820),AND(F2820&lt;&gt;"",F2820&lt;B2820)),"Evento anterior à entrada",IF(AND(F2820&lt;&gt;"",E2820=""),"Conversa sem agendamento",IF(OR(E2820&gt;TODAY(),F2820&gt;TODAY()),"Verificar evento futuro","OK"))))))</f>
        <v/>
      </c>
    </row>
    <row r="2821" spans="9:12">
      <c r="I2821" s="5">
        <f>IF(OR(A2821="",B2821=""),"",B2821-WEEKDAY(B2821,2)+1)</f>
        <v/>
      </c>
      <c r="J2821" s="5">
        <f>IF(I2821="","",I2821+6)</f>
        <v/>
      </c>
      <c r="K2821" s="6">
        <f>IF(OR(A2821="",B2821=""),"",DATE(YEAR(B2821),MONTH(B2821),1))</f>
        <v/>
      </c>
      <c r="L2821" s="7">
        <f>IF(COUNTA(A2821,B2821)=0,"",IF(OR(A2821="",B2821=""),"Preencher CPF e entrada",IF(COUNTIFS($A$12:$A$5011,A2821,$B$12:$B$5011,B2821)&gt;1,"CPF + dia duplicado",IF(OR(AND(E2821&lt;&gt;"",E2821&lt;B2821),AND(F2821&lt;&gt;"",F2821&lt;B2821)),"Evento anterior à entrada",IF(AND(F2821&lt;&gt;"",E2821=""),"Conversa sem agendamento",IF(OR(E2821&gt;TODAY(),F2821&gt;TODAY()),"Verificar evento futuro","OK"))))))</f>
        <v/>
      </c>
    </row>
    <row r="2822" spans="9:12">
      <c r="I2822" s="5">
        <f>IF(OR(A2822="",B2822=""),"",B2822-WEEKDAY(B2822,2)+1)</f>
        <v/>
      </c>
      <c r="J2822" s="5">
        <f>IF(I2822="","",I2822+6)</f>
        <v/>
      </c>
      <c r="K2822" s="6">
        <f>IF(OR(A2822="",B2822=""),"",DATE(YEAR(B2822),MONTH(B2822),1))</f>
        <v/>
      </c>
      <c r="L2822" s="7">
        <f>IF(COUNTA(A2822,B2822)=0,"",IF(OR(A2822="",B2822=""),"Preencher CPF e entrada",IF(COUNTIFS($A$12:$A$5011,A2822,$B$12:$B$5011,B2822)&gt;1,"CPF + dia duplicado",IF(OR(AND(E2822&lt;&gt;"",E2822&lt;B2822),AND(F2822&lt;&gt;"",F2822&lt;B2822)),"Evento anterior à entrada",IF(AND(F2822&lt;&gt;"",E2822=""),"Conversa sem agendamento",IF(OR(E2822&gt;TODAY(),F2822&gt;TODAY()),"Verificar evento futuro","OK"))))))</f>
        <v/>
      </c>
    </row>
    <row r="2823" spans="9:12">
      <c r="I2823" s="5">
        <f>IF(OR(A2823="",B2823=""),"",B2823-WEEKDAY(B2823,2)+1)</f>
        <v/>
      </c>
      <c r="J2823" s="5">
        <f>IF(I2823="","",I2823+6)</f>
        <v/>
      </c>
      <c r="K2823" s="6">
        <f>IF(OR(A2823="",B2823=""),"",DATE(YEAR(B2823),MONTH(B2823),1))</f>
        <v/>
      </c>
      <c r="L2823" s="7">
        <f>IF(COUNTA(A2823,B2823)=0,"",IF(OR(A2823="",B2823=""),"Preencher CPF e entrada",IF(COUNTIFS($A$12:$A$5011,A2823,$B$12:$B$5011,B2823)&gt;1,"CPF + dia duplicado",IF(OR(AND(E2823&lt;&gt;"",E2823&lt;B2823),AND(F2823&lt;&gt;"",F2823&lt;B2823)),"Evento anterior à entrada",IF(AND(F2823&lt;&gt;"",E2823=""),"Conversa sem agendamento",IF(OR(E2823&gt;TODAY(),F2823&gt;TODAY()),"Verificar evento futuro","OK"))))))</f>
        <v/>
      </c>
    </row>
    <row r="2824" spans="9:12">
      <c r="I2824" s="5">
        <f>IF(OR(A2824="",B2824=""),"",B2824-WEEKDAY(B2824,2)+1)</f>
        <v/>
      </c>
      <c r="J2824" s="5">
        <f>IF(I2824="","",I2824+6)</f>
        <v/>
      </c>
      <c r="K2824" s="6">
        <f>IF(OR(A2824="",B2824=""),"",DATE(YEAR(B2824),MONTH(B2824),1))</f>
        <v/>
      </c>
      <c r="L2824" s="7">
        <f>IF(COUNTA(A2824,B2824)=0,"",IF(OR(A2824="",B2824=""),"Preencher CPF e entrada",IF(COUNTIFS($A$12:$A$5011,A2824,$B$12:$B$5011,B2824)&gt;1,"CPF + dia duplicado",IF(OR(AND(E2824&lt;&gt;"",E2824&lt;B2824),AND(F2824&lt;&gt;"",F2824&lt;B2824)),"Evento anterior à entrada",IF(AND(F2824&lt;&gt;"",E2824=""),"Conversa sem agendamento",IF(OR(E2824&gt;TODAY(),F2824&gt;TODAY()),"Verificar evento futuro","OK"))))))</f>
        <v/>
      </c>
    </row>
    <row r="2825" spans="9:12">
      <c r="I2825" s="5">
        <f>IF(OR(A2825="",B2825=""),"",B2825-WEEKDAY(B2825,2)+1)</f>
        <v/>
      </c>
      <c r="J2825" s="5">
        <f>IF(I2825="","",I2825+6)</f>
        <v/>
      </c>
      <c r="K2825" s="6">
        <f>IF(OR(A2825="",B2825=""),"",DATE(YEAR(B2825),MONTH(B2825),1))</f>
        <v/>
      </c>
      <c r="L2825" s="7">
        <f>IF(COUNTA(A2825,B2825)=0,"",IF(OR(A2825="",B2825=""),"Preencher CPF e entrada",IF(COUNTIFS($A$12:$A$5011,A2825,$B$12:$B$5011,B2825)&gt;1,"CPF + dia duplicado",IF(OR(AND(E2825&lt;&gt;"",E2825&lt;B2825),AND(F2825&lt;&gt;"",F2825&lt;B2825)),"Evento anterior à entrada",IF(AND(F2825&lt;&gt;"",E2825=""),"Conversa sem agendamento",IF(OR(E2825&gt;TODAY(),F2825&gt;TODAY()),"Verificar evento futuro","OK"))))))</f>
        <v/>
      </c>
    </row>
    <row r="2826" spans="9:12">
      <c r="I2826" s="5">
        <f>IF(OR(A2826="",B2826=""),"",B2826-WEEKDAY(B2826,2)+1)</f>
        <v/>
      </c>
      <c r="J2826" s="5">
        <f>IF(I2826="","",I2826+6)</f>
        <v/>
      </c>
      <c r="K2826" s="6">
        <f>IF(OR(A2826="",B2826=""),"",DATE(YEAR(B2826),MONTH(B2826),1))</f>
        <v/>
      </c>
      <c r="L2826" s="7">
        <f>IF(COUNTA(A2826,B2826)=0,"",IF(OR(A2826="",B2826=""),"Preencher CPF e entrada",IF(COUNTIFS($A$12:$A$5011,A2826,$B$12:$B$5011,B2826)&gt;1,"CPF + dia duplicado",IF(OR(AND(E2826&lt;&gt;"",E2826&lt;B2826),AND(F2826&lt;&gt;"",F2826&lt;B2826)),"Evento anterior à entrada",IF(AND(F2826&lt;&gt;"",E2826=""),"Conversa sem agendamento",IF(OR(E2826&gt;TODAY(),F2826&gt;TODAY()),"Verificar evento futuro","OK"))))))</f>
        <v/>
      </c>
    </row>
    <row r="2827" spans="9:12">
      <c r="I2827" s="5">
        <f>IF(OR(A2827="",B2827=""),"",B2827-WEEKDAY(B2827,2)+1)</f>
        <v/>
      </c>
      <c r="J2827" s="5">
        <f>IF(I2827="","",I2827+6)</f>
        <v/>
      </c>
      <c r="K2827" s="6">
        <f>IF(OR(A2827="",B2827=""),"",DATE(YEAR(B2827),MONTH(B2827),1))</f>
        <v/>
      </c>
      <c r="L2827" s="7">
        <f>IF(COUNTA(A2827,B2827)=0,"",IF(OR(A2827="",B2827=""),"Preencher CPF e entrada",IF(COUNTIFS($A$12:$A$5011,A2827,$B$12:$B$5011,B2827)&gt;1,"CPF + dia duplicado",IF(OR(AND(E2827&lt;&gt;"",E2827&lt;B2827),AND(F2827&lt;&gt;"",F2827&lt;B2827)),"Evento anterior à entrada",IF(AND(F2827&lt;&gt;"",E2827=""),"Conversa sem agendamento",IF(OR(E2827&gt;TODAY(),F2827&gt;TODAY()),"Verificar evento futuro","OK"))))))</f>
        <v/>
      </c>
    </row>
    <row r="2828" spans="9:12">
      <c r="I2828" s="5">
        <f>IF(OR(A2828="",B2828=""),"",B2828-WEEKDAY(B2828,2)+1)</f>
        <v/>
      </c>
      <c r="J2828" s="5">
        <f>IF(I2828="","",I2828+6)</f>
        <v/>
      </c>
      <c r="K2828" s="6">
        <f>IF(OR(A2828="",B2828=""),"",DATE(YEAR(B2828),MONTH(B2828),1))</f>
        <v/>
      </c>
      <c r="L2828" s="7">
        <f>IF(COUNTA(A2828,B2828)=0,"",IF(OR(A2828="",B2828=""),"Preencher CPF e entrada",IF(COUNTIFS($A$12:$A$5011,A2828,$B$12:$B$5011,B2828)&gt;1,"CPF + dia duplicado",IF(OR(AND(E2828&lt;&gt;"",E2828&lt;B2828),AND(F2828&lt;&gt;"",F2828&lt;B2828)),"Evento anterior à entrada",IF(AND(F2828&lt;&gt;"",E2828=""),"Conversa sem agendamento",IF(OR(E2828&gt;TODAY(),F2828&gt;TODAY()),"Verificar evento futuro","OK"))))))</f>
        <v/>
      </c>
    </row>
    <row r="2829" spans="9:12">
      <c r="I2829" s="5">
        <f>IF(OR(A2829="",B2829=""),"",B2829-WEEKDAY(B2829,2)+1)</f>
        <v/>
      </c>
      <c r="J2829" s="5">
        <f>IF(I2829="","",I2829+6)</f>
        <v/>
      </c>
      <c r="K2829" s="6">
        <f>IF(OR(A2829="",B2829=""),"",DATE(YEAR(B2829),MONTH(B2829),1))</f>
        <v/>
      </c>
      <c r="L2829" s="7">
        <f>IF(COUNTA(A2829,B2829)=0,"",IF(OR(A2829="",B2829=""),"Preencher CPF e entrada",IF(COUNTIFS($A$12:$A$5011,A2829,$B$12:$B$5011,B2829)&gt;1,"CPF + dia duplicado",IF(OR(AND(E2829&lt;&gt;"",E2829&lt;B2829),AND(F2829&lt;&gt;"",F2829&lt;B2829)),"Evento anterior à entrada",IF(AND(F2829&lt;&gt;"",E2829=""),"Conversa sem agendamento",IF(OR(E2829&gt;TODAY(),F2829&gt;TODAY()),"Verificar evento futuro","OK"))))))</f>
        <v/>
      </c>
    </row>
    <row r="2830" spans="9:12">
      <c r="I2830" s="5">
        <f>IF(OR(A2830="",B2830=""),"",B2830-WEEKDAY(B2830,2)+1)</f>
        <v/>
      </c>
      <c r="J2830" s="5">
        <f>IF(I2830="","",I2830+6)</f>
        <v/>
      </c>
      <c r="K2830" s="6">
        <f>IF(OR(A2830="",B2830=""),"",DATE(YEAR(B2830),MONTH(B2830),1))</f>
        <v/>
      </c>
      <c r="L2830" s="7">
        <f>IF(COUNTA(A2830,B2830)=0,"",IF(OR(A2830="",B2830=""),"Preencher CPF e entrada",IF(COUNTIFS($A$12:$A$5011,A2830,$B$12:$B$5011,B2830)&gt;1,"CPF + dia duplicado",IF(OR(AND(E2830&lt;&gt;"",E2830&lt;B2830),AND(F2830&lt;&gt;"",F2830&lt;B2830)),"Evento anterior à entrada",IF(AND(F2830&lt;&gt;"",E2830=""),"Conversa sem agendamento",IF(OR(E2830&gt;TODAY(),F2830&gt;TODAY()),"Verificar evento futuro","OK"))))))</f>
        <v/>
      </c>
    </row>
    <row r="2831" spans="9:12">
      <c r="I2831" s="5">
        <f>IF(OR(A2831="",B2831=""),"",B2831-WEEKDAY(B2831,2)+1)</f>
        <v/>
      </c>
      <c r="J2831" s="5">
        <f>IF(I2831="","",I2831+6)</f>
        <v/>
      </c>
      <c r="K2831" s="6">
        <f>IF(OR(A2831="",B2831=""),"",DATE(YEAR(B2831),MONTH(B2831),1))</f>
        <v/>
      </c>
      <c r="L2831" s="7">
        <f>IF(COUNTA(A2831,B2831)=0,"",IF(OR(A2831="",B2831=""),"Preencher CPF e entrada",IF(COUNTIFS($A$12:$A$5011,A2831,$B$12:$B$5011,B2831)&gt;1,"CPF + dia duplicado",IF(OR(AND(E2831&lt;&gt;"",E2831&lt;B2831),AND(F2831&lt;&gt;"",F2831&lt;B2831)),"Evento anterior à entrada",IF(AND(F2831&lt;&gt;"",E2831=""),"Conversa sem agendamento",IF(OR(E2831&gt;TODAY(),F2831&gt;TODAY()),"Verificar evento futuro","OK"))))))</f>
        <v/>
      </c>
    </row>
    <row r="2832" spans="9:12">
      <c r="I2832" s="5">
        <f>IF(OR(A2832="",B2832=""),"",B2832-WEEKDAY(B2832,2)+1)</f>
        <v/>
      </c>
      <c r="J2832" s="5">
        <f>IF(I2832="","",I2832+6)</f>
        <v/>
      </c>
      <c r="K2832" s="6">
        <f>IF(OR(A2832="",B2832=""),"",DATE(YEAR(B2832),MONTH(B2832),1))</f>
        <v/>
      </c>
      <c r="L2832" s="7">
        <f>IF(COUNTA(A2832,B2832)=0,"",IF(OR(A2832="",B2832=""),"Preencher CPF e entrada",IF(COUNTIFS($A$12:$A$5011,A2832,$B$12:$B$5011,B2832)&gt;1,"CPF + dia duplicado",IF(OR(AND(E2832&lt;&gt;"",E2832&lt;B2832),AND(F2832&lt;&gt;"",F2832&lt;B2832)),"Evento anterior à entrada",IF(AND(F2832&lt;&gt;"",E2832=""),"Conversa sem agendamento",IF(OR(E2832&gt;TODAY(),F2832&gt;TODAY()),"Verificar evento futuro","OK"))))))</f>
        <v/>
      </c>
    </row>
    <row r="2833" spans="9:12">
      <c r="I2833" s="5">
        <f>IF(OR(A2833="",B2833=""),"",B2833-WEEKDAY(B2833,2)+1)</f>
        <v/>
      </c>
      <c r="J2833" s="5">
        <f>IF(I2833="","",I2833+6)</f>
        <v/>
      </c>
      <c r="K2833" s="6">
        <f>IF(OR(A2833="",B2833=""),"",DATE(YEAR(B2833),MONTH(B2833),1))</f>
        <v/>
      </c>
      <c r="L2833" s="7">
        <f>IF(COUNTA(A2833,B2833)=0,"",IF(OR(A2833="",B2833=""),"Preencher CPF e entrada",IF(COUNTIFS($A$12:$A$5011,A2833,$B$12:$B$5011,B2833)&gt;1,"CPF + dia duplicado",IF(OR(AND(E2833&lt;&gt;"",E2833&lt;B2833),AND(F2833&lt;&gt;"",F2833&lt;B2833)),"Evento anterior à entrada",IF(AND(F2833&lt;&gt;"",E2833=""),"Conversa sem agendamento",IF(OR(E2833&gt;TODAY(),F2833&gt;TODAY()),"Verificar evento futuro","OK"))))))</f>
        <v/>
      </c>
    </row>
    <row r="2834" spans="9:12">
      <c r="I2834" s="5">
        <f>IF(OR(A2834="",B2834=""),"",B2834-WEEKDAY(B2834,2)+1)</f>
        <v/>
      </c>
      <c r="J2834" s="5">
        <f>IF(I2834="","",I2834+6)</f>
        <v/>
      </c>
      <c r="K2834" s="6">
        <f>IF(OR(A2834="",B2834=""),"",DATE(YEAR(B2834),MONTH(B2834),1))</f>
        <v/>
      </c>
      <c r="L2834" s="7">
        <f>IF(COUNTA(A2834,B2834)=0,"",IF(OR(A2834="",B2834=""),"Preencher CPF e entrada",IF(COUNTIFS($A$12:$A$5011,A2834,$B$12:$B$5011,B2834)&gt;1,"CPF + dia duplicado",IF(OR(AND(E2834&lt;&gt;"",E2834&lt;B2834),AND(F2834&lt;&gt;"",F2834&lt;B2834)),"Evento anterior à entrada",IF(AND(F2834&lt;&gt;"",E2834=""),"Conversa sem agendamento",IF(OR(E2834&gt;TODAY(),F2834&gt;TODAY()),"Verificar evento futuro","OK"))))))</f>
        <v/>
      </c>
    </row>
    <row r="2835" spans="9:12">
      <c r="I2835" s="5">
        <f>IF(OR(A2835="",B2835=""),"",B2835-WEEKDAY(B2835,2)+1)</f>
        <v/>
      </c>
      <c r="J2835" s="5">
        <f>IF(I2835="","",I2835+6)</f>
        <v/>
      </c>
      <c r="K2835" s="6">
        <f>IF(OR(A2835="",B2835=""),"",DATE(YEAR(B2835),MONTH(B2835),1))</f>
        <v/>
      </c>
      <c r="L2835" s="7">
        <f>IF(COUNTA(A2835,B2835)=0,"",IF(OR(A2835="",B2835=""),"Preencher CPF e entrada",IF(COUNTIFS($A$12:$A$5011,A2835,$B$12:$B$5011,B2835)&gt;1,"CPF + dia duplicado",IF(OR(AND(E2835&lt;&gt;"",E2835&lt;B2835),AND(F2835&lt;&gt;"",F2835&lt;B2835)),"Evento anterior à entrada",IF(AND(F2835&lt;&gt;"",E2835=""),"Conversa sem agendamento",IF(OR(E2835&gt;TODAY(),F2835&gt;TODAY()),"Verificar evento futuro","OK"))))))</f>
        <v/>
      </c>
    </row>
    <row r="2836" spans="9:12">
      <c r="I2836" s="5">
        <f>IF(OR(A2836="",B2836=""),"",B2836-WEEKDAY(B2836,2)+1)</f>
        <v/>
      </c>
      <c r="J2836" s="5">
        <f>IF(I2836="","",I2836+6)</f>
        <v/>
      </c>
      <c r="K2836" s="6">
        <f>IF(OR(A2836="",B2836=""),"",DATE(YEAR(B2836),MONTH(B2836),1))</f>
        <v/>
      </c>
      <c r="L2836" s="7">
        <f>IF(COUNTA(A2836,B2836)=0,"",IF(OR(A2836="",B2836=""),"Preencher CPF e entrada",IF(COUNTIFS($A$12:$A$5011,A2836,$B$12:$B$5011,B2836)&gt;1,"CPF + dia duplicado",IF(OR(AND(E2836&lt;&gt;"",E2836&lt;B2836),AND(F2836&lt;&gt;"",F2836&lt;B2836)),"Evento anterior à entrada",IF(AND(F2836&lt;&gt;"",E2836=""),"Conversa sem agendamento",IF(OR(E2836&gt;TODAY(),F2836&gt;TODAY()),"Verificar evento futuro","OK"))))))</f>
        <v/>
      </c>
    </row>
    <row r="2837" spans="9:12">
      <c r="I2837" s="5">
        <f>IF(OR(A2837="",B2837=""),"",B2837-WEEKDAY(B2837,2)+1)</f>
        <v/>
      </c>
      <c r="J2837" s="5">
        <f>IF(I2837="","",I2837+6)</f>
        <v/>
      </c>
      <c r="K2837" s="6">
        <f>IF(OR(A2837="",B2837=""),"",DATE(YEAR(B2837),MONTH(B2837),1))</f>
        <v/>
      </c>
      <c r="L2837" s="7">
        <f>IF(COUNTA(A2837,B2837)=0,"",IF(OR(A2837="",B2837=""),"Preencher CPF e entrada",IF(COUNTIFS($A$12:$A$5011,A2837,$B$12:$B$5011,B2837)&gt;1,"CPF + dia duplicado",IF(OR(AND(E2837&lt;&gt;"",E2837&lt;B2837),AND(F2837&lt;&gt;"",F2837&lt;B2837)),"Evento anterior à entrada",IF(AND(F2837&lt;&gt;"",E2837=""),"Conversa sem agendamento",IF(OR(E2837&gt;TODAY(),F2837&gt;TODAY()),"Verificar evento futuro","OK"))))))</f>
        <v/>
      </c>
    </row>
    <row r="2838" spans="9:12">
      <c r="I2838" s="5">
        <f>IF(OR(A2838="",B2838=""),"",B2838-WEEKDAY(B2838,2)+1)</f>
        <v/>
      </c>
      <c r="J2838" s="5">
        <f>IF(I2838="","",I2838+6)</f>
        <v/>
      </c>
      <c r="K2838" s="6">
        <f>IF(OR(A2838="",B2838=""),"",DATE(YEAR(B2838),MONTH(B2838),1))</f>
        <v/>
      </c>
      <c r="L2838" s="7">
        <f>IF(COUNTA(A2838,B2838)=0,"",IF(OR(A2838="",B2838=""),"Preencher CPF e entrada",IF(COUNTIFS($A$12:$A$5011,A2838,$B$12:$B$5011,B2838)&gt;1,"CPF + dia duplicado",IF(OR(AND(E2838&lt;&gt;"",E2838&lt;B2838),AND(F2838&lt;&gt;"",F2838&lt;B2838)),"Evento anterior à entrada",IF(AND(F2838&lt;&gt;"",E2838=""),"Conversa sem agendamento",IF(OR(E2838&gt;TODAY(),F2838&gt;TODAY()),"Verificar evento futuro","OK"))))))</f>
        <v/>
      </c>
    </row>
    <row r="2839" spans="9:12">
      <c r="I2839" s="5">
        <f>IF(OR(A2839="",B2839=""),"",B2839-WEEKDAY(B2839,2)+1)</f>
        <v/>
      </c>
      <c r="J2839" s="5">
        <f>IF(I2839="","",I2839+6)</f>
        <v/>
      </c>
      <c r="K2839" s="6">
        <f>IF(OR(A2839="",B2839=""),"",DATE(YEAR(B2839),MONTH(B2839),1))</f>
        <v/>
      </c>
      <c r="L2839" s="7">
        <f>IF(COUNTA(A2839,B2839)=0,"",IF(OR(A2839="",B2839=""),"Preencher CPF e entrada",IF(COUNTIFS($A$12:$A$5011,A2839,$B$12:$B$5011,B2839)&gt;1,"CPF + dia duplicado",IF(OR(AND(E2839&lt;&gt;"",E2839&lt;B2839),AND(F2839&lt;&gt;"",F2839&lt;B2839)),"Evento anterior à entrada",IF(AND(F2839&lt;&gt;"",E2839=""),"Conversa sem agendamento",IF(OR(E2839&gt;TODAY(),F2839&gt;TODAY()),"Verificar evento futuro","OK"))))))</f>
        <v/>
      </c>
    </row>
    <row r="2840" spans="9:12">
      <c r="I2840" s="5">
        <f>IF(OR(A2840="",B2840=""),"",B2840-WEEKDAY(B2840,2)+1)</f>
        <v/>
      </c>
      <c r="J2840" s="5">
        <f>IF(I2840="","",I2840+6)</f>
        <v/>
      </c>
      <c r="K2840" s="6">
        <f>IF(OR(A2840="",B2840=""),"",DATE(YEAR(B2840),MONTH(B2840),1))</f>
        <v/>
      </c>
      <c r="L2840" s="7">
        <f>IF(COUNTA(A2840,B2840)=0,"",IF(OR(A2840="",B2840=""),"Preencher CPF e entrada",IF(COUNTIFS($A$12:$A$5011,A2840,$B$12:$B$5011,B2840)&gt;1,"CPF + dia duplicado",IF(OR(AND(E2840&lt;&gt;"",E2840&lt;B2840),AND(F2840&lt;&gt;"",F2840&lt;B2840)),"Evento anterior à entrada",IF(AND(F2840&lt;&gt;"",E2840=""),"Conversa sem agendamento",IF(OR(E2840&gt;TODAY(),F2840&gt;TODAY()),"Verificar evento futuro","OK"))))))</f>
        <v/>
      </c>
    </row>
    <row r="2841" spans="9:12">
      <c r="I2841" s="5">
        <f>IF(OR(A2841="",B2841=""),"",B2841-WEEKDAY(B2841,2)+1)</f>
        <v/>
      </c>
      <c r="J2841" s="5">
        <f>IF(I2841="","",I2841+6)</f>
        <v/>
      </c>
      <c r="K2841" s="6">
        <f>IF(OR(A2841="",B2841=""),"",DATE(YEAR(B2841),MONTH(B2841),1))</f>
        <v/>
      </c>
      <c r="L2841" s="7">
        <f>IF(COUNTA(A2841,B2841)=0,"",IF(OR(A2841="",B2841=""),"Preencher CPF e entrada",IF(COUNTIFS($A$12:$A$5011,A2841,$B$12:$B$5011,B2841)&gt;1,"CPF + dia duplicado",IF(OR(AND(E2841&lt;&gt;"",E2841&lt;B2841),AND(F2841&lt;&gt;"",F2841&lt;B2841)),"Evento anterior à entrada",IF(AND(F2841&lt;&gt;"",E2841=""),"Conversa sem agendamento",IF(OR(E2841&gt;TODAY(),F2841&gt;TODAY()),"Verificar evento futuro","OK"))))))</f>
        <v/>
      </c>
    </row>
    <row r="2842" spans="9:12">
      <c r="I2842" s="5">
        <f>IF(OR(A2842="",B2842=""),"",B2842-WEEKDAY(B2842,2)+1)</f>
        <v/>
      </c>
      <c r="J2842" s="5">
        <f>IF(I2842="","",I2842+6)</f>
        <v/>
      </c>
      <c r="K2842" s="6">
        <f>IF(OR(A2842="",B2842=""),"",DATE(YEAR(B2842),MONTH(B2842),1))</f>
        <v/>
      </c>
      <c r="L2842" s="7">
        <f>IF(COUNTA(A2842,B2842)=0,"",IF(OR(A2842="",B2842=""),"Preencher CPF e entrada",IF(COUNTIFS($A$12:$A$5011,A2842,$B$12:$B$5011,B2842)&gt;1,"CPF + dia duplicado",IF(OR(AND(E2842&lt;&gt;"",E2842&lt;B2842),AND(F2842&lt;&gt;"",F2842&lt;B2842)),"Evento anterior à entrada",IF(AND(F2842&lt;&gt;"",E2842=""),"Conversa sem agendamento",IF(OR(E2842&gt;TODAY(),F2842&gt;TODAY()),"Verificar evento futuro","OK"))))))</f>
        <v/>
      </c>
    </row>
    <row r="2843" spans="9:12">
      <c r="I2843" s="5">
        <f>IF(OR(A2843="",B2843=""),"",B2843-WEEKDAY(B2843,2)+1)</f>
        <v/>
      </c>
      <c r="J2843" s="5">
        <f>IF(I2843="","",I2843+6)</f>
        <v/>
      </c>
      <c r="K2843" s="6">
        <f>IF(OR(A2843="",B2843=""),"",DATE(YEAR(B2843),MONTH(B2843),1))</f>
        <v/>
      </c>
      <c r="L2843" s="7">
        <f>IF(COUNTA(A2843,B2843)=0,"",IF(OR(A2843="",B2843=""),"Preencher CPF e entrada",IF(COUNTIFS($A$12:$A$5011,A2843,$B$12:$B$5011,B2843)&gt;1,"CPF + dia duplicado",IF(OR(AND(E2843&lt;&gt;"",E2843&lt;B2843),AND(F2843&lt;&gt;"",F2843&lt;B2843)),"Evento anterior à entrada",IF(AND(F2843&lt;&gt;"",E2843=""),"Conversa sem agendamento",IF(OR(E2843&gt;TODAY(),F2843&gt;TODAY()),"Verificar evento futuro","OK"))))))</f>
        <v/>
      </c>
    </row>
    <row r="2844" spans="9:12">
      <c r="I2844" s="5">
        <f>IF(OR(A2844="",B2844=""),"",B2844-WEEKDAY(B2844,2)+1)</f>
        <v/>
      </c>
      <c r="J2844" s="5">
        <f>IF(I2844="","",I2844+6)</f>
        <v/>
      </c>
      <c r="K2844" s="6">
        <f>IF(OR(A2844="",B2844=""),"",DATE(YEAR(B2844),MONTH(B2844),1))</f>
        <v/>
      </c>
      <c r="L2844" s="7">
        <f>IF(COUNTA(A2844,B2844)=0,"",IF(OR(A2844="",B2844=""),"Preencher CPF e entrada",IF(COUNTIFS($A$12:$A$5011,A2844,$B$12:$B$5011,B2844)&gt;1,"CPF + dia duplicado",IF(OR(AND(E2844&lt;&gt;"",E2844&lt;B2844),AND(F2844&lt;&gt;"",F2844&lt;B2844)),"Evento anterior à entrada",IF(AND(F2844&lt;&gt;"",E2844=""),"Conversa sem agendamento",IF(OR(E2844&gt;TODAY(),F2844&gt;TODAY()),"Verificar evento futuro","OK"))))))</f>
        <v/>
      </c>
    </row>
    <row r="2845" spans="9:12">
      <c r="I2845" s="5">
        <f>IF(OR(A2845="",B2845=""),"",B2845-WEEKDAY(B2845,2)+1)</f>
        <v/>
      </c>
      <c r="J2845" s="5">
        <f>IF(I2845="","",I2845+6)</f>
        <v/>
      </c>
      <c r="K2845" s="6">
        <f>IF(OR(A2845="",B2845=""),"",DATE(YEAR(B2845),MONTH(B2845),1))</f>
        <v/>
      </c>
      <c r="L2845" s="7">
        <f>IF(COUNTA(A2845,B2845)=0,"",IF(OR(A2845="",B2845=""),"Preencher CPF e entrada",IF(COUNTIFS($A$12:$A$5011,A2845,$B$12:$B$5011,B2845)&gt;1,"CPF + dia duplicado",IF(OR(AND(E2845&lt;&gt;"",E2845&lt;B2845),AND(F2845&lt;&gt;"",F2845&lt;B2845)),"Evento anterior à entrada",IF(AND(F2845&lt;&gt;"",E2845=""),"Conversa sem agendamento",IF(OR(E2845&gt;TODAY(),F2845&gt;TODAY()),"Verificar evento futuro","OK"))))))</f>
        <v/>
      </c>
    </row>
    <row r="2846" spans="9:12">
      <c r="I2846" s="5">
        <f>IF(OR(A2846="",B2846=""),"",B2846-WEEKDAY(B2846,2)+1)</f>
        <v/>
      </c>
      <c r="J2846" s="5">
        <f>IF(I2846="","",I2846+6)</f>
        <v/>
      </c>
      <c r="K2846" s="6">
        <f>IF(OR(A2846="",B2846=""),"",DATE(YEAR(B2846),MONTH(B2846),1))</f>
        <v/>
      </c>
      <c r="L2846" s="7">
        <f>IF(COUNTA(A2846,B2846)=0,"",IF(OR(A2846="",B2846=""),"Preencher CPF e entrada",IF(COUNTIFS($A$12:$A$5011,A2846,$B$12:$B$5011,B2846)&gt;1,"CPF + dia duplicado",IF(OR(AND(E2846&lt;&gt;"",E2846&lt;B2846),AND(F2846&lt;&gt;"",F2846&lt;B2846)),"Evento anterior à entrada",IF(AND(F2846&lt;&gt;"",E2846=""),"Conversa sem agendamento",IF(OR(E2846&gt;TODAY(),F2846&gt;TODAY()),"Verificar evento futuro","OK"))))))</f>
        <v/>
      </c>
    </row>
    <row r="2847" spans="9:12">
      <c r="I2847" s="5">
        <f>IF(OR(A2847="",B2847=""),"",B2847-WEEKDAY(B2847,2)+1)</f>
        <v/>
      </c>
      <c r="J2847" s="5">
        <f>IF(I2847="","",I2847+6)</f>
        <v/>
      </c>
      <c r="K2847" s="6">
        <f>IF(OR(A2847="",B2847=""),"",DATE(YEAR(B2847),MONTH(B2847),1))</f>
        <v/>
      </c>
      <c r="L2847" s="7">
        <f>IF(COUNTA(A2847,B2847)=0,"",IF(OR(A2847="",B2847=""),"Preencher CPF e entrada",IF(COUNTIFS($A$12:$A$5011,A2847,$B$12:$B$5011,B2847)&gt;1,"CPF + dia duplicado",IF(OR(AND(E2847&lt;&gt;"",E2847&lt;B2847),AND(F2847&lt;&gt;"",F2847&lt;B2847)),"Evento anterior à entrada",IF(AND(F2847&lt;&gt;"",E2847=""),"Conversa sem agendamento",IF(OR(E2847&gt;TODAY(),F2847&gt;TODAY()),"Verificar evento futuro","OK"))))))</f>
        <v/>
      </c>
    </row>
    <row r="2848" spans="9:12">
      <c r="I2848" s="5">
        <f>IF(OR(A2848="",B2848=""),"",B2848-WEEKDAY(B2848,2)+1)</f>
        <v/>
      </c>
      <c r="J2848" s="5">
        <f>IF(I2848="","",I2848+6)</f>
        <v/>
      </c>
      <c r="K2848" s="6">
        <f>IF(OR(A2848="",B2848=""),"",DATE(YEAR(B2848),MONTH(B2848),1))</f>
        <v/>
      </c>
      <c r="L2848" s="7">
        <f>IF(COUNTA(A2848,B2848)=0,"",IF(OR(A2848="",B2848=""),"Preencher CPF e entrada",IF(COUNTIFS($A$12:$A$5011,A2848,$B$12:$B$5011,B2848)&gt;1,"CPF + dia duplicado",IF(OR(AND(E2848&lt;&gt;"",E2848&lt;B2848),AND(F2848&lt;&gt;"",F2848&lt;B2848)),"Evento anterior à entrada",IF(AND(F2848&lt;&gt;"",E2848=""),"Conversa sem agendamento",IF(OR(E2848&gt;TODAY(),F2848&gt;TODAY()),"Verificar evento futuro","OK"))))))</f>
        <v/>
      </c>
    </row>
    <row r="2849" spans="9:12">
      <c r="I2849" s="5">
        <f>IF(OR(A2849="",B2849=""),"",B2849-WEEKDAY(B2849,2)+1)</f>
        <v/>
      </c>
      <c r="J2849" s="5">
        <f>IF(I2849="","",I2849+6)</f>
        <v/>
      </c>
      <c r="K2849" s="6">
        <f>IF(OR(A2849="",B2849=""),"",DATE(YEAR(B2849),MONTH(B2849),1))</f>
        <v/>
      </c>
      <c r="L2849" s="7">
        <f>IF(COUNTA(A2849,B2849)=0,"",IF(OR(A2849="",B2849=""),"Preencher CPF e entrada",IF(COUNTIFS($A$12:$A$5011,A2849,$B$12:$B$5011,B2849)&gt;1,"CPF + dia duplicado",IF(OR(AND(E2849&lt;&gt;"",E2849&lt;B2849),AND(F2849&lt;&gt;"",F2849&lt;B2849)),"Evento anterior à entrada",IF(AND(F2849&lt;&gt;"",E2849=""),"Conversa sem agendamento",IF(OR(E2849&gt;TODAY(),F2849&gt;TODAY()),"Verificar evento futuro","OK"))))))</f>
        <v/>
      </c>
    </row>
    <row r="2850" spans="9:12">
      <c r="I2850" s="5">
        <f>IF(OR(A2850="",B2850=""),"",B2850-WEEKDAY(B2850,2)+1)</f>
        <v/>
      </c>
      <c r="J2850" s="5">
        <f>IF(I2850="","",I2850+6)</f>
        <v/>
      </c>
      <c r="K2850" s="6">
        <f>IF(OR(A2850="",B2850=""),"",DATE(YEAR(B2850),MONTH(B2850),1))</f>
        <v/>
      </c>
      <c r="L2850" s="7">
        <f>IF(COUNTA(A2850,B2850)=0,"",IF(OR(A2850="",B2850=""),"Preencher CPF e entrada",IF(COUNTIFS($A$12:$A$5011,A2850,$B$12:$B$5011,B2850)&gt;1,"CPF + dia duplicado",IF(OR(AND(E2850&lt;&gt;"",E2850&lt;B2850),AND(F2850&lt;&gt;"",F2850&lt;B2850)),"Evento anterior à entrada",IF(AND(F2850&lt;&gt;"",E2850=""),"Conversa sem agendamento",IF(OR(E2850&gt;TODAY(),F2850&gt;TODAY()),"Verificar evento futuro","OK"))))))</f>
        <v/>
      </c>
    </row>
    <row r="2851" spans="9:12">
      <c r="I2851" s="5">
        <f>IF(OR(A2851="",B2851=""),"",B2851-WEEKDAY(B2851,2)+1)</f>
        <v/>
      </c>
      <c r="J2851" s="5">
        <f>IF(I2851="","",I2851+6)</f>
        <v/>
      </c>
      <c r="K2851" s="6">
        <f>IF(OR(A2851="",B2851=""),"",DATE(YEAR(B2851),MONTH(B2851),1))</f>
        <v/>
      </c>
      <c r="L2851" s="7">
        <f>IF(COUNTA(A2851,B2851)=0,"",IF(OR(A2851="",B2851=""),"Preencher CPF e entrada",IF(COUNTIFS($A$12:$A$5011,A2851,$B$12:$B$5011,B2851)&gt;1,"CPF + dia duplicado",IF(OR(AND(E2851&lt;&gt;"",E2851&lt;B2851),AND(F2851&lt;&gt;"",F2851&lt;B2851)),"Evento anterior à entrada",IF(AND(F2851&lt;&gt;"",E2851=""),"Conversa sem agendamento",IF(OR(E2851&gt;TODAY(),F2851&gt;TODAY()),"Verificar evento futuro","OK"))))))</f>
        <v/>
      </c>
    </row>
    <row r="2852" spans="9:12">
      <c r="I2852" s="5">
        <f>IF(OR(A2852="",B2852=""),"",B2852-WEEKDAY(B2852,2)+1)</f>
        <v/>
      </c>
      <c r="J2852" s="5">
        <f>IF(I2852="","",I2852+6)</f>
        <v/>
      </c>
      <c r="K2852" s="6">
        <f>IF(OR(A2852="",B2852=""),"",DATE(YEAR(B2852),MONTH(B2852),1))</f>
        <v/>
      </c>
      <c r="L2852" s="7">
        <f>IF(COUNTA(A2852,B2852)=0,"",IF(OR(A2852="",B2852=""),"Preencher CPF e entrada",IF(COUNTIFS($A$12:$A$5011,A2852,$B$12:$B$5011,B2852)&gt;1,"CPF + dia duplicado",IF(OR(AND(E2852&lt;&gt;"",E2852&lt;B2852),AND(F2852&lt;&gt;"",F2852&lt;B2852)),"Evento anterior à entrada",IF(AND(F2852&lt;&gt;"",E2852=""),"Conversa sem agendamento",IF(OR(E2852&gt;TODAY(),F2852&gt;TODAY()),"Verificar evento futuro","OK"))))))</f>
        <v/>
      </c>
    </row>
    <row r="2853" spans="9:12">
      <c r="I2853" s="5">
        <f>IF(OR(A2853="",B2853=""),"",B2853-WEEKDAY(B2853,2)+1)</f>
        <v/>
      </c>
      <c r="J2853" s="5">
        <f>IF(I2853="","",I2853+6)</f>
        <v/>
      </c>
      <c r="K2853" s="6">
        <f>IF(OR(A2853="",B2853=""),"",DATE(YEAR(B2853),MONTH(B2853),1))</f>
        <v/>
      </c>
      <c r="L2853" s="7">
        <f>IF(COUNTA(A2853,B2853)=0,"",IF(OR(A2853="",B2853=""),"Preencher CPF e entrada",IF(COUNTIFS($A$12:$A$5011,A2853,$B$12:$B$5011,B2853)&gt;1,"CPF + dia duplicado",IF(OR(AND(E2853&lt;&gt;"",E2853&lt;B2853),AND(F2853&lt;&gt;"",F2853&lt;B2853)),"Evento anterior à entrada",IF(AND(F2853&lt;&gt;"",E2853=""),"Conversa sem agendamento",IF(OR(E2853&gt;TODAY(),F2853&gt;TODAY()),"Verificar evento futuro","OK"))))))</f>
        <v/>
      </c>
    </row>
    <row r="2854" spans="9:12">
      <c r="I2854" s="5">
        <f>IF(OR(A2854="",B2854=""),"",B2854-WEEKDAY(B2854,2)+1)</f>
        <v/>
      </c>
      <c r="J2854" s="5">
        <f>IF(I2854="","",I2854+6)</f>
        <v/>
      </c>
      <c r="K2854" s="6">
        <f>IF(OR(A2854="",B2854=""),"",DATE(YEAR(B2854),MONTH(B2854),1))</f>
        <v/>
      </c>
      <c r="L2854" s="7">
        <f>IF(COUNTA(A2854,B2854)=0,"",IF(OR(A2854="",B2854=""),"Preencher CPF e entrada",IF(COUNTIFS($A$12:$A$5011,A2854,$B$12:$B$5011,B2854)&gt;1,"CPF + dia duplicado",IF(OR(AND(E2854&lt;&gt;"",E2854&lt;B2854),AND(F2854&lt;&gt;"",F2854&lt;B2854)),"Evento anterior à entrada",IF(AND(F2854&lt;&gt;"",E2854=""),"Conversa sem agendamento",IF(OR(E2854&gt;TODAY(),F2854&gt;TODAY()),"Verificar evento futuro","OK"))))))</f>
        <v/>
      </c>
    </row>
    <row r="2855" spans="9:12">
      <c r="I2855" s="5">
        <f>IF(OR(A2855="",B2855=""),"",B2855-WEEKDAY(B2855,2)+1)</f>
        <v/>
      </c>
      <c r="J2855" s="5">
        <f>IF(I2855="","",I2855+6)</f>
        <v/>
      </c>
      <c r="K2855" s="6">
        <f>IF(OR(A2855="",B2855=""),"",DATE(YEAR(B2855),MONTH(B2855),1))</f>
        <v/>
      </c>
      <c r="L2855" s="7">
        <f>IF(COUNTA(A2855,B2855)=0,"",IF(OR(A2855="",B2855=""),"Preencher CPF e entrada",IF(COUNTIFS($A$12:$A$5011,A2855,$B$12:$B$5011,B2855)&gt;1,"CPF + dia duplicado",IF(OR(AND(E2855&lt;&gt;"",E2855&lt;B2855),AND(F2855&lt;&gt;"",F2855&lt;B2855)),"Evento anterior à entrada",IF(AND(F2855&lt;&gt;"",E2855=""),"Conversa sem agendamento",IF(OR(E2855&gt;TODAY(),F2855&gt;TODAY()),"Verificar evento futuro","OK"))))))</f>
        <v/>
      </c>
    </row>
    <row r="2856" spans="9:12">
      <c r="I2856" s="5">
        <f>IF(OR(A2856="",B2856=""),"",B2856-WEEKDAY(B2856,2)+1)</f>
        <v/>
      </c>
      <c r="J2856" s="5">
        <f>IF(I2856="","",I2856+6)</f>
        <v/>
      </c>
      <c r="K2856" s="6">
        <f>IF(OR(A2856="",B2856=""),"",DATE(YEAR(B2856),MONTH(B2856),1))</f>
        <v/>
      </c>
      <c r="L2856" s="7">
        <f>IF(COUNTA(A2856,B2856)=0,"",IF(OR(A2856="",B2856=""),"Preencher CPF e entrada",IF(COUNTIFS($A$12:$A$5011,A2856,$B$12:$B$5011,B2856)&gt;1,"CPF + dia duplicado",IF(OR(AND(E2856&lt;&gt;"",E2856&lt;B2856),AND(F2856&lt;&gt;"",F2856&lt;B2856)),"Evento anterior à entrada",IF(AND(F2856&lt;&gt;"",E2856=""),"Conversa sem agendamento",IF(OR(E2856&gt;TODAY(),F2856&gt;TODAY()),"Verificar evento futuro","OK"))))))</f>
        <v/>
      </c>
    </row>
    <row r="2857" spans="9:12">
      <c r="I2857" s="5">
        <f>IF(OR(A2857="",B2857=""),"",B2857-WEEKDAY(B2857,2)+1)</f>
        <v/>
      </c>
      <c r="J2857" s="5">
        <f>IF(I2857="","",I2857+6)</f>
        <v/>
      </c>
      <c r="K2857" s="6">
        <f>IF(OR(A2857="",B2857=""),"",DATE(YEAR(B2857),MONTH(B2857),1))</f>
        <v/>
      </c>
      <c r="L2857" s="7">
        <f>IF(COUNTA(A2857,B2857)=0,"",IF(OR(A2857="",B2857=""),"Preencher CPF e entrada",IF(COUNTIFS($A$12:$A$5011,A2857,$B$12:$B$5011,B2857)&gt;1,"CPF + dia duplicado",IF(OR(AND(E2857&lt;&gt;"",E2857&lt;B2857),AND(F2857&lt;&gt;"",F2857&lt;B2857)),"Evento anterior à entrada",IF(AND(F2857&lt;&gt;"",E2857=""),"Conversa sem agendamento",IF(OR(E2857&gt;TODAY(),F2857&gt;TODAY()),"Verificar evento futuro","OK"))))))</f>
        <v/>
      </c>
    </row>
    <row r="2858" spans="9:12">
      <c r="I2858" s="5">
        <f>IF(OR(A2858="",B2858=""),"",B2858-WEEKDAY(B2858,2)+1)</f>
        <v/>
      </c>
      <c r="J2858" s="5">
        <f>IF(I2858="","",I2858+6)</f>
        <v/>
      </c>
      <c r="K2858" s="6">
        <f>IF(OR(A2858="",B2858=""),"",DATE(YEAR(B2858),MONTH(B2858),1))</f>
        <v/>
      </c>
      <c r="L2858" s="7">
        <f>IF(COUNTA(A2858,B2858)=0,"",IF(OR(A2858="",B2858=""),"Preencher CPF e entrada",IF(COUNTIFS($A$12:$A$5011,A2858,$B$12:$B$5011,B2858)&gt;1,"CPF + dia duplicado",IF(OR(AND(E2858&lt;&gt;"",E2858&lt;B2858),AND(F2858&lt;&gt;"",F2858&lt;B2858)),"Evento anterior à entrada",IF(AND(F2858&lt;&gt;"",E2858=""),"Conversa sem agendamento",IF(OR(E2858&gt;TODAY(),F2858&gt;TODAY()),"Verificar evento futuro","OK"))))))</f>
        <v/>
      </c>
    </row>
    <row r="2859" spans="9:12">
      <c r="I2859" s="5">
        <f>IF(OR(A2859="",B2859=""),"",B2859-WEEKDAY(B2859,2)+1)</f>
        <v/>
      </c>
      <c r="J2859" s="5">
        <f>IF(I2859="","",I2859+6)</f>
        <v/>
      </c>
      <c r="K2859" s="6">
        <f>IF(OR(A2859="",B2859=""),"",DATE(YEAR(B2859),MONTH(B2859),1))</f>
        <v/>
      </c>
      <c r="L2859" s="7">
        <f>IF(COUNTA(A2859,B2859)=0,"",IF(OR(A2859="",B2859=""),"Preencher CPF e entrada",IF(COUNTIFS($A$12:$A$5011,A2859,$B$12:$B$5011,B2859)&gt;1,"CPF + dia duplicado",IF(OR(AND(E2859&lt;&gt;"",E2859&lt;B2859),AND(F2859&lt;&gt;"",F2859&lt;B2859)),"Evento anterior à entrada",IF(AND(F2859&lt;&gt;"",E2859=""),"Conversa sem agendamento",IF(OR(E2859&gt;TODAY(),F2859&gt;TODAY()),"Verificar evento futuro","OK"))))))</f>
        <v/>
      </c>
    </row>
    <row r="2860" spans="9:12">
      <c r="I2860" s="5">
        <f>IF(OR(A2860="",B2860=""),"",B2860-WEEKDAY(B2860,2)+1)</f>
        <v/>
      </c>
      <c r="J2860" s="5">
        <f>IF(I2860="","",I2860+6)</f>
        <v/>
      </c>
      <c r="K2860" s="6">
        <f>IF(OR(A2860="",B2860=""),"",DATE(YEAR(B2860),MONTH(B2860),1))</f>
        <v/>
      </c>
      <c r="L2860" s="7">
        <f>IF(COUNTA(A2860,B2860)=0,"",IF(OR(A2860="",B2860=""),"Preencher CPF e entrada",IF(COUNTIFS($A$12:$A$5011,A2860,$B$12:$B$5011,B2860)&gt;1,"CPF + dia duplicado",IF(OR(AND(E2860&lt;&gt;"",E2860&lt;B2860),AND(F2860&lt;&gt;"",F2860&lt;B2860)),"Evento anterior à entrada",IF(AND(F2860&lt;&gt;"",E2860=""),"Conversa sem agendamento",IF(OR(E2860&gt;TODAY(),F2860&gt;TODAY()),"Verificar evento futuro","OK"))))))</f>
        <v/>
      </c>
    </row>
    <row r="2861" spans="9:12">
      <c r="I2861" s="5">
        <f>IF(OR(A2861="",B2861=""),"",B2861-WEEKDAY(B2861,2)+1)</f>
        <v/>
      </c>
      <c r="J2861" s="5">
        <f>IF(I2861="","",I2861+6)</f>
        <v/>
      </c>
      <c r="K2861" s="6">
        <f>IF(OR(A2861="",B2861=""),"",DATE(YEAR(B2861),MONTH(B2861),1))</f>
        <v/>
      </c>
      <c r="L2861" s="7">
        <f>IF(COUNTA(A2861,B2861)=0,"",IF(OR(A2861="",B2861=""),"Preencher CPF e entrada",IF(COUNTIFS($A$12:$A$5011,A2861,$B$12:$B$5011,B2861)&gt;1,"CPF + dia duplicado",IF(OR(AND(E2861&lt;&gt;"",E2861&lt;B2861),AND(F2861&lt;&gt;"",F2861&lt;B2861)),"Evento anterior à entrada",IF(AND(F2861&lt;&gt;"",E2861=""),"Conversa sem agendamento",IF(OR(E2861&gt;TODAY(),F2861&gt;TODAY()),"Verificar evento futuro","OK"))))))</f>
        <v/>
      </c>
    </row>
    <row r="2862" spans="9:12">
      <c r="I2862" s="5">
        <f>IF(OR(A2862="",B2862=""),"",B2862-WEEKDAY(B2862,2)+1)</f>
        <v/>
      </c>
      <c r="J2862" s="5">
        <f>IF(I2862="","",I2862+6)</f>
        <v/>
      </c>
      <c r="K2862" s="6">
        <f>IF(OR(A2862="",B2862=""),"",DATE(YEAR(B2862),MONTH(B2862),1))</f>
        <v/>
      </c>
      <c r="L2862" s="7">
        <f>IF(COUNTA(A2862,B2862)=0,"",IF(OR(A2862="",B2862=""),"Preencher CPF e entrada",IF(COUNTIFS($A$12:$A$5011,A2862,$B$12:$B$5011,B2862)&gt;1,"CPF + dia duplicado",IF(OR(AND(E2862&lt;&gt;"",E2862&lt;B2862),AND(F2862&lt;&gt;"",F2862&lt;B2862)),"Evento anterior à entrada",IF(AND(F2862&lt;&gt;"",E2862=""),"Conversa sem agendamento",IF(OR(E2862&gt;TODAY(),F2862&gt;TODAY()),"Verificar evento futuro","OK"))))))</f>
        <v/>
      </c>
    </row>
    <row r="2863" spans="9:12">
      <c r="I2863" s="5">
        <f>IF(OR(A2863="",B2863=""),"",B2863-WEEKDAY(B2863,2)+1)</f>
        <v/>
      </c>
      <c r="J2863" s="5">
        <f>IF(I2863="","",I2863+6)</f>
        <v/>
      </c>
      <c r="K2863" s="6">
        <f>IF(OR(A2863="",B2863=""),"",DATE(YEAR(B2863),MONTH(B2863),1))</f>
        <v/>
      </c>
      <c r="L2863" s="7">
        <f>IF(COUNTA(A2863,B2863)=0,"",IF(OR(A2863="",B2863=""),"Preencher CPF e entrada",IF(COUNTIFS($A$12:$A$5011,A2863,$B$12:$B$5011,B2863)&gt;1,"CPF + dia duplicado",IF(OR(AND(E2863&lt;&gt;"",E2863&lt;B2863),AND(F2863&lt;&gt;"",F2863&lt;B2863)),"Evento anterior à entrada",IF(AND(F2863&lt;&gt;"",E2863=""),"Conversa sem agendamento",IF(OR(E2863&gt;TODAY(),F2863&gt;TODAY()),"Verificar evento futuro","OK"))))))</f>
        <v/>
      </c>
    </row>
    <row r="2864" spans="9:12">
      <c r="I2864" s="5">
        <f>IF(OR(A2864="",B2864=""),"",B2864-WEEKDAY(B2864,2)+1)</f>
        <v/>
      </c>
      <c r="J2864" s="5">
        <f>IF(I2864="","",I2864+6)</f>
        <v/>
      </c>
      <c r="K2864" s="6">
        <f>IF(OR(A2864="",B2864=""),"",DATE(YEAR(B2864),MONTH(B2864),1))</f>
        <v/>
      </c>
      <c r="L2864" s="7">
        <f>IF(COUNTA(A2864,B2864)=0,"",IF(OR(A2864="",B2864=""),"Preencher CPF e entrada",IF(COUNTIFS($A$12:$A$5011,A2864,$B$12:$B$5011,B2864)&gt;1,"CPF + dia duplicado",IF(OR(AND(E2864&lt;&gt;"",E2864&lt;B2864),AND(F2864&lt;&gt;"",F2864&lt;B2864)),"Evento anterior à entrada",IF(AND(F2864&lt;&gt;"",E2864=""),"Conversa sem agendamento",IF(OR(E2864&gt;TODAY(),F2864&gt;TODAY()),"Verificar evento futuro","OK"))))))</f>
        <v/>
      </c>
    </row>
    <row r="2865" spans="9:12">
      <c r="I2865" s="5">
        <f>IF(OR(A2865="",B2865=""),"",B2865-WEEKDAY(B2865,2)+1)</f>
        <v/>
      </c>
      <c r="J2865" s="5">
        <f>IF(I2865="","",I2865+6)</f>
        <v/>
      </c>
      <c r="K2865" s="6">
        <f>IF(OR(A2865="",B2865=""),"",DATE(YEAR(B2865),MONTH(B2865),1))</f>
        <v/>
      </c>
      <c r="L2865" s="7">
        <f>IF(COUNTA(A2865,B2865)=0,"",IF(OR(A2865="",B2865=""),"Preencher CPF e entrada",IF(COUNTIFS($A$12:$A$5011,A2865,$B$12:$B$5011,B2865)&gt;1,"CPF + dia duplicado",IF(OR(AND(E2865&lt;&gt;"",E2865&lt;B2865),AND(F2865&lt;&gt;"",F2865&lt;B2865)),"Evento anterior à entrada",IF(AND(F2865&lt;&gt;"",E2865=""),"Conversa sem agendamento",IF(OR(E2865&gt;TODAY(),F2865&gt;TODAY()),"Verificar evento futuro","OK"))))))</f>
        <v/>
      </c>
    </row>
    <row r="2866" spans="9:12">
      <c r="I2866" s="5">
        <f>IF(OR(A2866="",B2866=""),"",B2866-WEEKDAY(B2866,2)+1)</f>
        <v/>
      </c>
      <c r="J2866" s="5">
        <f>IF(I2866="","",I2866+6)</f>
        <v/>
      </c>
      <c r="K2866" s="6">
        <f>IF(OR(A2866="",B2866=""),"",DATE(YEAR(B2866),MONTH(B2866),1))</f>
        <v/>
      </c>
      <c r="L2866" s="7">
        <f>IF(COUNTA(A2866,B2866)=0,"",IF(OR(A2866="",B2866=""),"Preencher CPF e entrada",IF(COUNTIFS($A$12:$A$5011,A2866,$B$12:$B$5011,B2866)&gt;1,"CPF + dia duplicado",IF(OR(AND(E2866&lt;&gt;"",E2866&lt;B2866),AND(F2866&lt;&gt;"",F2866&lt;B2866)),"Evento anterior à entrada",IF(AND(F2866&lt;&gt;"",E2866=""),"Conversa sem agendamento",IF(OR(E2866&gt;TODAY(),F2866&gt;TODAY()),"Verificar evento futuro","OK"))))))</f>
        <v/>
      </c>
    </row>
    <row r="2867" spans="9:12">
      <c r="I2867" s="5">
        <f>IF(OR(A2867="",B2867=""),"",B2867-WEEKDAY(B2867,2)+1)</f>
        <v/>
      </c>
      <c r="J2867" s="5">
        <f>IF(I2867="","",I2867+6)</f>
        <v/>
      </c>
      <c r="K2867" s="6">
        <f>IF(OR(A2867="",B2867=""),"",DATE(YEAR(B2867),MONTH(B2867),1))</f>
        <v/>
      </c>
      <c r="L2867" s="7">
        <f>IF(COUNTA(A2867,B2867)=0,"",IF(OR(A2867="",B2867=""),"Preencher CPF e entrada",IF(COUNTIFS($A$12:$A$5011,A2867,$B$12:$B$5011,B2867)&gt;1,"CPF + dia duplicado",IF(OR(AND(E2867&lt;&gt;"",E2867&lt;B2867),AND(F2867&lt;&gt;"",F2867&lt;B2867)),"Evento anterior à entrada",IF(AND(F2867&lt;&gt;"",E2867=""),"Conversa sem agendamento",IF(OR(E2867&gt;TODAY(),F2867&gt;TODAY()),"Verificar evento futuro","OK"))))))</f>
        <v/>
      </c>
    </row>
    <row r="2868" spans="9:12">
      <c r="I2868" s="5">
        <f>IF(OR(A2868="",B2868=""),"",B2868-WEEKDAY(B2868,2)+1)</f>
        <v/>
      </c>
      <c r="J2868" s="5">
        <f>IF(I2868="","",I2868+6)</f>
        <v/>
      </c>
      <c r="K2868" s="6">
        <f>IF(OR(A2868="",B2868=""),"",DATE(YEAR(B2868),MONTH(B2868),1))</f>
        <v/>
      </c>
      <c r="L2868" s="7">
        <f>IF(COUNTA(A2868,B2868)=0,"",IF(OR(A2868="",B2868=""),"Preencher CPF e entrada",IF(COUNTIFS($A$12:$A$5011,A2868,$B$12:$B$5011,B2868)&gt;1,"CPF + dia duplicado",IF(OR(AND(E2868&lt;&gt;"",E2868&lt;B2868),AND(F2868&lt;&gt;"",F2868&lt;B2868)),"Evento anterior à entrada",IF(AND(F2868&lt;&gt;"",E2868=""),"Conversa sem agendamento",IF(OR(E2868&gt;TODAY(),F2868&gt;TODAY()),"Verificar evento futuro","OK"))))))</f>
        <v/>
      </c>
    </row>
    <row r="2869" spans="9:12">
      <c r="I2869" s="5">
        <f>IF(OR(A2869="",B2869=""),"",B2869-WEEKDAY(B2869,2)+1)</f>
        <v/>
      </c>
      <c r="J2869" s="5">
        <f>IF(I2869="","",I2869+6)</f>
        <v/>
      </c>
      <c r="K2869" s="6">
        <f>IF(OR(A2869="",B2869=""),"",DATE(YEAR(B2869),MONTH(B2869),1))</f>
        <v/>
      </c>
      <c r="L2869" s="7">
        <f>IF(COUNTA(A2869,B2869)=0,"",IF(OR(A2869="",B2869=""),"Preencher CPF e entrada",IF(COUNTIFS($A$12:$A$5011,A2869,$B$12:$B$5011,B2869)&gt;1,"CPF + dia duplicado",IF(OR(AND(E2869&lt;&gt;"",E2869&lt;B2869),AND(F2869&lt;&gt;"",F2869&lt;B2869)),"Evento anterior à entrada",IF(AND(F2869&lt;&gt;"",E2869=""),"Conversa sem agendamento",IF(OR(E2869&gt;TODAY(),F2869&gt;TODAY()),"Verificar evento futuro","OK"))))))</f>
        <v/>
      </c>
    </row>
    <row r="2870" spans="9:12">
      <c r="I2870" s="5">
        <f>IF(OR(A2870="",B2870=""),"",B2870-WEEKDAY(B2870,2)+1)</f>
        <v/>
      </c>
      <c r="J2870" s="5">
        <f>IF(I2870="","",I2870+6)</f>
        <v/>
      </c>
      <c r="K2870" s="6">
        <f>IF(OR(A2870="",B2870=""),"",DATE(YEAR(B2870),MONTH(B2870),1))</f>
        <v/>
      </c>
      <c r="L2870" s="7">
        <f>IF(COUNTA(A2870,B2870)=0,"",IF(OR(A2870="",B2870=""),"Preencher CPF e entrada",IF(COUNTIFS($A$12:$A$5011,A2870,$B$12:$B$5011,B2870)&gt;1,"CPF + dia duplicado",IF(OR(AND(E2870&lt;&gt;"",E2870&lt;B2870),AND(F2870&lt;&gt;"",F2870&lt;B2870)),"Evento anterior à entrada",IF(AND(F2870&lt;&gt;"",E2870=""),"Conversa sem agendamento",IF(OR(E2870&gt;TODAY(),F2870&gt;TODAY()),"Verificar evento futuro","OK"))))))</f>
        <v/>
      </c>
    </row>
    <row r="2871" spans="9:12">
      <c r="I2871" s="5">
        <f>IF(OR(A2871="",B2871=""),"",B2871-WEEKDAY(B2871,2)+1)</f>
        <v/>
      </c>
      <c r="J2871" s="5">
        <f>IF(I2871="","",I2871+6)</f>
        <v/>
      </c>
      <c r="K2871" s="6">
        <f>IF(OR(A2871="",B2871=""),"",DATE(YEAR(B2871),MONTH(B2871),1))</f>
        <v/>
      </c>
      <c r="L2871" s="7">
        <f>IF(COUNTA(A2871,B2871)=0,"",IF(OR(A2871="",B2871=""),"Preencher CPF e entrada",IF(COUNTIFS($A$12:$A$5011,A2871,$B$12:$B$5011,B2871)&gt;1,"CPF + dia duplicado",IF(OR(AND(E2871&lt;&gt;"",E2871&lt;B2871),AND(F2871&lt;&gt;"",F2871&lt;B2871)),"Evento anterior à entrada",IF(AND(F2871&lt;&gt;"",E2871=""),"Conversa sem agendamento",IF(OR(E2871&gt;TODAY(),F2871&gt;TODAY()),"Verificar evento futuro","OK"))))))</f>
        <v/>
      </c>
    </row>
    <row r="2872" spans="9:12">
      <c r="I2872" s="5">
        <f>IF(OR(A2872="",B2872=""),"",B2872-WEEKDAY(B2872,2)+1)</f>
        <v/>
      </c>
      <c r="J2872" s="5">
        <f>IF(I2872="","",I2872+6)</f>
        <v/>
      </c>
      <c r="K2872" s="6">
        <f>IF(OR(A2872="",B2872=""),"",DATE(YEAR(B2872),MONTH(B2872),1))</f>
        <v/>
      </c>
      <c r="L2872" s="7">
        <f>IF(COUNTA(A2872,B2872)=0,"",IF(OR(A2872="",B2872=""),"Preencher CPF e entrada",IF(COUNTIFS($A$12:$A$5011,A2872,$B$12:$B$5011,B2872)&gt;1,"CPF + dia duplicado",IF(OR(AND(E2872&lt;&gt;"",E2872&lt;B2872),AND(F2872&lt;&gt;"",F2872&lt;B2872)),"Evento anterior à entrada",IF(AND(F2872&lt;&gt;"",E2872=""),"Conversa sem agendamento",IF(OR(E2872&gt;TODAY(),F2872&gt;TODAY()),"Verificar evento futuro","OK"))))))</f>
        <v/>
      </c>
    </row>
    <row r="2873" spans="9:12">
      <c r="I2873" s="5">
        <f>IF(OR(A2873="",B2873=""),"",B2873-WEEKDAY(B2873,2)+1)</f>
        <v/>
      </c>
      <c r="J2873" s="5">
        <f>IF(I2873="","",I2873+6)</f>
        <v/>
      </c>
      <c r="K2873" s="6">
        <f>IF(OR(A2873="",B2873=""),"",DATE(YEAR(B2873),MONTH(B2873),1))</f>
        <v/>
      </c>
      <c r="L2873" s="7">
        <f>IF(COUNTA(A2873,B2873)=0,"",IF(OR(A2873="",B2873=""),"Preencher CPF e entrada",IF(COUNTIFS($A$12:$A$5011,A2873,$B$12:$B$5011,B2873)&gt;1,"CPF + dia duplicado",IF(OR(AND(E2873&lt;&gt;"",E2873&lt;B2873),AND(F2873&lt;&gt;"",F2873&lt;B2873)),"Evento anterior à entrada",IF(AND(F2873&lt;&gt;"",E2873=""),"Conversa sem agendamento",IF(OR(E2873&gt;TODAY(),F2873&gt;TODAY()),"Verificar evento futuro","OK"))))))</f>
        <v/>
      </c>
    </row>
    <row r="2874" spans="9:12">
      <c r="I2874" s="5">
        <f>IF(OR(A2874="",B2874=""),"",B2874-WEEKDAY(B2874,2)+1)</f>
        <v/>
      </c>
      <c r="J2874" s="5">
        <f>IF(I2874="","",I2874+6)</f>
        <v/>
      </c>
      <c r="K2874" s="6">
        <f>IF(OR(A2874="",B2874=""),"",DATE(YEAR(B2874),MONTH(B2874),1))</f>
        <v/>
      </c>
      <c r="L2874" s="7">
        <f>IF(COUNTA(A2874,B2874)=0,"",IF(OR(A2874="",B2874=""),"Preencher CPF e entrada",IF(COUNTIFS($A$12:$A$5011,A2874,$B$12:$B$5011,B2874)&gt;1,"CPF + dia duplicado",IF(OR(AND(E2874&lt;&gt;"",E2874&lt;B2874),AND(F2874&lt;&gt;"",F2874&lt;B2874)),"Evento anterior à entrada",IF(AND(F2874&lt;&gt;"",E2874=""),"Conversa sem agendamento",IF(OR(E2874&gt;TODAY(),F2874&gt;TODAY()),"Verificar evento futuro","OK"))))))</f>
        <v/>
      </c>
    </row>
    <row r="2875" spans="9:12">
      <c r="I2875" s="5">
        <f>IF(OR(A2875="",B2875=""),"",B2875-WEEKDAY(B2875,2)+1)</f>
        <v/>
      </c>
      <c r="J2875" s="5">
        <f>IF(I2875="","",I2875+6)</f>
        <v/>
      </c>
      <c r="K2875" s="6">
        <f>IF(OR(A2875="",B2875=""),"",DATE(YEAR(B2875),MONTH(B2875),1))</f>
        <v/>
      </c>
      <c r="L2875" s="7">
        <f>IF(COUNTA(A2875,B2875)=0,"",IF(OR(A2875="",B2875=""),"Preencher CPF e entrada",IF(COUNTIFS($A$12:$A$5011,A2875,$B$12:$B$5011,B2875)&gt;1,"CPF + dia duplicado",IF(OR(AND(E2875&lt;&gt;"",E2875&lt;B2875),AND(F2875&lt;&gt;"",F2875&lt;B2875)),"Evento anterior à entrada",IF(AND(F2875&lt;&gt;"",E2875=""),"Conversa sem agendamento",IF(OR(E2875&gt;TODAY(),F2875&gt;TODAY()),"Verificar evento futuro","OK"))))))</f>
        <v/>
      </c>
    </row>
    <row r="2876" spans="9:12">
      <c r="I2876" s="5">
        <f>IF(OR(A2876="",B2876=""),"",B2876-WEEKDAY(B2876,2)+1)</f>
        <v/>
      </c>
      <c r="J2876" s="5">
        <f>IF(I2876="","",I2876+6)</f>
        <v/>
      </c>
      <c r="K2876" s="6">
        <f>IF(OR(A2876="",B2876=""),"",DATE(YEAR(B2876),MONTH(B2876),1))</f>
        <v/>
      </c>
      <c r="L2876" s="7">
        <f>IF(COUNTA(A2876,B2876)=0,"",IF(OR(A2876="",B2876=""),"Preencher CPF e entrada",IF(COUNTIFS($A$12:$A$5011,A2876,$B$12:$B$5011,B2876)&gt;1,"CPF + dia duplicado",IF(OR(AND(E2876&lt;&gt;"",E2876&lt;B2876),AND(F2876&lt;&gt;"",F2876&lt;B2876)),"Evento anterior à entrada",IF(AND(F2876&lt;&gt;"",E2876=""),"Conversa sem agendamento",IF(OR(E2876&gt;TODAY(),F2876&gt;TODAY()),"Verificar evento futuro","OK"))))))</f>
        <v/>
      </c>
    </row>
    <row r="2877" spans="9:12">
      <c r="I2877" s="5">
        <f>IF(OR(A2877="",B2877=""),"",B2877-WEEKDAY(B2877,2)+1)</f>
        <v/>
      </c>
      <c r="J2877" s="5">
        <f>IF(I2877="","",I2877+6)</f>
        <v/>
      </c>
      <c r="K2877" s="6">
        <f>IF(OR(A2877="",B2877=""),"",DATE(YEAR(B2877),MONTH(B2877),1))</f>
        <v/>
      </c>
      <c r="L2877" s="7">
        <f>IF(COUNTA(A2877,B2877)=0,"",IF(OR(A2877="",B2877=""),"Preencher CPF e entrada",IF(COUNTIFS($A$12:$A$5011,A2877,$B$12:$B$5011,B2877)&gt;1,"CPF + dia duplicado",IF(OR(AND(E2877&lt;&gt;"",E2877&lt;B2877),AND(F2877&lt;&gt;"",F2877&lt;B2877)),"Evento anterior à entrada",IF(AND(F2877&lt;&gt;"",E2877=""),"Conversa sem agendamento",IF(OR(E2877&gt;TODAY(),F2877&gt;TODAY()),"Verificar evento futuro","OK"))))))</f>
        <v/>
      </c>
    </row>
    <row r="2878" spans="9:12">
      <c r="I2878" s="5">
        <f>IF(OR(A2878="",B2878=""),"",B2878-WEEKDAY(B2878,2)+1)</f>
        <v/>
      </c>
      <c r="J2878" s="5">
        <f>IF(I2878="","",I2878+6)</f>
        <v/>
      </c>
      <c r="K2878" s="6">
        <f>IF(OR(A2878="",B2878=""),"",DATE(YEAR(B2878),MONTH(B2878),1))</f>
        <v/>
      </c>
      <c r="L2878" s="7">
        <f>IF(COUNTA(A2878,B2878)=0,"",IF(OR(A2878="",B2878=""),"Preencher CPF e entrada",IF(COUNTIFS($A$12:$A$5011,A2878,$B$12:$B$5011,B2878)&gt;1,"CPF + dia duplicado",IF(OR(AND(E2878&lt;&gt;"",E2878&lt;B2878),AND(F2878&lt;&gt;"",F2878&lt;B2878)),"Evento anterior à entrada",IF(AND(F2878&lt;&gt;"",E2878=""),"Conversa sem agendamento",IF(OR(E2878&gt;TODAY(),F2878&gt;TODAY()),"Verificar evento futuro","OK"))))))</f>
        <v/>
      </c>
    </row>
    <row r="2879" spans="9:12">
      <c r="I2879" s="5">
        <f>IF(OR(A2879="",B2879=""),"",B2879-WEEKDAY(B2879,2)+1)</f>
        <v/>
      </c>
      <c r="J2879" s="5">
        <f>IF(I2879="","",I2879+6)</f>
        <v/>
      </c>
      <c r="K2879" s="6">
        <f>IF(OR(A2879="",B2879=""),"",DATE(YEAR(B2879),MONTH(B2879),1))</f>
        <v/>
      </c>
      <c r="L2879" s="7">
        <f>IF(COUNTA(A2879,B2879)=0,"",IF(OR(A2879="",B2879=""),"Preencher CPF e entrada",IF(COUNTIFS($A$12:$A$5011,A2879,$B$12:$B$5011,B2879)&gt;1,"CPF + dia duplicado",IF(OR(AND(E2879&lt;&gt;"",E2879&lt;B2879),AND(F2879&lt;&gt;"",F2879&lt;B2879)),"Evento anterior à entrada",IF(AND(F2879&lt;&gt;"",E2879=""),"Conversa sem agendamento",IF(OR(E2879&gt;TODAY(),F2879&gt;TODAY()),"Verificar evento futuro","OK"))))))</f>
        <v/>
      </c>
    </row>
    <row r="2880" spans="9:12">
      <c r="I2880" s="5">
        <f>IF(OR(A2880="",B2880=""),"",B2880-WEEKDAY(B2880,2)+1)</f>
        <v/>
      </c>
      <c r="J2880" s="5">
        <f>IF(I2880="","",I2880+6)</f>
        <v/>
      </c>
      <c r="K2880" s="6">
        <f>IF(OR(A2880="",B2880=""),"",DATE(YEAR(B2880),MONTH(B2880),1))</f>
        <v/>
      </c>
      <c r="L2880" s="7">
        <f>IF(COUNTA(A2880,B2880)=0,"",IF(OR(A2880="",B2880=""),"Preencher CPF e entrada",IF(COUNTIFS($A$12:$A$5011,A2880,$B$12:$B$5011,B2880)&gt;1,"CPF + dia duplicado",IF(OR(AND(E2880&lt;&gt;"",E2880&lt;B2880),AND(F2880&lt;&gt;"",F2880&lt;B2880)),"Evento anterior à entrada",IF(AND(F2880&lt;&gt;"",E2880=""),"Conversa sem agendamento",IF(OR(E2880&gt;TODAY(),F2880&gt;TODAY()),"Verificar evento futuro","OK"))))))</f>
        <v/>
      </c>
    </row>
    <row r="2881" spans="9:12">
      <c r="I2881" s="5">
        <f>IF(OR(A2881="",B2881=""),"",B2881-WEEKDAY(B2881,2)+1)</f>
        <v/>
      </c>
      <c r="J2881" s="5">
        <f>IF(I2881="","",I2881+6)</f>
        <v/>
      </c>
      <c r="K2881" s="6">
        <f>IF(OR(A2881="",B2881=""),"",DATE(YEAR(B2881),MONTH(B2881),1))</f>
        <v/>
      </c>
      <c r="L2881" s="7">
        <f>IF(COUNTA(A2881,B2881)=0,"",IF(OR(A2881="",B2881=""),"Preencher CPF e entrada",IF(COUNTIFS($A$12:$A$5011,A2881,$B$12:$B$5011,B2881)&gt;1,"CPF + dia duplicado",IF(OR(AND(E2881&lt;&gt;"",E2881&lt;B2881),AND(F2881&lt;&gt;"",F2881&lt;B2881)),"Evento anterior à entrada",IF(AND(F2881&lt;&gt;"",E2881=""),"Conversa sem agendamento",IF(OR(E2881&gt;TODAY(),F2881&gt;TODAY()),"Verificar evento futuro","OK"))))))</f>
        <v/>
      </c>
    </row>
    <row r="2882" spans="9:12">
      <c r="I2882" s="5">
        <f>IF(OR(A2882="",B2882=""),"",B2882-WEEKDAY(B2882,2)+1)</f>
        <v/>
      </c>
      <c r="J2882" s="5">
        <f>IF(I2882="","",I2882+6)</f>
        <v/>
      </c>
      <c r="K2882" s="6">
        <f>IF(OR(A2882="",B2882=""),"",DATE(YEAR(B2882),MONTH(B2882),1))</f>
        <v/>
      </c>
      <c r="L2882" s="7">
        <f>IF(COUNTA(A2882,B2882)=0,"",IF(OR(A2882="",B2882=""),"Preencher CPF e entrada",IF(COUNTIFS($A$12:$A$5011,A2882,$B$12:$B$5011,B2882)&gt;1,"CPF + dia duplicado",IF(OR(AND(E2882&lt;&gt;"",E2882&lt;B2882),AND(F2882&lt;&gt;"",F2882&lt;B2882)),"Evento anterior à entrada",IF(AND(F2882&lt;&gt;"",E2882=""),"Conversa sem agendamento",IF(OR(E2882&gt;TODAY(),F2882&gt;TODAY()),"Verificar evento futuro","OK"))))))</f>
        <v/>
      </c>
    </row>
    <row r="2883" spans="9:12">
      <c r="I2883" s="5">
        <f>IF(OR(A2883="",B2883=""),"",B2883-WEEKDAY(B2883,2)+1)</f>
        <v/>
      </c>
      <c r="J2883" s="5">
        <f>IF(I2883="","",I2883+6)</f>
        <v/>
      </c>
      <c r="K2883" s="6">
        <f>IF(OR(A2883="",B2883=""),"",DATE(YEAR(B2883),MONTH(B2883),1))</f>
        <v/>
      </c>
      <c r="L2883" s="7">
        <f>IF(COUNTA(A2883,B2883)=0,"",IF(OR(A2883="",B2883=""),"Preencher CPF e entrada",IF(COUNTIFS($A$12:$A$5011,A2883,$B$12:$B$5011,B2883)&gt;1,"CPF + dia duplicado",IF(OR(AND(E2883&lt;&gt;"",E2883&lt;B2883),AND(F2883&lt;&gt;"",F2883&lt;B2883)),"Evento anterior à entrada",IF(AND(F2883&lt;&gt;"",E2883=""),"Conversa sem agendamento",IF(OR(E2883&gt;TODAY(),F2883&gt;TODAY()),"Verificar evento futuro","OK"))))))</f>
        <v/>
      </c>
    </row>
    <row r="2884" spans="9:12">
      <c r="I2884" s="5">
        <f>IF(OR(A2884="",B2884=""),"",B2884-WEEKDAY(B2884,2)+1)</f>
        <v/>
      </c>
      <c r="J2884" s="5">
        <f>IF(I2884="","",I2884+6)</f>
        <v/>
      </c>
      <c r="K2884" s="6">
        <f>IF(OR(A2884="",B2884=""),"",DATE(YEAR(B2884),MONTH(B2884),1))</f>
        <v/>
      </c>
      <c r="L2884" s="7">
        <f>IF(COUNTA(A2884,B2884)=0,"",IF(OR(A2884="",B2884=""),"Preencher CPF e entrada",IF(COUNTIFS($A$12:$A$5011,A2884,$B$12:$B$5011,B2884)&gt;1,"CPF + dia duplicado",IF(OR(AND(E2884&lt;&gt;"",E2884&lt;B2884),AND(F2884&lt;&gt;"",F2884&lt;B2884)),"Evento anterior à entrada",IF(AND(F2884&lt;&gt;"",E2884=""),"Conversa sem agendamento",IF(OR(E2884&gt;TODAY(),F2884&gt;TODAY()),"Verificar evento futuro","OK"))))))</f>
        <v/>
      </c>
    </row>
    <row r="2885" spans="9:12">
      <c r="I2885" s="5">
        <f>IF(OR(A2885="",B2885=""),"",B2885-WEEKDAY(B2885,2)+1)</f>
        <v/>
      </c>
      <c r="J2885" s="5">
        <f>IF(I2885="","",I2885+6)</f>
        <v/>
      </c>
      <c r="K2885" s="6">
        <f>IF(OR(A2885="",B2885=""),"",DATE(YEAR(B2885),MONTH(B2885),1))</f>
        <v/>
      </c>
      <c r="L2885" s="7">
        <f>IF(COUNTA(A2885,B2885)=0,"",IF(OR(A2885="",B2885=""),"Preencher CPF e entrada",IF(COUNTIFS($A$12:$A$5011,A2885,$B$12:$B$5011,B2885)&gt;1,"CPF + dia duplicado",IF(OR(AND(E2885&lt;&gt;"",E2885&lt;B2885),AND(F2885&lt;&gt;"",F2885&lt;B2885)),"Evento anterior à entrada",IF(AND(F2885&lt;&gt;"",E2885=""),"Conversa sem agendamento",IF(OR(E2885&gt;TODAY(),F2885&gt;TODAY()),"Verificar evento futuro","OK"))))))</f>
        <v/>
      </c>
    </row>
    <row r="2886" spans="9:12">
      <c r="I2886" s="5">
        <f>IF(OR(A2886="",B2886=""),"",B2886-WEEKDAY(B2886,2)+1)</f>
        <v/>
      </c>
      <c r="J2886" s="5">
        <f>IF(I2886="","",I2886+6)</f>
        <v/>
      </c>
      <c r="K2886" s="6">
        <f>IF(OR(A2886="",B2886=""),"",DATE(YEAR(B2886),MONTH(B2886),1))</f>
        <v/>
      </c>
      <c r="L2886" s="7">
        <f>IF(COUNTA(A2886,B2886)=0,"",IF(OR(A2886="",B2886=""),"Preencher CPF e entrada",IF(COUNTIFS($A$12:$A$5011,A2886,$B$12:$B$5011,B2886)&gt;1,"CPF + dia duplicado",IF(OR(AND(E2886&lt;&gt;"",E2886&lt;B2886),AND(F2886&lt;&gt;"",F2886&lt;B2886)),"Evento anterior à entrada",IF(AND(F2886&lt;&gt;"",E2886=""),"Conversa sem agendamento",IF(OR(E2886&gt;TODAY(),F2886&gt;TODAY()),"Verificar evento futuro","OK"))))))</f>
        <v/>
      </c>
    </row>
    <row r="2887" spans="9:12">
      <c r="I2887" s="5">
        <f>IF(OR(A2887="",B2887=""),"",B2887-WEEKDAY(B2887,2)+1)</f>
        <v/>
      </c>
      <c r="J2887" s="5">
        <f>IF(I2887="","",I2887+6)</f>
        <v/>
      </c>
      <c r="K2887" s="6">
        <f>IF(OR(A2887="",B2887=""),"",DATE(YEAR(B2887),MONTH(B2887),1))</f>
        <v/>
      </c>
      <c r="L2887" s="7">
        <f>IF(COUNTA(A2887,B2887)=0,"",IF(OR(A2887="",B2887=""),"Preencher CPF e entrada",IF(COUNTIFS($A$12:$A$5011,A2887,$B$12:$B$5011,B2887)&gt;1,"CPF + dia duplicado",IF(OR(AND(E2887&lt;&gt;"",E2887&lt;B2887),AND(F2887&lt;&gt;"",F2887&lt;B2887)),"Evento anterior à entrada",IF(AND(F2887&lt;&gt;"",E2887=""),"Conversa sem agendamento",IF(OR(E2887&gt;TODAY(),F2887&gt;TODAY()),"Verificar evento futuro","OK"))))))</f>
        <v/>
      </c>
    </row>
    <row r="2888" spans="9:12">
      <c r="I2888" s="5">
        <f>IF(OR(A2888="",B2888=""),"",B2888-WEEKDAY(B2888,2)+1)</f>
        <v/>
      </c>
      <c r="J2888" s="5">
        <f>IF(I2888="","",I2888+6)</f>
        <v/>
      </c>
      <c r="K2888" s="6">
        <f>IF(OR(A2888="",B2888=""),"",DATE(YEAR(B2888),MONTH(B2888),1))</f>
        <v/>
      </c>
      <c r="L2888" s="7">
        <f>IF(COUNTA(A2888,B2888)=0,"",IF(OR(A2888="",B2888=""),"Preencher CPF e entrada",IF(COUNTIFS($A$12:$A$5011,A2888,$B$12:$B$5011,B2888)&gt;1,"CPF + dia duplicado",IF(OR(AND(E2888&lt;&gt;"",E2888&lt;B2888),AND(F2888&lt;&gt;"",F2888&lt;B2888)),"Evento anterior à entrada",IF(AND(F2888&lt;&gt;"",E2888=""),"Conversa sem agendamento",IF(OR(E2888&gt;TODAY(),F2888&gt;TODAY()),"Verificar evento futuro","OK"))))))</f>
        <v/>
      </c>
    </row>
    <row r="2889" spans="9:12">
      <c r="I2889" s="5">
        <f>IF(OR(A2889="",B2889=""),"",B2889-WEEKDAY(B2889,2)+1)</f>
        <v/>
      </c>
      <c r="J2889" s="5">
        <f>IF(I2889="","",I2889+6)</f>
        <v/>
      </c>
      <c r="K2889" s="6">
        <f>IF(OR(A2889="",B2889=""),"",DATE(YEAR(B2889),MONTH(B2889),1))</f>
        <v/>
      </c>
      <c r="L2889" s="7">
        <f>IF(COUNTA(A2889,B2889)=0,"",IF(OR(A2889="",B2889=""),"Preencher CPF e entrada",IF(COUNTIFS($A$12:$A$5011,A2889,$B$12:$B$5011,B2889)&gt;1,"CPF + dia duplicado",IF(OR(AND(E2889&lt;&gt;"",E2889&lt;B2889),AND(F2889&lt;&gt;"",F2889&lt;B2889)),"Evento anterior à entrada",IF(AND(F2889&lt;&gt;"",E2889=""),"Conversa sem agendamento",IF(OR(E2889&gt;TODAY(),F2889&gt;TODAY()),"Verificar evento futuro","OK"))))))</f>
        <v/>
      </c>
    </row>
    <row r="2890" spans="9:12">
      <c r="I2890" s="5">
        <f>IF(OR(A2890="",B2890=""),"",B2890-WEEKDAY(B2890,2)+1)</f>
        <v/>
      </c>
      <c r="J2890" s="5">
        <f>IF(I2890="","",I2890+6)</f>
        <v/>
      </c>
      <c r="K2890" s="6">
        <f>IF(OR(A2890="",B2890=""),"",DATE(YEAR(B2890),MONTH(B2890),1))</f>
        <v/>
      </c>
      <c r="L2890" s="7">
        <f>IF(COUNTA(A2890,B2890)=0,"",IF(OR(A2890="",B2890=""),"Preencher CPF e entrada",IF(COUNTIFS($A$12:$A$5011,A2890,$B$12:$B$5011,B2890)&gt;1,"CPF + dia duplicado",IF(OR(AND(E2890&lt;&gt;"",E2890&lt;B2890),AND(F2890&lt;&gt;"",F2890&lt;B2890)),"Evento anterior à entrada",IF(AND(F2890&lt;&gt;"",E2890=""),"Conversa sem agendamento",IF(OR(E2890&gt;TODAY(),F2890&gt;TODAY()),"Verificar evento futuro","OK"))))))</f>
        <v/>
      </c>
    </row>
    <row r="2891" spans="9:12">
      <c r="I2891" s="5">
        <f>IF(OR(A2891="",B2891=""),"",B2891-WEEKDAY(B2891,2)+1)</f>
        <v/>
      </c>
      <c r="J2891" s="5">
        <f>IF(I2891="","",I2891+6)</f>
        <v/>
      </c>
      <c r="K2891" s="6">
        <f>IF(OR(A2891="",B2891=""),"",DATE(YEAR(B2891),MONTH(B2891),1))</f>
        <v/>
      </c>
      <c r="L2891" s="7">
        <f>IF(COUNTA(A2891,B2891)=0,"",IF(OR(A2891="",B2891=""),"Preencher CPF e entrada",IF(COUNTIFS($A$12:$A$5011,A2891,$B$12:$B$5011,B2891)&gt;1,"CPF + dia duplicado",IF(OR(AND(E2891&lt;&gt;"",E2891&lt;B2891),AND(F2891&lt;&gt;"",F2891&lt;B2891)),"Evento anterior à entrada",IF(AND(F2891&lt;&gt;"",E2891=""),"Conversa sem agendamento",IF(OR(E2891&gt;TODAY(),F2891&gt;TODAY()),"Verificar evento futuro","OK"))))))</f>
        <v/>
      </c>
    </row>
    <row r="2892" spans="9:12">
      <c r="I2892" s="5">
        <f>IF(OR(A2892="",B2892=""),"",B2892-WEEKDAY(B2892,2)+1)</f>
        <v/>
      </c>
      <c r="J2892" s="5">
        <f>IF(I2892="","",I2892+6)</f>
        <v/>
      </c>
      <c r="K2892" s="6">
        <f>IF(OR(A2892="",B2892=""),"",DATE(YEAR(B2892),MONTH(B2892),1))</f>
        <v/>
      </c>
      <c r="L2892" s="7">
        <f>IF(COUNTA(A2892,B2892)=0,"",IF(OR(A2892="",B2892=""),"Preencher CPF e entrada",IF(COUNTIFS($A$12:$A$5011,A2892,$B$12:$B$5011,B2892)&gt;1,"CPF + dia duplicado",IF(OR(AND(E2892&lt;&gt;"",E2892&lt;B2892),AND(F2892&lt;&gt;"",F2892&lt;B2892)),"Evento anterior à entrada",IF(AND(F2892&lt;&gt;"",E2892=""),"Conversa sem agendamento",IF(OR(E2892&gt;TODAY(),F2892&gt;TODAY()),"Verificar evento futuro","OK"))))))</f>
        <v/>
      </c>
    </row>
    <row r="2893" spans="9:12">
      <c r="I2893" s="5">
        <f>IF(OR(A2893="",B2893=""),"",B2893-WEEKDAY(B2893,2)+1)</f>
        <v/>
      </c>
      <c r="J2893" s="5">
        <f>IF(I2893="","",I2893+6)</f>
        <v/>
      </c>
      <c r="K2893" s="6">
        <f>IF(OR(A2893="",B2893=""),"",DATE(YEAR(B2893),MONTH(B2893),1))</f>
        <v/>
      </c>
      <c r="L2893" s="7">
        <f>IF(COUNTA(A2893,B2893)=0,"",IF(OR(A2893="",B2893=""),"Preencher CPF e entrada",IF(COUNTIFS($A$12:$A$5011,A2893,$B$12:$B$5011,B2893)&gt;1,"CPF + dia duplicado",IF(OR(AND(E2893&lt;&gt;"",E2893&lt;B2893),AND(F2893&lt;&gt;"",F2893&lt;B2893)),"Evento anterior à entrada",IF(AND(F2893&lt;&gt;"",E2893=""),"Conversa sem agendamento",IF(OR(E2893&gt;TODAY(),F2893&gt;TODAY()),"Verificar evento futuro","OK"))))))</f>
        <v/>
      </c>
    </row>
    <row r="2894" spans="9:12">
      <c r="I2894" s="5">
        <f>IF(OR(A2894="",B2894=""),"",B2894-WEEKDAY(B2894,2)+1)</f>
        <v/>
      </c>
      <c r="J2894" s="5">
        <f>IF(I2894="","",I2894+6)</f>
        <v/>
      </c>
      <c r="K2894" s="6">
        <f>IF(OR(A2894="",B2894=""),"",DATE(YEAR(B2894),MONTH(B2894),1))</f>
        <v/>
      </c>
      <c r="L2894" s="7">
        <f>IF(COUNTA(A2894,B2894)=0,"",IF(OR(A2894="",B2894=""),"Preencher CPF e entrada",IF(COUNTIFS($A$12:$A$5011,A2894,$B$12:$B$5011,B2894)&gt;1,"CPF + dia duplicado",IF(OR(AND(E2894&lt;&gt;"",E2894&lt;B2894),AND(F2894&lt;&gt;"",F2894&lt;B2894)),"Evento anterior à entrada",IF(AND(F2894&lt;&gt;"",E2894=""),"Conversa sem agendamento",IF(OR(E2894&gt;TODAY(),F2894&gt;TODAY()),"Verificar evento futuro","OK"))))))</f>
        <v/>
      </c>
    </row>
    <row r="2895" spans="9:12">
      <c r="I2895" s="5">
        <f>IF(OR(A2895="",B2895=""),"",B2895-WEEKDAY(B2895,2)+1)</f>
        <v/>
      </c>
      <c r="J2895" s="5">
        <f>IF(I2895="","",I2895+6)</f>
        <v/>
      </c>
      <c r="K2895" s="6">
        <f>IF(OR(A2895="",B2895=""),"",DATE(YEAR(B2895),MONTH(B2895),1))</f>
        <v/>
      </c>
      <c r="L2895" s="7">
        <f>IF(COUNTA(A2895,B2895)=0,"",IF(OR(A2895="",B2895=""),"Preencher CPF e entrada",IF(COUNTIFS($A$12:$A$5011,A2895,$B$12:$B$5011,B2895)&gt;1,"CPF + dia duplicado",IF(OR(AND(E2895&lt;&gt;"",E2895&lt;B2895),AND(F2895&lt;&gt;"",F2895&lt;B2895)),"Evento anterior à entrada",IF(AND(F2895&lt;&gt;"",E2895=""),"Conversa sem agendamento",IF(OR(E2895&gt;TODAY(),F2895&gt;TODAY()),"Verificar evento futuro","OK"))))))</f>
        <v/>
      </c>
    </row>
    <row r="2896" spans="9:12">
      <c r="I2896" s="5">
        <f>IF(OR(A2896="",B2896=""),"",B2896-WEEKDAY(B2896,2)+1)</f>
        <v/>
      </c>
      <c r="J2896" s="5">
        <f>IF(I2896="","",I2896+6)</f>
        <v/>
      </c>
      <c r="K2896" s="6">
        <f>IF(OR(A2896="",B2896=""),"",DATE(YEAR(B2896),MONTH(B2896),1))</f>
        <v/>
      </c>
      <c r="L2896" s="7">
        <f>IF(COUNTA(A2896,B2896)=0,"",IF(OR(A2896="",B2896=""),"Preencher CPF e entrada",IF(COUNTIFS($A$12:$A$5011,A2896,$B$12:$B$5011,B2896)&gt;1,"CPF + dia duplicado",IF(OR(AND(E2896&lt;&gt;"",E2896&lt;B2896),AND(F2896&lt;&gt;"",F2896&lt;B2896)),"Evento anterior à entrada",IF(AND(F2896&lt;&gt;"",E2896=""),"Conversa sem agendamento",IF(OR(E2896&gt;TODAY(),F2896&gt;TODAY()),"Verificar evento futuro","OK"))))))</f>
        <v/>
      </c>
    </row>
    <row r="2897" spans="9:12">
      <c r="I2897" s="5">
        <f>IF(OR(A2897="",B2897=""),"",B2897-WEEKDAY(B2897,2)+1)</f>
        <v/>
      </c>
      <c r="J2897" s="5">
        <f>IF(I2897="","",I2897+6)</f>
        <v/>
      </c>
      <c r="K2897" s="6">
        <f>IF(OR(A2897="",B2897=""),"",DATE(YEAR(B2897),MONTH(B2897),1))</f>
        <v/>
      </c>
      <c r="L2897" s="7">
        <f>IF(COUNTA(A2897,B2897)=0,"",IF(OR(A2897="",B2897=""),"Preencher CPF e entrada",IF(COUNTIFS($A$12:$A$5011,A2897,$B$12:$B$5011,B2897)&gt;1,"CPF + dia duplicado",IF(OR(AND(E2897&lt;&gt;"",E2897&lt;B2897),AND(F2897&lt;&gt;"",F2897&lt;B2897)),"Evento anterior à entrada",IF(AND(F2897&lt;&gt;"",E2897=""),"Conversa sem agendamento",IF(OR(E2897&gt;TODAY(),F2897&gt;TODAY()),"Verificar evento futuro","OK"))))))</f>
        <v/>
      </c>
    </row>
    <row r="2898" spans="9:12">
      <c r="I2898" s="5">
        <f>IF(OR(A2898="",B2898=""),"",B2898-WEEKDAY(B2898,2)+1)</f>
        <v/>
      </c>
      <c r="J2898" s="5">
        <f>IF(I2898="","",I2898+6)</f>
        <v/>
      </c>
      <c r="K2898" s="6">
        <f>IF(OR(A2898="",B2898=""),"",DATE(YEAR(B2898),MONTH(B2898),1))</f>
        <v/>
      </c>
      <c r="L2898" s="7">
        <f>IF(COUNTA(A2898,B2898)=0,"",IF(OR(A2898="",B2898=""),"Preencher CPF e entrada",IF(COUNTIFS($A$12:$A$5011,A2898,$B$12:$B$5011,B2898)&gt;1,"CPF + dia duplicado",IF(OR(AND(E2898&lt;&gt;"",E2898&lt;B2898),AND(F2898&lt;&gt;"",F2898&lt;B2898)),"Evento anterior à entrada",IF(AND(F2898&lt;&gt;"",E2898=""),"Conversa sem agendamento",IF(OR(E2898&gt;TODAY(),F2898&gt;TODAY()),"Verificar evento futuro","OK"))))))</f>
        <v/>
      </c>
    </row>
    <row r="2899" spans="9:12">
      <c r="I2899" s="5">
        <f>IF(OR(A2899="",B2899=""),"",B2899-WEEKDAY(B2899,2)+1)</f>
        <v/>
      </c>
      <c r="J2899" s="5">
        <f>IF(I2899="","",I2899+6)</f>
        <v/>
      </c>
      <c r="K2899" s="6">
        <f>IF(OR(A2899="",B2899=""),"",DATE(YEAR(B2899),MONTH(B2899),1))</f>
        <v/>
      </c>
      <c r="L2899" s="7">
        <f>IF(COUNTA(A2899,B2899)=0,"",IF(OR(A2899="",B2899=""),"Preencher CPF e entrada",IF(COUNTIFS($A$12:$A$5011,A2899,$B$12:$B$5011,B2899)&gt;1,"CPF + dia duplicado",IF(OR(AND(E2899&lt;&gt;"",E2899&lt;B2899),AND(F2899&lt;&gt;"",F2899&lt;B2899)),"Evento anterior à entrada",IF(AND(F2899&lt;&gt;"",E2899=""),"Conversa sem agendamento",IF(OR(E2899&gt;TODAY(),F2899&gt;TODAY()),"Verificar evento futuro","OK"))))))</f>
        <v/>
      </c>
    </row>
    <row r="2900" spans="9:12">
      <c r="I2900" s="5">
        <f>IF(OR(A2900="",B2900=""),"",B2900-WEEKDAY(B2900,2)+1)</f>
        <v/>
      </c>
      <c r="J2900" s="5">
        <f>IF(I2900="","",I2900+6)</f>
        <v/>
      </c>
      <c r="K2900" s="6">
        <f>IF(OR(A2900="",B2900=""),"",DATE(YEAR(B2900),MONTH(B2900),1))</f>
        <v/>
      </c>
      <c r="L2900" s="7">
        <f>IF(COUNTA(A2900,B2900)=0,"",IF(OR(A2900="",B2900=""),"Preencher CPF e entrada",IF(COUNTIFS($A$12:$A$5011,A2900,$B$12:$B$5011,B2900)&gt;1,"CPF + dia duplicado",IF(OR(AND(E2900&lt;&gt;"",E2900&lt;B2900),AND(F2900&lt;&gt;"",F2900&lt;B2900)),"Evento anterior à entrada",IF(AND(F2900&lt;&gt;"",E2900=""),"Conversa sem agendamento",IF(OR(E2900&gt;TODAY(),F2900&gt;TODAY()),"Verificar evento futuro","OK"))))))</f>
        <v/>
      </c>
    </row>
    <row r="2901" spans="9:12">
      <c r="I2901" s="5">
        <f>IF(OR(A2901="",B2901=""),"",B2901-WEEKDAY(B2901,2)+1)</f>
        <v/>
      </c>
      <c r="J2901" s="5">
        <f>IF(I2901="","",I2901+6)</f>
        <v/>
      </c>
      <c r="K2901" s="6">
        <f>IF(OR(A2901="",B2901=""),"",DATE(YEAR(B2901),MONTH(B2901),1))</f>
        <v/>
      </c>
      <c r="L2901" s="7">
        <f>IF(COUNTA(A2901,B2901)=0,"",IF(OR(A2901="",B2901=""),"Preencher CPF e entrada",IF(COUNTIFS($A$12:$A$5011,A2901,$B$12:$B$5011,B2901)&gt;1,"CPF + dia duplicado",IF(OR(AND(E2901&lt;&gt;"",E2901&lt;B2901),AND(F2901&lt;&gt;"",F2901&lt;B2901)),"Evento anterior à entrada",IF(AND(F2901&lt;&gt;"",E2901=""),"Conversa sem agendamento",IF(OR(E2901&gt;TODAY(),F2901&gt;TODAY()),"Verificar evento futuro","OK"))))))</f>
        <v/>
      </c>
    </row>
    <row r="2902" spans="9:12">
      <c r="I2902" s="5">
        <f>IF(OR(A2902="",B2902=""),"",B2902-WEEKDAY(B2902,2)+1)</f>
        <v/>
      </c>
      <c r="J2902" s="5">
        <f>IF(I2902="","",I2902+6)</f>
        <v/>
      </c>
      <c r="K2902" s="6">
        <f>IF(OR(A2902="",B2902=""),"",DATE(YEAR(B2902),MONTH(B2902),1))</f>
        <v/>
      </c>
      <c r="L2902" s="7">
        <f>IF(COUNTA(A2902,B2902)=0,"",IF(OR(A2902="",B2902=""),"Preencher CPF e entrada",IF(COUNTIFS($A$12:$A$5011,A2902,$B$12:$B$5011,B2902)&gt;1,"CPF + dia duplicado",IF(OR(AND(E2902&lt;&gt;"",E2902&lt;B2902),AND(F2902&lt;&gt;"",F2902&lt;B2902)),"Evento anterior à entrada",IF(AND(F2902&lt;&gt;"",E2902=""),"Conversa sem agendamento",IF(OR(E2902&gt;TODAY(),F2902&gt;TODAY()),"Verificar evento futuro","OK"))))))</f>
        <v/>
      </c>
    </row>
    <row r="2903" spans="9:12">
      <c r="I2903" s="5">
        <f>IF(OR(A2903="",B2903=""),"",B2903-WEEKDAY(B2903,2)+1)</f>
        <v/>
      </c>
      <c r="J2903" s="5">
        <f>IF(I2903="","",I2903+6)</f>
        <v/>
      </c>
      <c r="K2903" s="6">
        <f>IF(OR(A2903="",B2903=""),"",DATE(YEAR(B2903),MONTH(B2903),1))</f>
        <v/>
      </c>
      <c r="L2903" s="7">
        <f>IF(COUNTA(A2903,B2903)=0,"",IF(OR(A2903="",B2903=""),"Preencher CPF e entrada",IF(COUNTIFS($A$12:$A$5011,A2903,$B$12:$B$5011,B2903)&gt;1,"CPF + dia duplicado",IF(OR(AND(E2903&lt;&gt;"",E2903&lt;B2903),AND(F2903&lt;&gt;"",F2903&lt;B2903)),"Evento anterior à entrada",IF(AND(F2903&lt;&gt;"",E2903=""),"Conversa sem agendamento",IF(OR(E2903&gt;TODAY(),F2903&gt;TODAY()),"Verificar evento futuro","OK"))))))</f>
        <v/>
      </c>
    </row>
    <row r="2904" spans="9:12">
      <c r="I2904" s="5">
        <f>IF(OR(A2904="",B2904=""),"",B2904-WEEKDAY(B2904,2)+1)</f>
        <v/>
      </c>
      <c r="J2904" s="5">
        <f>IF(I2904="","",I2904+6)</f>
        <v/>
      </c>
      <c r="K2904" s="6">
        <f>IF(OR(A2904="",B2904=""),"",DATE(YEAR(B2904),MONTH(B2904),1))</f>
        <v/>
      </c>
      <c r="L2904" s="7">
        <f>IF(COUNTA(A2904,B2904)=0,"",IF(OR(A2904="",B2904=""),"Preencher CPF e entrada",IF(COUNTIFS($A$12:$A$5011,A2904,$B$12:$B$5011,B2904)&gt;1,"CPF + dia duplicado",IF(OR(AND(E2904&lt;&gt;"",E2904&lt;B2904),AND(F2904&lt;&gt;"",F2904&lt;B2904)),"Evento anterior à entrada",IF(AND(F2904&lt;&gt;"",E2904=""),"Conversa sem agendamento",IF(OR(E2904&gt;TODAY(),F2904&gt;TODAY()),"Verificar evento futuro","OK"))))))</f>
        <v/>
      </c>
    </row>
    <row r="2905" spans="9:12">
      <c r="I2905" s="5">
        <f>IF(OR(A2905="",B2905=""),"",B2905-WEEKDAY(B2905,2)+1)</f>
        <v/>
      </c>
      <c r="J2905" s="5">
        <f>IF(I2905="","",I2905+6)</f>
        <v/>
      </c>
      <c r="K2905" s="6">
        <f>IF(OR(A2905="",B2905=""),"",DATE(YEAR(B2905),MONTH(B2905),1))</f>
        <v/>
      </c>
      <c r="L2905" s="7">
        <f>IF(COUNTA(A2905,B2905)=0,"",IF(OR(A2905="",B2905=""),"Preencher CPF e entrada",IF(COUNTIFS($A$12:$A$5011,A2905,$B$12:$B$5011,B2905)&gt;1,"CPF + dia duplicado",IF(OR(AND(E2905&lt;&gt;"",E2905&lt;B2905),AND(F2905&lt;&gt;"",F2905&lt;B2905)),"Evento anterior à entrada",IF(AND(F2905&lt;&gt;"",E2905=""),"Conversa sem agendamento",IF(OR(E2905&gt;TODAY(),F2905&gt;TODAY()),"Verificar evento futuro","OK"))))))</f>
        <v/>
      </c>
    </row>
    <row r="2906" spans="9:12">
      <c r="I2906" s="5">
        <f>IF(OR(A2906="",B2906=""),"",B2906-WEEKDAY(B2906,2)+1)</f>
        <v/>
      </c>
      <c r="J2906" s="5">
        <f>IF(I2906="","",I2906+6)</f>
        <v/>
      </c>
      <c r="K2906" s="6">
        <f>IF(OR(A2906="",B2906=""),"",DATE(YEAR(B2906),MONTH(B2906),1))</f>
        <v/>
      </c>
      <c r="L2906" s="7">
        <f>IF(COUNTA(A2906,B2906)=0,"",IF(OR(A2906="",B2906=""),"Preencher CPF e entrada",IF(COUNTIFS($A$12:$A$5011,A2906,$B$12:$B$5011,B2906)&gt;1,"CPF + dia duplicado",IF(OR(AND(E2906&lt;&gt;"",E2906&lt;B2906),AND(F2906&lt;&gt;"",F2906&lt;B2906)),"Evento anterior à entrada",IF(AND(F2906&lt;&gt;"",E2906=""),"Conversa sem agendamento",IF(OR(E2906&gt;TODAY(),F2906&gt;TODAY()),"Verificar evento futuro","OK"))))))</f>
        <v/>
      </c>
    </row>
    <row r="2907" spans="9:12">
      <c r="I2907" s="5">
        <f>IF(OR(A2907="",B2907=""),"",B2907-WEEKDAY(B2907,2)+1)</f>
        <v/>
      </c>
      <c r="J2907" s="5">
        <f>IF(I2907="","",I2907+6)</f>
        <v/>
      </c>
      <c r="K2907" s="6">
        <f>IF(OR(A2907="",B2907=""),"",DATE(YEAR(B2907),MONTH(B2907),1))</f>
        <v/>
      </c>
      <c r="L2907" s="7">
        <f>IF(COUNTA(A2907,B2907)=0,"",IF(OR(A2907="",B2907=""),"Preencher CPF e entrada",IF(COUNTIFS($A$12:$A$5011,A2907,$B$12:$B$5011,B2907)&gt;1,"CPF + dia duplicado",IF(OR(AND(E2907&lt;&gt;"",E2907&lt;B2907),AND(F2907&lt;&gt;"",F2907&lt;B2907)),"Evento anterior à entrada",IF(AND(F2907&lt;&gt;"",E2907=""),"Conversa sem agendamento",IF(OR(E2907&gt;TODAY(),F2907&gt;TODAY()),"Verificar evento futuro","OK"))))))</f>
        <v/>
      </c>
    </row>
    <row r="2908" spans="9:12">
      <c r="I2908" s="5">
        <f>IF(OR(A2908="",B2908=""),"",B2908-WEEKDAY(B2908,2)+1)</f>
        <v/>
      </c>
      <c r="J2908" s="5">
        <f>IF(I2908="","",I2908+6)</f>
        <v/>
      </c>
      <c r="K2908" s="6">
        <f>IF(OR(A2908="",B2908=""),"",DATE(YEAR(B2908),MONTH(B2908),1))</f>
        <v/>
      </c>
      <c r="L2908" s="7">
        <f>IF(COUNTA(A2908,B2908)=0,"",IF(OR(A2908="",B2908=""),"Preencher CPF e entrada",IF(COUNTIFS($A$12:$A$5011,A2908,$B$12:$B$5011,B2908)&gt;1,"CPF + dia duplicado",IF(OR(AND(E2908&lt;&gt;"",E2908&lt;B2908),AND(F2908&lt;&gt;"",F2908&lt;B2908)),"Evento anterior à entrada",IF(AND(F2908&lt;&gt;"",E2908=""),"Conversa sem agendamento",IF(OR(E2908&gt;TODAY(),F2908&gt;TODAY()),"Verificar evento futuro","OK"))))))</f>
        <v/>
      </c>
    </row>
    <row r="2909" spans="9:12">
      <c r="I2909" s="5">
        <f>IF(OR(A2909="",B2909=""),"",B2909-WEEKDAY(B2909,2)+1)</f>
        <v/>
      </c>
      <c r="J2909" s="5">
        <f>IF(I2909="","",I2909+6)</f>
        <v/>
      </c>
      <c r="K2909" s="6">
        <f>IF(OR(A2909="",B2909=""),"",DATE(YEAR(B2909),MONTH(B2909),1))</f>
        <v/>
      </c>
      <c r="L2909" s="7">
        <f>IF(COUNTA(A2909,B2909)=0,"",IF(OR(A2909="",B2909=""),"Preencher CPF e entrada",IF(COUNTIFS($A$12:$A$5011,A2909,$B$12:$B$5011,B2909)&gt;1,"CPF + dia duplicado",IF(OR(AND(E2909&lt;&gt;"",E2909&lt;B2909),AND(F2909&lt;&gt;"",F2909&lt;B2909)),"Evento anterior à entrada",IF(AND(F2909&lt;&gt;"",E2909=""),"Conversa sem agendamento",IF(OR(E2909&gt;TODAY(),F2909&gt;TODAY()),"Verificar evento futuro","OK"))))))</f>
        <v/>
      </c>
    </row>
    <row r="2910" spans="9:12">
      <c r="I2910" s="5">
        <f>IF(OR(A2910="",B2910=""),"",B2910-WEEKDAY(B2910,2)+1)</f>
        <v/>
      </c>
      <c r="J2910" s="5">
        <f>IF(I2910="","",I2910+6)</f>
        <v/>
      </c>
      <c r="K2910" s="6">
        <f>IF(OR(A2910="",B2910=""),"",DATE(YEAR(B2910),MONTH(B2910),1))</f>
        <v/>
      </c>
      <c r="L2910" s="7">
        <f>IF(COUNTA(A2910,B2910)=0,"",IF(OR(A2910="",B2910=""),"Preencher CPF e entrada",IF(COUNTIFS($A$12:$A$5011,A2910,$B$12:$B$5011,B2910)&gt;1,"CPF + dia duplicado",IF(OR(AND(E2910&lt;&gt;"",E2910&lt;B2910),AND(F2910&lt;&gt;"",F2910&lt;B2910)),"Evento anterior à entrada",IF(AND(F2910&lt;&gt;"",E2910=""),"Conversa sem agendamento",IF(OR(E2910&gt;TODAY(),F2910&gt;TODAY()),"Verificar evento futuro","OK"))))))</f>
        <v/>
      </c>
    </row>
    <row r="2911" spans="9:12">
      <c r="I2911" s="5">
        <f>IF(OR(A2911="",B2911=""),"",B2911-WEEKDAY(B2911,2)+1)</f>
        <v/>
      </c>
      <c r="J2911" s="5">
        <f>IF(I2911="","",I2911+6)</f>
        <v/>
      </c>
      <c r="K2911" s="6">
        <f>IF(OR(A2911="",B2911=""),"",DATE(YEAR(B2911),MONTH(B2911),1))</f>
        <v/>
      </c>
      <c r="L2911" s="7">
        <f>IF(COUNTA(A2911,B2911)=0,"",IF(OR(A2911="",B2911=""),"Preencher CPF e entrada",IF(COUNTIFS($A$12:$A$5011,A2911,$B$12:$B$5011,B2911)&gt;1,"CPF + dia duplicado",IF(OR(AND(E2911&lt;&gt;"",E2911&lt;B2911),AND(F2911&lt;&gt;"",F2911&lt;B2911)),"Evento anterior à entrada",IF(AND(F2911&lt;&gt;"",E2911=""),"Conversa sem agendamento",IF(OR(E2911&gt;TODAY(),F2911&gt;TODAY()),"Verificar evento futuro","OK"))))))</f>
        <v/>
      </c>
    </row>
    <row r="2912" spans="9:12">
      <c r="I2912" s="5">
        <f>IF(OR(A2912="",B2912=""),"",B2912-WEEKDAY(B2912,2)+1)</f>
        <v/>
      </c>
      <c r="J2912" s="5">
        <f>IF(I2912="","",I2912+6)</f>
        <v/>
      </c>
      <c r="K2912" s="6">
        <f>IF(OR(A2912="",B2912=""),"",DATE(YEAR(B2912),MONTH(B2912),1))</f>
        <v/>
      </c>
      <c r="L2912" s="7">
        <f>IF(COUNTA(A2912,B2912)=0,"",IF(OR(A2912="",B2912=""),"Preencher CPF e entrada",IF(COUNTIFS($A$12:$A$5011,A2912,$B$12:$B$5011,B2912)&gt;1,"CPF + dia duplicado",IF(OR(AND(E2912&lt;&gt;"",E2912&lt;B2912),AND(F2912&lt;&gt;"",F2912&lt;B2912)),"Evento anterior à entrada",IF(AND(F2912&lt;&gt;"",E2912=""),"Conversa sem agendamento",IF(OR(E2912&gt;TODAY(),F2912&gt;TODAY()),"Verificar evento futuro","OK"))))))</f>
        <v/>
      </c>
    </row>
    <row r="2913" spans="9:12">
      <c r="I2913" s="5">
        <f>IF(OR(A2913="",B2913=""),"",B2913-WEEKDAY(B2913,2)+1)</f>
        <v/>
      </c>
      <c r="J2913" s="5">
        <f>IF(I2913="","",I2913+6)</f>
        <v/>
      </c>
      <c r="K2913" s="6">
        <f>IF(OR(A2913="",B2913=""),"",DATE(YEAR(B2913),MONTH(B2913),1))</f>
        <v/>
      </c>
      <c r="L2913" s="7">
        <f>IF(COUNTA(A2913,B2913)=0,"",IF(OR(A2913="",B2913=""),"Preencher CPF e entrada",IF(COUNTIFS($A$12:$A$5011,A2913,$B$12:$B$5011,B2913)&gt;1,"CPF + dia duplicado",IF(OR(AND(E2913&lt;&gt;"",E2913&lt;B2913),AND(F2913&lt;&gt;"",F2913&lt;B2913)),"Evento anterior à entrada",IF(AND(F2913&lt;&gt;"",E2913=""),"Conversa sem agendamento",IF(OR(E2913&gt;TODAY(),F2913&gt;TODAY()),"Verificar evento futuro","OK"))))))</f>
        <v/>
      </c>
    </row>
    <row r="2914" spans="9:12">
      <c r="I2914" s="5">
        <f>IF(OR(A2914="",B2914=""),"",B2914-WEEKDAY(B2914,2)+1)</f>
        <v/>
      </c>
      <c r="J2914" s="5">
        <f>IF(I2914="","",I2914+6)</f>
        <v/>
      </c>
      <c r="K2914" s="6">
        <f>IF(OR(A2914="",B2914=""),"",DATE(YEAR(B2914),MONTH(B2914),1))</f>
        <v/>
      </c>
      <c r="L2914" s="7">
        <f>IF(COUNTA(A2914,B2914)=0,"",IF(OR(A2914="",B2914=""),"Preencher CPF e entrada",IF(COUNTIFS($A$12:$A$5011,A2914,$B$12:$B$5011,B2914)&gt;1,"CPF + dia duplicado",IF(OR(AND(E2914&lt;&gt;"",E2914&lt;B2914),AND(F2914&lt;&gt;"",F2914&lt;B2914)),"Evento anterior à entrada",IF(AND(F2914&lt;&gt;"",E2914=""),"Conversa sem agendamento",IF(OR(E2914&gt;TODAY(),F2914&gt;TODAY()),"Verificar evento futuro","OK"))))))</f>
        <v/>
      </c>
    </row>
    <row r="2915" spans="9:12">
      <c r="I2915" s="5">
        <f>IF(OR(A2915="",B2915=""),"",B2915-WEEKDAY(B2915,2)+1)</f>
        <v/>
      </c>
      <c r="J2915" s="5">
        <f>IF(I2915="","",I2915+6)</f>
        <v/>
      </c>
      <c r="K2915" s="6">
        <f>IF(OR(A2915="",B2915=""),"",DATE(YEAR(B2915),MONTH(B2915),1))</f>
        <v/>
      </c>
      <c r="L2915" s="7">
        <f>IF(COUNTA(A2915,B2915)=0,"",IF(OR(A2915="",B2915=""),"Preencher CPF e entrada",IF(COUNTIFS($A$12:$A$5011,A2915,$B$12:$B$5011,B2915)&gt;1,"CPF + dia duplicado",IF(OR(AND(E2915&lt;&gt;"",E2915&lt;B2915),AND(F2915&lt;&gt;"",F2915&lt;B2915)),"Evento anterior à entrada",IF(AND(F2915&lt;&gt;"",E2915=""),"Conversa sem agendamento",IF(OR(E2915&gt;TODAY(),F2915&gt;TODAY()),"Verificar evento futuro","OK"))))))</f>
        <v/>
      </c>
    </row>
    <row r="2916" spans="9:12">
      <c r="I2916" s="5">
        <f>IF(OR(A2916="",B2916=""),"",B2916-WEEKDAY(B2916,2)+1)</f>
        <v/>
      </c>
      <c r="J2916" s="5">
        <f>IF(I2916="","",I2916+6)</f>
        <v/>
      </c>
      <c r="K2916" s="6">
        <f>IF(OR(A2916="",B2916=""),"",DATE(YEAR(B2916),MONTH(B2916),1))</f>
        <v/>
      </c>
      <c r="L2916" s="7">
        <f>IF(COUNTA(A2916,B2916)=0,"",IF(OR(A2916="",B2916=""),"Preencher CPF e entrada",IF(COUNTIFS($A$12:$A$5011,A2916,$B$12:$B$5011,B2916)&gt;1,"CPF + dia duplicado",IF(OR(AND(E2916&lt;&gt;"",E2916&lt;B2916),AND(F2916&lt;&gt;"",F2916&lt;B2916)),"Evento anterior à entrada",IF(AND(F2916&lt;&gt;"",E2916=""),"Conversa sem agendamento",IF(OR(E2916&gt;TODAY(),F2916&gt;TODAY()),"Verificar evento futuro","OK"))))))</f>
        <v/>
      </c>
    </row>
    <row r="2917" spans="9:12">
      <c r="I2917" s="5">
        <f>IF(OR(A2917="",B2917=""),"",B2917-WEEKDAY(B2917,2)+1)</f>
        <v/>
      </c>
      <c r="J2917" s="5">
        <f>IF(I2917="","",I2917+6)</f>
        <v/>
      </c>
      <c r="K2917" s="6">
        <f>IF(OR(A2917="",B2917=""),"",DATE(YEAR(B2917),MONTH(B2917),1))</f>
        <v/>
      </c>
      <c r="L2917" s="7">
        <f>IF(COUNTA(A2917,B2917)=0,"",IF(OR(A2917="",B2917=""),"Preencher CPF e entrada",IF(COUNTIFS($A$12:$A$5011,A2917,$B$12:$B$5011,B2917)&gt;1,"CPF + dia duplicado",IF(OR(AND(E2917&lt;&gt;"",E2917&lt;B2917),AND(F2917&lt;&gt;"",F2917&lt;B2917)),"Evento anterior à entrada",IF(AND(F2917&lt;&gt;"",E2917=""),"Conversa sem agendamento",IF(OR(E2917&gt;TODAY(),F2917&gt;TODAY()),"Verificar evento futuro","OK"))))))</f>
        <v/>
      </c>
    </row>
    <row r="2918" spans="9:12">
      <c r="I2918" s="5">
        <f>IF(OR(A2918="",B2918=""),"",B2918-WEEKDAY(B2918,2)+1)</f>
        <v/>
      </c>
      <c r="J2918" s="5">
        <f>IF(I2918="","",I2918+6)</f>
        <v/>
      </c>
      <c r="K2918" s="6">
        <f>IF(OR(A2918="",B2918=""),"",DATE(YEAR(B2918),MONTH(B2918),1))</f>
        <v/>
      </c>
      <c r="L2918" s="7">
        <f>IF(COUNTA(A2918,B2918)=0,"",IF(OR(A2918="",B2918=""),"Preencher CPF e entrada",IF(COUNTIFS($A$12:$A$5011,A2918,$B$12:$B$5011,B2918)&gt;1,"CPF + dia duplicado",IF(OR(AND(E2918&lt;&gt;"",E2918&lt;B2918),AND(F2918&lt;&gt;"",F2918&lt;B2918)),"Evento anterior à entrada",IF(AND(F2918&lt;&gt;"",E2918=""),"Conversa sem agendamento",IF(OR(E2918&gt;TODAY(),F2918&gt;TODAY()),"Verificar evento futuro","OK"))))))</f>
        <v/>
      </c>
    </row>
    <row r="2919" spans="9:12">
      <c r="I2919" s="5">
        <f>IF(OR(A2919="",B2919=""),"",B2919-WEEKDAY(B2919,2)+1)</f>
        <v/>
      </c>
      <c r="J2919" s="5">
        <f>IF(I2919="","",I2919+6)</f>
        <v/>
      </c>
      <c r="K2919" s="6">
        <f>IF(OR(A2919="",B2919=""),"",DATE(YEAR(B2919),MONTH(B2919),1))</f>
        <v/>
      </c>
      <c r="L2919" s="7">
        <f>IF(COUNTA(A2919,B2919)=0,"",IF(OR(A2919="",B2919=""),"Preencher CPF e entrada",IF(COUNTIFS($A$12:$A$5011,A2919,$B$12:$B$5011,B2919)&gt;1,"CPF + dia duplicado",IF(OR(AND(E2919&lt;&gt;"",E2919&lt;B2919),AND(F2919&lt;&gt;"",F2919&lt;B2919)),"Evento anterior à entrada",IF(AND(F2919&lt;&gt;"",E2919=""),"Conversa sem agendamento",IF(OR(E2919&gt;TODAY(),F2919&gt;TODAY()),"Verificar evento futuro","OK"))))))</f>
        <v/>
      </c>
    </row>
    <row r="2920" spans="9:12">
      <c r="I2920" s="5">
        <f>IF(OR(A2920="",B2920=""),"",B2920-WEEKDAY(B2920,2)+1)</f>
        <v/>
      </c>
      <c r="J2920" s="5">
        <f>IF(I2920="","",I2920+6)</f>
        <v/>
      </c>
      <c r="K2920" s="6">
        <f>IF(OR(A2920="",B2920=""),"",DATE(YEAR(B2920),MONTH(B2920),1))</f>
        <v/>
      </c>
      <c r="L2920" s="7">
        <f>IF(COUNTA(A2920,B2920)=0,"",IF(OR(A2920="",B2920=""),"Preencher CPF e entrada",IF(COUNTIFS($A$12:$A$5011,A2920,$B$12:$B$5011,B2920)&gt;1,"CPF + dia duplicado",IF(OR(AND(E2920&lt;&gt;"",E2920&lt;B2920),AND(F2920&lt;&gt;"",F2920&lt;B2920)),"Evento anterior à entrada",IF(AND(F2920&lt;&gt;"",E2920=""),"Conversa sem agendamento",IF(OR(E2920&gt;TODAY(),F2920&gt;TODAY()),"Verificar evento futuro","OK"))))))</f>
        <v/>
      </c>
    </row>
    <row r="2921" spans="9:12">
      <c r="I2921" s="5">
        <f>IF(OR(A2921="",B2921=""),"",B2921-WEEKDAY(B2921,2)+1)</f>
        <v/>
      </c>
      <c r="J2921" s="5">
        <f>IF(I2921="","",I2921+6)</f>
        <v/>
      </c>
      <c r="K2921" s="6">
        <f>IF(OR(A2921="",B2921=""),"",DATE(YEAR(B2921),MONTH(B2921),1))</f>
        <v/>
      </c>
      <c r="L2921" s="7">
        <f>IF(COUNTA(A2921,B2921)=0,"",IF(OR(A2921="",B2921=""),"Preencher CPF e entrada",IF(COUNTIFS($A$12:$A$5011,A2921,$B$12:$B$5011,B2921)&gt;1,"CPF + dia duplicado",IF(OR(AND(E2921&lt;&gt;"",E2921&lt;B2921),AND(F2921&lt;&gt;"",F2921&lt;B2921)),"Evento anterior à entrada",IF(AND(F2921&lt;&gt;"",E2921=""),"Conversa sem agendamento",IF(OR(E2921&gt;TODAY(),F2921&gt;TODAY()),"Verificar evento futuro","OK"))))))</f>
        <v/>
      </c>
    </row>
    <row r="2922" spans="9:12">
      <c r="I2922" s="5">
        <f>IF(OR(A2922="",B2922=""),"",B2922-WEEKDAY(B2922,2)+1)</f>
        <v/>
      </c>
      <c r="J2922" s="5">
        <f>IF(I2922="","",I2922+6)</f>
        <v/>
      </c>
      <c r="K2922" s="6">
        <f>IF(OR(A2922="",B2922=""),"",DATE(YEAR(B2922),MONTH(B2922),1))</f>
        <v/>
      </c>
      <c r="L2922" s="7">
        <f>IF(COUNTA(A2922,B2922)=0,"",IF(OR(A2922="",B2922=""),"Preencher CPF e entrada",IF(COUNTIFS($A$12:$A$5011,A2922,$B$12:$B$5011,B2922)&gt;1,"CPF + dia duplicado",IF(OR(AND(E2922&lt;&gt;"",E2922&lt;B2922),AND(F2922&lt;&gt;"",F2922&lt;B2922)),"Evento anterior à entrada",IF(AND(F2922&lt;&gt;"",E2922=""),"Conversa sem agendamento",IF(OR(E2922&gt;TODAY(),F2922&gt;TODAY()),"Verificar evento futuro","OK"))))))</f>
        <v/>
      </c>
    </row>
    <row r="2923" spans="9:12">
      <c r="I2923" s="5">
        <f>IF(OR(A2923="",B2923=""),"",B2923-WEEKDAY(B2923,2)+1)</f>
        <v/>
      </c>
      <c r="J2923" s="5">
        <f>IF(I2923="","",I2923+6)</f>
        <v/>
      </c>
      <c r="K2923" s="6">
        <f>IF(OR(A2923="",B2923=""),"",DATE(YEAR(B2923),MONTH(B2923),1))</f>
        <v/>
      </c>
      <c r="L2923" s="7">
        <f>IF(COUNTA(A2923,B2923)=0,"",IF(OR(A2923="",B2923=""),"Preencher CPF e entrada",IF(COUNTIFS($A$12:$A$5011,A2923,$B$12:$B$5011,B2923)&gt;1,"CPF + dia duplicado",IF(OR(AND(E2923&lt;&gt;"",E2923&lt;B2923),AND(F2923&lt;&gt;"",F2923&lt;B2923)),"Evento anterior à entrada",IF(AND(F2923&lt;&gt;"",E2923=""),"Conversa sem agendamento",IF(OR(E2923&gt;TODAY(),F2923&gt;TODAY()),"Verificar evento futuro","OK"))))))</f>
        <v/>
      </c>
    </row>
    <row r="2924" spans="9:12">
      <c r="I2924" s="5">
        <f>IF(OR(A2924="",B2924=""),"",B2924-WEEKDAY(B2924,2)+1)</f>
        <v/>
      </c>
      <c r="J2924" s="5">
        <f>IF(I2924="","",I2924+6)</f>
        <v/>
      </c>
      <c r="K2924" s="6">
        <f>IF(OR(A2924="",B2924=""),"",DATE(YEAR(B2924),MONTH(B2924),1))</f>
        <v/>
      </c>
      <c r="L2924" s="7">
        <f>IF(COUNTA(A2924,B2924)=0,"",IF(OR(A2924="",B2924=""),"Preencher CPF e entrada",IF(COUNTIFS($A$12:$A$5011,A2924,$B$12:$B$5011,B2924)&gt;1,"CPF + dia duplicado",IF(OR(AND(E2924&lt;&gt;"",E2924&lt;B2924),AND(F2924&lt;&gt;"",F2924&lt;B2924)),"Evento anterior à entrada",IF(AND(F2924&lt;&gt;"",E2924=""),"Conversa sem agendamento",IF(OR(E2924&gt;TODAY(),F2924&gt;TODAY()),"Verificar evento futuro","OK"))))))</f>
        <v/>
      </c>
    </row>
    <row r="2925" spans="9:12">
      <c r="I2925" s="5">
        <f>IF(OR(A2925="",B2925=""),"",B2925-WEEKDAY(B2925,2)+1)</f>
        <v/>
      </c>
      <c r="J2925" s="5">
        <f>IF(I2925="","",I2925+6)</f>
        <v/>
      </c>
      <c r="K2925" s="6">
        <f>IF(OR(A2925="",B2925=""),"",DATE(YEAR(B2925),MONTH(B2925),1))</f>
        <v/>
      </c>
      <c r="L2925" s="7">
        <f>IF(COUNTA(A2925,B2925)=0,"",IF(OR(A2925="",B2925=""),"Preencher CPF e entrada",IF(COUNTIFS($A$12:$A$5011,A2925,$B$12:$B$5011,B2925)&gt;1,"CPF + dia duplicado",IF(OR(AND(E2925&lt;&gt;"",E2925&lt;B2925),AND(F2925&lt;&gt;"",F2925&lt;B2925)),"Evento anterior à entrada",IF(AND(F2925&lt;&gt;"",E2925=""),"Conversa sem agendamento",IF(OR(E2925&gt;TODAY(),F2925&gt;TODAY()),"Verificar evento futuro","OK"))))))</f>
        <v/>
      </c>
    </row>
    <row r="2926" spans="9:12">
      <c r="I2926" s="5">
        <f>IF(OR(A2926="",B2926=""),"",B2926-WEEKDAY(B2926,2)+1)</f>
        <v/>
      </c>
      <c r="J2926" s="5">
        <f>IF(I2926="","",I2926+6)</f>
        <v/>
      </c>
      <c r="K2926" s="6">
        <f>IF(OR(A2926="",B2926=""),"",DATE(YEAR(B2926),MONTH(B2926),1))</f>
        <v/>
      </c>
      <c r="L2926" s="7">
        <f>IF(COUNTA(A2926,B2926)=0,"",IF(OR(A2926="",B2926=""),"Preencher CPF e entrada",IF(COUNTIFS($A$12:$A$5011,A2926,$B$12:$B$5011,B2926)&gt;1,"CPF + dia duplicado",IF(OR(AND(E2926&lt;&gt;"",E2926&lt;B2926),AND(F2926&lt;&gt;"",F2926&lt;B2926)),"Evento anterior à entrada",IF(AND(F2926&lt;&gt;"",E2926=""),"Conversa sem agendamento",IF(OR(E2926&gt;TODAY(),F2926&gt;TODAY()),"Verificar evento futuro","OK"))))))</f>
        <v/>
      </c>
    </row>
    <row r="2927" spans="9:12">
      <c r="I2927" s="5">
        <f>IF(OR(A2927="",B2927=""),"",B2927-WEEKDAY(B2927,2)+1)</f>
        <v/>
      </c>
      <c r="J2927" s="5">
        <f>IF(I2927="","",I2927+6)</f>
        <v/>
      </c>
      <c r="K2927" s="6">
        <f>IF(OR(A2927="",B2927=""),"",DATE(YEAR(B2927),MONTH(B2927),1))</f>
        <v/>
      </c>
      <c r="L2927" s="7">
        <f>IF(COUNTA(A2927,B2927)=0,"",IF(OR(A2927="",B2927=""),"Preencher CPF e entrada",IF(COUNTIFS($A$12:$A$5011,A2927,$B$12:$B$5011,B2927)&gt;1,"CPF + dia duplicado",IF(OR(AND(E2927&lt;&gt;"",E2927&lt;B2927),AND(F2927&lt;&gt;"",F2927&lt;B2927)),"Evento anterior à entrada",IF(AND(F2927&lt;&gt;"",E2927=""),"Conversa sem agendamento",IF(OR(E2927&gt;TODAY(),F2927&gt;TODAY()),"Verificar evento futuro","OK"))))))</f>
        <v/>
      </c>
    </row>
    <row r="2928" spans="9:12">
      <c r="I2928" s="5">
        <f>IF(OR(A2928="",B2928=""),"",B2928-WEEKDAY(B2928,2)+1)</f>
        <v/>
      </c>
      <c r="J2928" s="5">
        <f>IF(I2928="","",I2928+6)</f>
        <v/>
      </c>
      <c r="K2928" s="6">
        <f>IF(OR(A2928="",B2928=""),"",DATE(YEAR(B2928),MONTH(B2928),1))</f>
        <v/>
      </c>
      <c r="L2928" s="7">
        <f>IF(COUNTA(A2928,B2928)=0,"",IF(OR(A2928="",B2928=""),"Preencher CPF e entrada",IF(COUNTIFS($A$12:$A$5011,A2928,$B$12:$B$5011,B2928)&gt;1,"CPF + dia duplicado",IF(OR(AND(E2928&lt;&gt;"",E2928&lt;B2928),AND(F2928&lt;&gt;"",F2928&lt;B2928)),"Evento anterior à entrada",IF(AND(F2928&lt;&gt;"",E2928=""),"Conversa sem agendamento",IF(OR(E2928&gt;TODAY(),F2928&gt;TODAY()),"Verificar evento futuro","OK"))))))</f>
        <v/>
      </c>
    </row>
    <row r="2929" spans="9:12">
      <c r="I2929" s="5">
        <f>IF(OR(A2929="",B2929=""),"",B2929-WEEKDAY(B2929,2)+1)</f>
        <v/>
      </c>
      <c r="J2929" s="5">
        <f>IF(I2929="","",I2929+6)</f>
        <v/>
      </c>
      <c r="K2929" s="6">
        <f>IF(OR(A2929="",B2929=""),"",DATE(YEAR(B2929),MONTH(B2929),1))</f>
        <v/>
      </c>
      <c r="L2929" s="7">
        <f>IF(COUNTA(A2929,B2929)=0,"",IF(OR(A2929="",B2929=""),"Preencher CPF e entrada",IF(COUNTIFS($A$12:$A$5011,A2929,$B$12:$B$5011,B2929)&gt;1,"CPF + dia duplicado",IF(OR(AND(E2929&lt;&gt;"",E2929&lt;B2929),AND(F2929&lt;&gt;"",F2929&lt;B2929)),"Evento anterior à entrada",IF(AND(F2929&lt;&gt;"",E2929=""),"Conversa sem agendamento",IF(OR(E2929&gt;TODAY(),F2929&gt;TODAY()),"Verificar evento futuro","OK"))))))</f>
        <v/>
      </c>
    </row>
    <row r="2930" spans="9:12">
      <c r="I2930" s="5">
        <f>IF(OR(A2930="",B2930=""),"",B2930-WEEKDAY(B2930,2)+1)</f>
        <v/>
      </c>
      <c r="J2930" s="5">
        <f>IF(I2930="","",I2930+6)</f>
        <v/>
      </c>
      <c r="K2930" s="6">
        <f>IF(OR(A2930="",B2930=""),"",DATE(YEAR(B2930),MONTH(B2930),1))</f>
        <v/>
      </c>
      <c r="L2930" s="7">
        <f>IF(COUNTA(A2930,B2930)=0,"",IF(OR(A2930="",B2930=""),"Preencher CPF e entrada",IF(COUNTIFS($A$12:$A$5011,A2930,$B$12:$B$5011,B2930)&gt;1,"CPF + dia duplicado",IF(OR(AND(E2930&lt;&gt;"",E2930&lt;B2930),AND(F2930&lt;&gt;"",F2930&lt;B2930)),"Evento anterior à entrada",IF(AND(F2930&lt;&gt;"",E2930=""),"Conversa sem agendamento",IF(OR(E2930&gt;TODAY(),F2930&gt;TODAY()),"Verificar evento futuro","OK"))))))</f>
        <v/>
      </c>
    </row>
    <row r="2931" spans="9:12">
      <c r="I2931" s="5">
        <f>IF(OR(A2931="",B2931=""),"",B2931-WEEKDAY(B2931,2)+1)</f>
        <v/>
      </c>
      <c r="J2931" s="5">
        <f>IF(I2931="","",I2931+6)</f>
        <v/>
      </c>
      <c r="K2931" s="6">
        <f>IF(OR(A2931="",B2931=""),"",DATE(YEAR(B2931),MONTH(B2931),1))</f>
        <v/>
      </c>
      <c r="L2931" s="7">
        <f>IF(COUNTA(A2931,B2931)=0,"",IF(OR(A2931="",B2931=""),"Preencher CPF e entrada",IF(COUNTIFS($A$12:$A$5011,A2931,$B$12:$B$5011,B2931)&gt;1,"CPF + dia duplicado",IF(OR(AND(E2931&lt;&gt;"",E2931&lt;B2931),AND(F2931&lt;&gt;"",F2931&lt;B2931)),"Evento anterior à entrada",IF(AND(F2931&lt;&gt;"",E2931=""),"Conversa sem agendamento",IF(OR(E2931&gt;TODAY(),F2931&gt;TODAY()),"Verificar evento futuro","OK"))))))</f>
        <v/>
      </c>
    </row>
    <row r="2932" spans="9:12">
      <c r="I2932" s="5">
        <f>IF(OR(A2932="",B2932=""),"",B2932-WEEKDAY(B2932,2)+1)</f>
        <v/>
      </c>
      <c r="J2932" s="5">
        <f>IF(I2932="","",I2932+6)</f>
        <v/>
      </c>
      <c r="K2932" s="6">
        <f>IF(OR(A2932="",B2932=""),"",DATE(YEAR(B2932),MONTH(B2932),1))</f>
        <v/>
      </c>
      <c r="L2932" s="7">
        <f>IF(COUNTA(A2932,B2932)=0,"",IF(OR(A2932="",B2932=""),"Preencher CPF e entrada",IF(COUNTIFS($A$12:$A$5011,A2932,$B$12:$B$5011,B2932)&gt;1,"CPF + dia duplicado",IF(OR(AND(E2932&lt;&gt;"",E2932&lt;B2932),AND(F2932&lt;&gt;"",F2932&lt;B2932)),"Evento anterior à entrada",IF(AND(F2932&lt;&gt;"",E2932=""),"Conversa sem agendamento",IF(OR(E2932&gt;TODAY(),F2932&gt;TODAY()),"Verificar evento futuro","OK"))))))</f>
        <v/>
      </c>
    </row>
    <row r="2933" spans="9:12">
      <c r="I2933" s="5">
        <f>IF(OR(A2933="",B2933=""),"",B2933-WEEKDAY(B2933,2)+1)</f>
        <v/>
      </c>
      <c r="J2933" s="5">
        <f>IF(I2933="","",I2933+6)</f>
        <v/>
      </c>
      <c r="K2933" s="6">
        <f>IF(OR(A2933="",B2933=""),"",DATE(YEAR(B2933),MONTH(B2933),1))</f>
        <v/>
      </c>
      <c r="L2933" s="7">
        <f>IF(COUNTA(A2933,B2933)=0,"",IF(OR(A2933="",B2933=""),"Preencher CPF e entrada",IF(COUNTIFS($A$12:$A$5011,A2933,$B$12:$B$5011,B2933)&gt;1,"CPF + dia duplicado",IF(OR(AND(E2933&lt;&gt;"",E2933&lt;B2933),AND(F2933&lt;&gt;"",F2933&lt;B2933)),"Evento anterior à entrada",IF(AND(F2933&lt;&gt;"",E2933=""),"Conversa sem agendamento",IF(OR(E2933&gt;TODAY(),F2933&gt;TODAY()),"Verificar evento futuro","OK"))))))</f>
        <v/>
      </c>
    </row>
    <row r="2934" spans="9:12">
      <c r="I2934" s="5">
        <f>IF(OR(A2934="",B2934=""),"",B2934-WEEKDAY(B2934,2)+1)</f>
        <v/>
      </c>
      <c r="J2934" s="5">
        <f>IF(I2934="","",I2934+6)</f>
        <v/>
      </c>
      <c r="K2934" s="6">
        <f>IF(OR(A2934="",B2934=""),"",DATE(YEAR(B2934),MONTH(B2934),1))</f>
        <v/>
      </c>
      <c r="L2934" s="7">
        <f>IF(COUNTA(A2934,B2934)=0,"",IF(OR(A2934="",B2934=""),"Preencher CPF e entrada",IF(COUNTIFS($A$12:$A$5011,A2934,$B$12:$B$5011,B2934)&gt;1,"CPF + dia duplicado",IF(OR(AND(E2934&lt;&gt;"",E2934&lt;B2934),AND(F2934&lt;&gt;"",F2934&lt;B2934)),"Evento anterior à entrada",IF(AND(F2934&lt;&gt;"",E2934=""),"Conversa sem agendamento",IF(OR(E2934&gt;TODAY(),F2934&gt;TODAY()),"Verificar evento futuro","OK"))))))</f>
        <v/>
      </c>
    </row>
    <row r="2935" spans="9:12">
      <c r="I2935" s="5">
        <f>IF(OR(A2935="",B2935=""),"",B2935-WEEKDAY(B2935,2)+1)</f>
        <v/>
      </c>
      <c r="J2935" s="5">
        <f>IF(I2935="","",I2935+6)</f>
        <v/>
      </c>
      <c r="K2935" s="6">
        <f>IF(OR(A2935="",B2935=""),"",DATE(YEAR(B2935),MONTH(B2935),1))</f>
        <v/>
      </c>
      <c r="L2935" s="7">
        <f>IF(COUNTA(A2935,B2935)=0,"",IF(OR(A2935="",B2935=""),"Preencher CPF e entrada",IF(COUNTIFS($A$12:$A$5011,A2935,$B$12:$B$5011,B2935)&gt;1,"CPF + dia duplicado",IF(OR(AND(E2935&lt;&gt;"",E2935&lt;B2935),AND(F2935&lt;&gt;"",F2935&lt;B2935)),"Evento anterior à entrada",IF(AND(F2935&lt;&gt;"",E2935=""),"Conversa sem agendamento",IF(OR(E2935&gt;TODAY(),F2935&gt;TODAY()),"Verificar evento futuro","OK"))))))</f>
        <v/>
      </c>
    </row>
    <row r="2936" spans="9:12">
      <c r="I2936" s="5">
        <f>IF(OR(A2936="",B2936=""),"",B2936-WEEKDAY(B2936,2)+1)</f>
        <v/>
      </c>
      <c r="J2936" s="5">
        <f>IF(I2936="","",I2936+6)</f>
        <v/>
      </c>
      <c r="K2936" s="6">
        <f>IF(OR(A2936="",B2936=""),"",DATE(YEAR(B2936),MONTH(B2936),1))</f>
        <v/>
      </c>
      <c r="L2936" s="7">
        <f>IF(COUNTA(A2936,B2936)=0,"",IF(OR(A2936="",B2936=""),"Preencher CPF e entrada",IF(COUNTIFS($A$12:$A$5011,A2936,$B$12:$B$5011,B2936)&gt;1,"CPF + dia duplicado",IF(OR(AND(E2936&lt;&gt;"",E2936&lt;B2936),AND(F2936&lt;&gt;"",F2936&lt;B2936)),"Evento anterior à entrada",IF(AND(F2936&lt;&gt;"",E2936=""),"Conversa sem agendamento",IF(OR(E2936&gt;TODAY(),F2936&gt;TODAY()),"Verificar evento futuro","OK"))))))</f>
        <v/>
      </c>
    </row>
    <row r="2937" spans="9:12">
      <c r="I2937" s="5">
        <f>IF(OR(A2937="",B2937=""),"",B2937-WEEKDAY(B2937,2)+1)</f>
        <v/>
      </c>
      <c r="J2937" s="5">
        <f>IF(I2937="","",I2937+6)</f>
        <v/>
      </c>
      <c r="K2937" s="6">
        <f>IF(OR(A2937="",B2937=""),"",DATE(YEAR(B2937),MONTH(B2937),1))</f>
        <v/>
      </c>
      <c r="L2937" s="7">
        <f>IF(COUNTA(A2937,B2937)=0,"",IF(OR(A2937="",B2937=""),"Preencher CPF e entrada",IF(COUNTIFS($A$12:$A$5011,A2937,$B$12:$B$5011,B2937)&gt;1,"CPF + dia duplicado",IF(OR(AND(E2937&lt;&gt;"",E2937&lt;B2937),AND(F2937&lt;&gt;"",F2937&lt;B2937)),"Evento anterior à entrada",IF(AND(F2937&lt;&gt;"",E2937=""),"Conversa sem agendamento",IF(OR(E2937&gt;TODAY(),F2937&gt;TODAY()),"Verificar evento futuro","OK"))))))</f>
        <v/>
      </c>
    </row>
    <row r="2938" spans="9:12">
      <c r="I2938" s="5">
        <f>IF(OR(A2938="",B2938=""),"",B2938-WEEKDAY(B2938,2)+1)</f>
        <v/>
      </c>
      <c r="J2938" s="5">
        <f>IF(I2938="","",I2938+6)</f>
        <v/>
      </c>
      <c r="K2938" s="6">
        <f>IF(OR(A2938="",B2938=""),"",DATE(YEAR(B2938),MONTH(B2938),1))</f>
        <v/>
      </c>
      <c r="L2938" s="7">
        <f>IF(COUNTA(A2938,B2938)=0,"",IF(OR(A2938="",B2938=""),"Preencher CPF e entrada",IF(COUNTIFS($A$12:$A$5011,A2938,$B$12:$B$5011,B2938)&gt;1,"CPF + dia duplicado",IF(OR(AND(E2938&lt;&gt;"",E2938&lt;B2938),AND(F2938&lt;&gt;"",F2938&lt;B2938)),"Evento anterior à entrada",IF(AND(F2938&lt;&gt;"",E2938=""),"Conversa sem agendamento",IF(OR(E2938&gt;TODAY(),F2938&gt;TODAY()),"Verificar evento futuro","OK"))))))</f>
        <v/>
      </c>
    </row>
    <row r="2939" spans="9:12">
      <c r="I2939" s="5">
        <f>IF(OR(A2939="",B2939=""),"",B2939-WEEKDAY(B2939,2)+1)</f>
        <v/>
      </c>
      <c r="J2939" s="5">
        <f>IF(I2939="","",I2939+6)</f>
        <v/>
      </c>
      <c r="K2939" s="6">
        <f>IF(OR(A2939="",B2939=""),"",DATE(YEAR(B2939),MONTH(B2939),1))</f>
        <v/>
      </c>
      <c r="L2939" s="7">
        <f>IF(COUNTA(A2939,B2939)=0,"",IF(OR(A2939="",B2939=""),"Preencher CPF e entrada",IF(COUNTIFS($A$12:$A$5011,A2939,$B$12:$B$5011,B2939)&gt;1,"CPF + dia duplicado",IF(OR(AND(E2939&lt;&gt;"",E2939&lt;B2939),AND(F2939&lt;&gt;"",F2939&lt;B2939)),"Evento anterior à entrada",IF(AND(F2939&lt;&gt;"",E2939=""),"Conversa sem agendamento",IF(OR(E2939&gt;TODAY(),F2939&gt;TODAY()),"Verificar evento futuro","OK"))))))</f>
        <v/>
      </c>
    </row>
    <row r="2940" spans="9:12">
      <c r="I2940" s="5">
        <f>IF(OR(A2940="",B2940=""),"",B2940-WEEKDAY(B2940,2)+1)</f>
        <v/>
      </c>
      <c r="J2940" s="5">
        <f>IF(I2940="","",I2940+6)</f>
        <v/>
      </c>
      <c r="K2940" s="6">
        <f>IF(OR(A2940="",B2940=""),"",DATE(YEAR(B2940),MONTH(B2940),1))</f>
        <v/>
      </c>
      <c r="L2940" s="7">
        <f>IF(COUNTA(A2940,B2940)=0,"",IF(OR(A2940="",B2940=""),"Preencher CPF e entrada",IF(COUNTIFS($A$12:$A$5011,A2940,$B$12:$B$5011,B2940)&gt;1,"CPF + dia duplicado",IF(OR(AND(E2940&lt;&gt;"",E2940&lt;B2940),AND(F2940&lt;&gt;"",F2940&lt;B2940)),"Evento anterior à entrada",IF(AND(F2940&lt;&gt;"",E2940=""),"Conversa sem agendamento",IF(OR(E2940&gt;TODAY(),F2940&gt;TODAY()),"Verificar evento futuro","OK"))))))</f>
        <v/>
      </c>
    </row>
    <row r="2941" spans="9:12">
      <c r="I2941" s="5">
        <f>IF(OR(A2941="",B2941=""),"",B2941-WEEKDAY(B2941,2)+1)</f>
        <v/>
      </c>
      <c r="J2941" s="5">
        <f>IF(I2941="","",I2941+6)</f>
        <v/>
      </c>
      <c r="K2941" s="6">
        <f>IF(OR(A2941="",B2941=""),"",DATE(YEAR(B2941),MONTH(B2941),1))</f>
        <v/>
      </c>
      <c r="L2941" s="7">
        <f>IF(COUNTA(A2941,B2941)=0,"",IF(OR(A2941="",B2941=""),"Preencher CPF e entrada",IF(COUNTIFS($A$12:$A$5011,A2941,$B$12:$B$5011,B2941)&gt;1,"CPF + dia duplicado",IF(OR(AND(E2941&lt;&gt;"",E2941&lt;B2941),AND(F2941&lt;&gt;"",F2941&lt;B2941)),"Evento anterior à entrada",IF(AND(F2941&lt;&gt;"",E2941=""),"Conversa sem agendamento",IF(OR(E2941&gt;TODAY(),F2941&gt;TODAY()),"Verificar evento futuro","OK"))))))</f>
        <v/>
      </c>
    </row>
    <row r="2942" spans="9:12">
      <c r="I2942" s="5">
        <f>IF(OR(A2942="",B2942=""),"",B2942-WEEKDAY(B2942,2)+1)</f>
        <v/>
      </c>
      <c r="J2942" s="5">
        <f>IF(I2942="","",I2942+6)</f>
        <v/>
      </c>
      <c r="K2942" s="6">
        <f>IF(OR(A2942="",B2942=""),"",DATE(YEAR(B2942),MONTH(B2942),1))</f>
        <v/>
      </c>
      <c r="L2942" s="7">
        <f>IF(COUNTA(A2942,B2942)=0,"",IF(OR(A2942="",B2942=""),"Preencher CPF e entrada",IF(COUNTIFS($A$12:$A$5011,A2942,$B$12:$B$5011,B2942)&gt;1,"CPF + dia duplicado",IF(OR(AND(E2942&lt;&gt;"",E2942&lt;B2942),AND(F2942&lt;&gt;"",F2942&lt;B2942)),"Evento anterior à entrada",IF(AND(F2942&lt;&gt;"",E2942=""),"Conversa sem agendamento",IF(OR(E2942&gt;TODAY(),F2942&gt;TODAY()),"Verificar evento futuro","OK"))))))</f>
        <v/>
      </c>
    </row>
    <row r="2943" spans="9:12">
      <c r="I2943" s="5">
        <f>IF(OR(A2943="",B2943=""),"",B2943-WEEKDAY(B2943,2)+1)</f>
        <v/>
      </c>
      <c r="J2943" s="5">
        <f>IF(I2943="","",I2943+6)</f>
        <v/>
      </c>
      <c r="K2943" s="6">
        <f>IF(OR(A2943="",B2943=""),"",DATE(YEAR(B2943),MONTH(B2943),1))</f>
        <v/>
      </c>
      <c r="L2943" s="7">
        <f>IF(COUNTA(A2943,B2943)=0,"",IF(OR(A2943="",B2943=""),"Preencher CPF e entrada",IF(COUNTIFS($A$12:$A$5011,A2943,$B$12:$B$5011,B2943)&gt;1,"CPF + dia duplicado",IF(OR(AND(E2943&lt;&gt;"",E2943&lt;B2943),AND(F2943&lt;&gt;"",F2943&lt;B2943)),"Evento anterior à entrada",IF(AND(F2943&lt;&gt;"",E2943=""),"Conversa sem agendamento",IF(OR(E2943&gt;TODAY(),F2943&gt;TODAY()),"Verificar evento futuro","OK"))))))</f>
        <v/>
      </c>
    </row>
    <row r="2944" spans="9:12">
      <c r="I2944" s="5">
        <f>IF(OR(A2944="",B2944=""),"",B2944-WEEKDAY(B2944,2)+1)</f>
        <v/>
      </c>
      <c r="J2944" s="5">
        <f>IF(I2944="","",I2944+6)</f>
        <v/>
      </c>
      <c r="K2944" s="6">
        <f>IF(OR(A2944="",B2944=""),"",DATE(YEAR(B2944),MONTH(B2944),1))</f>
        <v/>
      </c>
      <c r="L2944" s="7">
        <f>IF(COUNTA(A2944,B2944)=0,"",IF(OR(A2944="",B2944=""),"Preencher CPF e entrada",IF(COUNTIFS($A$12:$A$5011,A2944,$B$12:$B$5011,B2944)&gt;1,"CPF + dia duplicado",IF(OR(AND(E2944&lt;&gt;"",E2944&lt;B2944),AND(F2944&lt;&gt;"",F2944&lt;B2944)),"Evento anterior à entrada",IF(AND(F2944&lt;&gt;"",E2944=""),"Conversa sem agendamento",IF(OR(E2944&gt;TODAY(),F2944&gt;TODAY()),"Verificar evento futuro","OK"))))))</f>
        <v/>
      </c>
    </row>
    <row r="2945" spans="9:12">
      <c r="I2945" s="5">
        <f>IF(OR(A2945="",B2945=""),"",B2945-WEEKDAY(B2945,2)+1)</f>
        <v/>
      </c>
      <c r="J2945" s="5">
        <f>IF(I2945="","",I2945+6)</f>
        <v/>
      </c>
      <c r="K2945" s="6">
        <f>IF(OR(A2945="",B2945=""),"",DATE(YEAR(B2945),MONTH(B2945),1))</f>
        <v/>
      </c>
      <c r="L2945" s="7">
        <f>IF(COUNTA(A2945,B2945)=0,"",IF(OR(A2945="",B2945=""),"Preencher CPF e entrada",IF(COUNTIFS($A$12:$A$5011,A2945,$B$12:$B$5011,B2945)&gt;1,"CPF + dia duplicado",IF(OR(AND(E2945&lt;&gt;"",E2945&lt;B2945),AND(F2945&lt;&gt;"",F2945&lt;B2945)),"Evento anterior à entrada",IF(AND(F2945&lt;&gt;"",E2945=""),"Conversa sem agendamento",IF(OR(E2945&gt;TODAY(),F2945&gt;TODAY()),"Verificar evento futuro","OK"))))))</f>
        <v/>
      </c>
    </row>
    <row r="2946" spans="9:12">
      <c r="I2946" s="5">
        <f>IF(OR(A2946="",B2946=""),"",B2946-WEEKDAY(B2946,2)+1)</f>
        <v/>
      </c>
      <c r="J2946" s="5">
        <f>IF(I2946="","",I2946+6)</f>
        <v/>
      </c>
      <c r="K2946" s="6">
        <f>IF(OR(A2946="",B2946=""),"",DATE(YEAR(B2946),MONTH(B2946),1))</f>
        <v/>
      </c>
      <c r="L2946" s="7">
        <f>IF(COUNTA(A2946,B2946)=0,"",IF(OR(A2946="",B2946=""),"Preencher CPF e entrada",IF(COUNTIFS($A$12:$A$5011,A2946,$B$12:$B$5011,B2946)&gt;1,"CPF + dia duplicado",IF(OR(AND(E2946&lt;&gt;"",E2946&lt;B2946),AND(F2946&lt;&gt;"",F2946&lt;B2946)),"Evento anterior à entrada",IF(AND(F2946&lt;&gt;"",E2946=""),"Conversa sem agendamento",IF(OR(E2946&gt;TODAY(),F2946&gt;TODAY()),"Verificar evento futuro","OK"))))))</f>
        <v/>
      </c>
    </row>
    <row r="2947" spans="9:12">
      <c r="I2947" s="5">
        <f>IF(OR(A2947="",B2947=""),"",B2947-WEEKDAY(B2947,2)+1)</f>
        <v/>
      </c>
      <c r="J2947" s="5">
        <f>IF(I2947="","",I2947+6)</f>
        <v/>
      </c>
      <c r="K2947" s="6">
        <f>IF(OR(A2947="",B2947=""),"",DATE(YEAR(B2947),MONTH(B2947),1))</f>
        <v/>
      </c>
      <c r="L2947" s="7">
        <f>IF(COUNTA(A2947,B2947)=0,"",IF(OR(A2947="",B2947=""),"Preencher CPF e entrada",IF(COUNTIFS($A$12:$A$5011,A2947,$B$12:$B$5011,B2947)&gt;1,"CPF + dia duplicado",IF(OR(AND(E2947&lt;&gt;"",E2947&lt;B2947),AND(F2947&lt;&gt;"",F2947&lt;B2947)),"Evento anterior à entrada",IF(AND(F2947&lt;&gt;"",E2947=""),"Conversa sem agendamento",IF(OR(E2947&gt;TODAY(),F2947&gt;TODAY()),"Verificar evento futuro","OK"))))))</f>
        <v/>
      </c>
    </row>
    <row r="2948" spans="9:12">
      <c r="I2948" s="5">
        <f>IF(OR(A2948="",B2948=""),"",B2948-WEEKDAY(B2948,2)+1)</f>
        <v/>
      </c>
      <c r="J2948" s="5">
        <f>IF(I2948="","",I2948+6)</f>
        <v/>
      </c>
      <c r="K2948" s="6">
        <f>IF(OR(A2948="",B2948=""),"",DATE(YEAR(B2948),MONTH(B2948),1))</f>
        <v/>
      </c>
      <c r="L2948" s="7">
        <f>IF(COUNTA(A2948,B2948)=0,"",IF(OR(A2948="",B2948=""),"Preencher CPF e entrada",IF(COUNTIFS($A$12:$A$5011,A2948,$B$12:$B$5011,B2948)&gt;1,"CPF + dia duplicado",IF(OR(AND(E2948&lt;&gt;"",E2948&lt;B2948),AND(F2948&lt;&gt;"",F2948&lt;B2948)),"Evento anterior à entrada",IF(AND(F2948&lt;&gt;"",E2948=""),"Conversa sem agendamento",IF(OR(E2948&gt;TODAY(),F2948&gt;TODAY()),"Verificar evento futuro","OK"))))))</f>
        <v/>
      </c>
    </row>
    <row r="2949" spans="9:12">
      <c r="I2949" s="5">
        <f>IF(OR(A2949="",B2949=""),"",B2949-WEEKDAY(B2949,2)+1)</f>
        <v/>
      </c>
      <c r="J2949" s="5">
        <f>IF(I2949="","",I2949+6)</f>
        <v/>
      </c>
      <c r="K2949" s="6">
        <f>IF(OR(A2949="",B2949=""),"",DATE(YEAR(B2949),MONTH(B2949),1))</f>
        <v/>
      </c>
      <c r="L2949" s="7">
        <f>IF(COUNTA(A2949,B2949)=0,"",IF(OR(A2949="",B2949=""),"Preencher CPF e entrada",IF(COUNTIFS($A$12:$A$5011,A2949,$B$12:$B$5011,B2949)&gt;1,"CPF + dia duplicado",IF(OR(AND(E2949&lt;&gt;"",E2949&lt;B2949),AND(F2949&lt;&gt;"",F2949&lt;B2949)),"Evento anterior à entrada",IF(AND(F2949&lt;&gt;"",E2949=""),"Conversa sem agendamento",IF(OR(E2949&gt;TODAY(),F2949&gt;TODAY()),"Verificar evento futuro","OK"))))))</f>
        <v/>
      </c>
    </row>
    <row r="2950" spans="9:12">
      <c r="I2950" s="5">
        <f>IF(OR(A2950="",B2950=""),"",B2950-WEEKDAY(B2950,2)+1)</f>
        <v/>
      </c>
      <c r="J2950" s="5">
        <f>IF(I2950="","",I2950+6)</f>
        <v/>
      </c>
      <c r="K2950" s="6">
        <f>IF(OR(A2950="",B2950=""),"",DATE(YEAR(B2950),MONTH(B2950),1))</f>
        <v/>
      </c>
      <c r="L2950" s="7">
        <f>IF(COUNTA(A2950,B2950)=0,"",IF(OR(A2950="",B2950=""),"Preencher CPF e entrada",IF(COUNTIFS($A$12:$A$5011,A2950,$B$12:$B$5011,B2950)&gt;1,"CPF + dia duplicado",IF(OR(AND(E2950&lt;&gt;"",E2950&lt;B2950),AND(F2950&lt;&gt;"",F2950&lt;B2950)),"Evento anterior à entrada",IF(AND(F2950&lt;&gt;"",E2950=""),"Conversa sem agendamento",IF(OR(E2950&gt;TODAY(),F2950&gt;TODAY()),"Verificar evento futuro","OK"))))))</f>
        <v/>
      </c>
    </row>
    <row r="2951" spans="9:12">
      <c r="I2951" s="5">
        <f>IF(OR(A2951="",B2951=""),"",B2951-WEEKDAY(B2951,2)+1)</f>
        <v/>
      </c>
      <c r="J2951" s="5">
        <f>IF(I2951="","",I2951+6)</f>
        <v/>
      </c>
      <c r="K2951" s="6">
        <f>IF(OR(A2951="",B2951=""),"",DATE(YEAR(B2951),MONTH(B2951),1))</f>
        <v/>
      </c>
      <c r="L2951" s="7">
        <f>IF(COUNTA(A2951,B2951)=0,"",IF(OR(A2951="",B2951=""),"Preencher CPF e entrada",IF(COUNTIFS($A$12:$A$5011,A2951,$B$12:$B$5011,B2951)&gt;1,"CPF + dia duplicado",IF(OR(AND(E2951&lt;&gt;"",E2951&lt;B2951),AND(F2951&lt;&gt;"",F2951&lt;B2951)),"Evento anterior à entrada",IF(AND(F2951&lt;&gt;"",E2951=""),"Conversa sem agendamento",IF(OR(E2951&gt;TODAY(),F2951&gt;TODAY()),"Verificar evento futuro","OK"))))))</f>
        <v/>
      </c>
    </row>
    <row r="2952" spans="9:12">
      <c r="I2952" s="5">
        <f>IF(OR(A2952="",B2952=""),"",B2952-WEEKDAY(B2952,2)+1)</f>
        <v/>
      </c>
      <c r="J2952" s="5">
        <f>IF(I2952="","",I2952+6)</f>
        <v/>
      </c>
      <c r="K2952" s="6">
        <f>IF(OR(A2952="",B2952=""),"",DATE(YEAR(B2952),MONTH(B2952),1))</f>
        <v/>
      </c>
      <c r="L2952" s="7">
        <f>IF(COUNTA(A2952,B2952)=0,"",IF(OR(A2952="",B2952=""),"Preencher CPF e entrada",IF(COUNTIFS($A$12:$A$5011,A2952,$B$12:$B$5011,B2952)&gt;1,"CPF + dia duplicado",IF(OR(AND(E2952&lt;&gt;"",E2952&lt;B2952),AND(F2952&lt;&gt;"",F2952&lt;B2952)),"Evento anterior à entrada",IF(AND(F2952&lt;&gt;"",E2952=""),"Conversa sem agendamento",IF(OR(E2952&gt;TODAY(),F2952&gt;TODAY()),"Verificar evento futuro","OK"))))))</f>
        <v/>
      </c>
    </row>
    <row r="2953" spans="9:12">
      <c r="I2953" s="5">
        <f>IF(OR(A2953="",B2953=""),"",B2953-WEEKDAY(B2953,2)+1)</f>
        <v/>
      </c>
      <c r="J2953" s="5">
        <f>IF(I2953="","",I2953+6)</f>
        <v/>
      </c>
      <c r="K2953" s="6">
        <f>IF(OR(A2953="",B2953=""),"",DATE(YEAR(B2953),MONTH(B2953),1))</f>
        <v/>
      </c>
      <c r="L2953" s="7">
        <f>IF(COUNTA(A2953,B2953)=0,"",IF(OR(A2953="",B2953=""),"Preencher CPF e entrada",IF(COUNTIFS($A$12:$A$5011,A2953,$B$12:$B$5011,B2953)&gt;1,"CPF + dia duplicado",IF(OR(AND(E2953&lt;&gt;"",E2953&lt;B2953),AND(F2953&lt;&gt;"",F2953&lt;B2953)),"Evento anterior à entrada",IF(AND(F2953&lt;&gt;"",E2953=""),"Conversa sem agendamento",IF(OR(E2953&gt;TODAY(),F2953&gt;TODAY()),"Verificar evento futuro","OK"))))))</f>
        <v/>
      </c>
    </row>
    <row r="2954" spans="9:12">
      <c r="I2954" s="5">
        <f>IF(OR(A2954="",B2954=""),"",B2954-WEEKDAY(B2954,2)+1)</f>
        <v/>
      </c>
      <c r="J2954" s="5">
        <f>IF(I2954="","",I2954+6)</f>
        <v/>
      </c>
      <c r="K2954" s="6">
        <f>IF(OR(A2954="",B2954=""),"",DATE(YEAR(B2954),MONTH(B2954),1))</f>
        <v/>
      </c>
      <c r="L2954" s="7">
        <f>IF(COUNTA(A2954,B2954)=0,"",IF(OR(A2954="",B2954=""),"Preencher CPF e entrada",IF(COUNTIFS($A$12:$A$5011,A2954,$B$12:$B$5011,B2954)&gt;1,"CPF + dia duplicado",IF(OR(AND(E2954&lt;&gt;"",E2954&lt;B2954),AND(F2954&lt;&gt;"",F2954&lt;B2954)),"Evento anterior à entrada",IF(AND(F2954&lt;&gt;"",E2954=""),"Conversa sem agendamento",IF(OR(E2954&gt;TODAY(),F2954&gt;TODAY()),"Verificar evento futuro","OK"))))))</f>
        <v/>
      </c>
    </row>
    <row r="2955" spans="9:12">
      <c r="I2955" s="5">
        <f>IF(OR(A2955="",B2955=""),"",B2955-WEEKDAY(B2955,2)+1)</f>
        <v/>
      </c>
      <c r="J2955" s="5">
        <f>IF(I2955="","",I2955+6)</f>
        <v/>
      </c>
      <c r="K2955" s="6">
        <f>IF(OR(A2955="",B2955=""),"",DATE(YEAR(B2955),MONTH(B2955),1))</f>
        <v/>
      </c>
      <c r="L2955" s="7">
        <f>IF(COUNTA(A2955,B2955)=0,"",IF(OR(A2955="",B2955=""),"Preencher CPF e entrada",IF(COUNTIFS($A$12:$A$5011,A2955,$B$12:$B$5011,B2955)&gt;1,"CPF + dia duplicado",IF(OR(AND(E2955&lt;&gt;"",E2955&lt;B2955),AND(F2955&lt;&gt;"",F2955&lt;B2955)),"Evento anterior à entrada",IF(AND(F2955&lt;&gt;"",E2955=""),"Conversa sem agendamento",IF(OR(E2955&gt;TODAY(),F2955&gt;TODAY()),"Verificar evento futuro","OK"))))))</f>
        <v/>
      </c>
    </row>
    <row r="2956" spans="9:12">
      <c r="I2956" s="5">
        <f>IF(OR(A2956="",B2956=""),"",B2956-WEEKDAY(B2956,2)+1)</f>
        <v/>
      </c>
      <c r="J2956" s="5">
        <f>IF(I2956="","",I2956+6)</f>
        <v/>
      </c>
      <c r="K2956" s="6">
        <f>IF(OR(A2956="",B2956=""),"",DATE(YEAR(B2956),MONTH(B2956),1))</f>
        <v/>
      </c>
      <c r="L2956" s="7">
        <f>IF(COUNTA(A2956,B2956)=0,"",IF(OR(A2956="",B2956=""),"Preencher CPF e entrada",IF(COUNTIFS($A$12:$A$5011,A2956,$B$12:$B$5011,B2956)&gt;1,"CPF + dia duplicado",IF(OR(AND(E2956&lt;&gt;"",E2956&lt;B2956),AND(F2956&lt;&gt;"",F2956&lt;B2956)),"Evento anterior à entrada",IF(AND(F2956&lt;&gt;"",E2956=""),"Conversa sem agendamento",IF(OR(E2956&gt;TODAY(),F2956&gt;TODAY()),"Verificar evento futuro","OK"))))))</f>
        <v/>
      </c>
    </row>
    <row r="2957" spans="9:12">
      <c r="I2957" s="5">
        <f>IF(OR(A2957="",B2957=""),"",B2957-WEEKDAY(B2957,2)+1)</f>
        <v/>
      </c>
      <c r="J2957" s="5">
        <f>IF(I2957="","",I2957+6)</f>
        <v/>
      </c>
      <c r="K2957" s="6">
        <f>IF(OR(A2957="",B2957=""),"",DATE(YEAR(B2957),MONTH(B2957),1))</f>
        <v/>
      </c>
      <c r="L2957" s="7">
        <f>IF(COUNTA(A2957,B2957)=0,"",IF(OR(A2957="",B2957=""),"Preencher CPF e entrada",IF(COUNTIFS($A$12:$A$5011,A2957,$B$12:$B$5011,B2957)&gt;1,"CPF + dia duplicado",IF(OR(AND(E2957&lt;&gt;"",E2957&lt;B2957),AND(F2957&lt;&gt;"",F2957&lt;B2957)),"Evento anterior à entrada",IF(AND(F2957&lt;&gt;"",E2957=""),"Conversa sem agendamento",IF(OR(E2957&gt;TODAY(),F2957&gt;TODAY()),"Verificar evento futuro","OK"))))))</f>
        <v/>
      </c>
    </row>
    <row r="2958" spans="9:12">
      <c r="I2958" s="5">
        <f>IF(OR(A2958="",B2958=""),"",B2958-WEEKDAY(B2958,2)+1)</f>
        <v/>
      </c>
      <c r="J2958" s="5">
        <f>IF(I2958="","",I2958+6)</f>
        <v/>
      </c>
      <c r="K2958" s="6">
        <f>IF(OR(A2958="",B2958=""),"",DATE(YEAR(B2958),MONTH(B2958),1))</f>
        <v/>
      </c>
      <c r="L2958" s="7">
        <f>IF(COUNTA(A2958,B2958)=0,"",IF(OR(A2958="",B2958=""),"Preencher CPF e entrada",IF(COUNTIFS($A$12:$A$5011,A2958,$B$12:$B$5011,B2958)&gt;1,"CPF + dia duplicado",IF(OR(AND(E2958&lt;&gt;"",E2958&lt;B2958),AND(F2958&lt;&gt;"",F2958&lt;B2958)),"Evento anterior à entrada",IF(AND(F2958&lt;&gt;"",E2958=""),"Conversa sem agendamento",IF(OR(E2958&gt;TODAY(),F2958&gt;TODAY()),"Verificar evento futuro","OK"))))))</f>
        <v/>
      </c>
    </row>
    <row r="2959" spans="9:12">
      <c r="I2959" s="5">
        <f>IF(OR(A2959="",B2959=""),"",B2959-WEEKDAY(B2959,2)+1)</f>
        <v/>
      </c>
      <c r="J2959" s="5">
        <f>IF(I2959="","",I2959+6)</f>
        <v/>
      </c>
      <c r="K2959" s="6">
        <f>IF(OR(A2959="",B2959=""),"",DATE(YEAR(B2959),MONTH(B2959),1))</f>
        <v/>
      </c>
      <c r="L2959" s="7">
        <f>IF(COUNTA(A2959,B2959)=0,"",IF(OR(A2959="",B2959=""),"Preencher CPF e entrada",IF(COUNTIFS($A$12:$A$5011,A2959,$B$12:$B$5011,B2959)&gt;1,"CPF + dia duplicado",IF(OR(AND(E2959&lt;&gt;"",E2959&lt;B2959),AND(F2959&lt;&gt;"",F2959&lt;B2959)),"Evento anterior à entrada",IF(AND(F2959&lt;&gt;"",E2959=""),"Conversa sem agendamento",IF(OR(E2959&gt;TODAY(),F2959&gt;TODAY()),"Verificar evento futuro","OK"))))))</f>
        <v/>
      </c>
    </row>
    <row r="2960" spans="9:12">
      <c r="I2960" s="5">
        <f>IF(OR(A2960="",B2960=""),"",B2960-WEEKDAY(B2960,2)+1)</f>
        <v/>
      </c>
      <c r="J2960" s="5">
        <f>IF(I2960="","",I2960+6)</f>
        <v/>
      </c>
      <c r="K2960" s="6">
        <f>IF(OR(A2960="",B2960=""),"",DATE(YEAR(B2960),MONTH(B2960),1))</f>
        <v/>
      </c>
      <c r="L2960" s="7">
        <f>IF(COUNTA(A2960,B2960)=0,"",IF(OR(A2960="",B2960=""),"Preencher CPF e entrada",IF(COUNTIFS($A$12:$A$5011,A2960,$B$12:$B$5011,B2960)&gt;1,"CPF + dia duplicado",IF(OR(AND(E2960&lt;&gt;"",E2960&lt;B2960),AND(F2960&lt;&gt;"",F2960&lt;B2960)),"Evento anterior à entrada",IF(AND(F2960&lt;&gt;"",E2960=""),"Conversa sem agendamento",IF(OR(E2960&gt;TODAY(),F2960&gt;TODAY()),"Verificar evento futuro","OK"))))))</f>
        <v/>
      </c>
    </row>
    <row r="2961" spans="9:12">
      <c r="I2961" s="5">
        <f>IF(OR(A2961="",B2961=""),"",B2961-WEEKDAY(B2961,2)+1)</f>
        <v/>
      </c>
      <c r="J2961" s="5">
        <f>IF(I2961="","",I2961+6)</f>
        <v/>
      </c>
      <c r="K2961" s="6">
        <f>IF(OR(A2961="",B2961=""),"",DATE(YEAR(B2961),MONTH(B2961),1))</f>
        <v/>
      </c>
      <c r="L2961" s="7">
        <f>IF(COUNTA(A2961,B2961)=0,"",IF(OR(A2961="",B2961=""),"Preencher CPF e entrada",IF(COUNTIFS($A$12:$A$5011,A2961,$B$12:$B$5011,B2961)&gt;1,"CPF + dia duplicado",IF(OR(AND(E2961&lt;&gt;"",E2961&lt;B2961),AND(F2961&lt;&gt;"",F2961&lt;B2961)),"Evento anterior à entrada",IF(AND(F2961&lt;&gt;"",E2961=""),"Conversa sem agendamento",IF(OR(E2961&gt;TODAY(),F2961&gt;TODAY()),"Verificar evento futuro","OK"))))))</f>
        <v/>
      </c>
    </row>
    <row r="2962" spans="9:12">
      <c r="I2962" s="5">
        <f>IF(OR(A2962="",B2962=""),"",B2962-WEEKDAY(B2962,2)+1)</f>
        <v/>
      </c>
      <c r="J2962" s="5">
        <f>IF(I2962="","",I2962+6)</f>
        <v/>
      </c>
      <c r="K2962" s="6">
        <f>IF(OR(A2962="",B2962=""),"",DATE(YEAR(B2962),MONTH(B2962),1))</f>
        <v/>
      </c>
      <c r="L2962" s="7">
        <f>IF(COUNTA(A2962,B2962)=0,"",IF(OR(A2962="",B2962=""),"Preencher CPF e entrada",IF(COUNTIFS($A$12:$A$5011,A2962,$B$12:$B$5011,B2962)&gt;1,"CPF + dia duplicado",IF(OR(AND(E2962&lt;&gt;"",E2962&lt;B2962),AND(F2962&lt;&gt;"",F2962&lt;B2962)),"Evento anterior à entrada",IF(AND(F2962&lt;&gt;"",E2962=""),"Conversa sem agendamento",IF(OR(E2962&gt;TODAY(),F2962&gt;TODAY()),"Verificar evento futuro","OK"))))))</f>
        <v/>
      </c>
    </row>
    <row r="2963" spans="9:12">
      <c r="I2963" s="5">
        <f>IF(OR(A2963="",B2963=""),"",B2963-WEEKDAY(B2963,2)+1)</f>
        <v/>
      </c>
      <c r="J2963" s="5">
        <f>IF(I2963="","",I2963+6)</f>
        <v/>
      </c>
      <c r="K2963" s="6">
        <f>IF(OR(A2963="",B2963=""),"",DATE(YEAR(B2963),MONTH(B2963),1))</f>
        <v/>
      </c>
      <c r="L2963" s="7">
        <f>IF(COUNTA(A2963,B2963)=0,"",IF(OR(A2963="",B2963=""),"Preencher CPF e entrada",IF(COUNTIFS($A$12:$A$5011,A2963,$B$12:$B$5011,B2963)&gt;1,"CPF + dia duplicado",IF(OR(AND(E2963&lt;&gt;"",E2963&lt;B2963),AND(F2963&lt;&gt;"",F2963&lt;B2963)),"Evento anterior à entrada",IF(AND(F2963&lt;&gt;"",E2963=""),"Conversa sem agendamento",IF(OR(E2963&gt;TODAY(),F2963&gt;TODAY()),"Verificar evento futuro","OK"))))))</f>
        <v/>
      </c>
    </row>
    <row r="2964" spans="9:12">
      <c r="I2964" s="5">
        <f>IF(OR(A2964="",B2964=""),"",B2964-WEEKDAY(B2964,2)+1)</f>
        <v/>
      </c>
      <c r="J2964" s="5">
        <f>IF(I2964="","",I2964+6)</f>
        <v/>
      </c>
      <c r="K2964" s="6">
        <f>IF(OR(A2964="",B2964=""),"",DATE(YEAR(B2964),MONTH(B2964),1))</f>
        <v/>
      </c>
      <c r="L2964" s="7">
        <f>IF(COUNTA(A2964,B2964)=0,"",IF(OR(A2964="",B2964=""),"Preencher CPF e entrada",IF(COUNTIFS($A$12:$A$5011,A2964,$B$12:$B$5011,B2964)&gt;1,"CPF + dia duplicado",IF(OR(AND(E2964&lt;&gt;"",E2964&lt;B2964),AND(F2964&lt;&gt;"",F2964&lt;B2964)),"Evento anterior à entrada",IF(AND(F2964&lt;&gt;"",E2964=""),"Conversa sem agendamento",IF(OR(E2964&gt;TODAY(),F2964&gt;TODAY()),"Verificar evento futuro","OK"))))))</f>
        <v/>
      </c>
    </row>
    <row r="2965" spans="9:12">
      <c r="I2965" s="5">
        <f>IF(OR(A2965="",B2965=""),"",B2965-WEEKDAY(B2965,2)+1)</f>
        <v/>
      </c>
      <c r="J2965" s="5">
        <f>IF(I2965="","",I2965+6)</f>
        <v/>
      </c>
      <c r="K2965" s="6">
        <f>IF(OR(A2965="",B2965=""),"",DATE(YEAR(B2965),MONTH(B2965),1))</f>
        <v/>
      </c>
      <c r="L2965" s="7">
        <f>IF(COUNTA(A2965,B2965)=0,"",IF(OR(A2965="",B2965=""),"Preencher CPF e entrada",IF(COUNTIFS($A$12:$A$5011,A2965,$B$12:$B$5011,B2965)&gt;1,"CPF + dia duplicado",IF(OR(AND(E2965&lt;&gt;"",E2965&lt;B2965),AND(F2965&lt;&gt;"",F2965&lt;B2965)),"Evento anterior à entrada",IF(AND(F2965&lt;&gt;"",E2965=""),"Conversa sem agendamento",IF(OR(E2965&gt;TODAY(),F2965&gt;TODAY()),"Verificar evento futuro","OK"))))))</f>
        <v/>
      </c>
    </row>
    <row r="2966" spans="9:12">
      <c r="I2966" s="5">
        <f>IF(OR(A2966="",B2966=""),"",B2966-WEEKDAY(B2966,2)+1)</f>
        <v/>
      </c>
      <c r="J2966" s="5">
        <f>IF(I2966="","",I2966+6)</f>
        <v/>
      </c>
      <c r="K2966" s="6">
        <f>IF(OR(A2966="",B2966=""),"",DATE(YEAR(B2966),MONTH(B2966),1))</f>
        <v/>
      </c>
      <c r="L2966" s="7">
        <f>IF(COUNTA(A2966,B2966)=0,"",IF(OR(A2966="",B2966=""),"Preencher CPF e entrada",IF(COUNTIFS($A$12:$A$5011,A2966,$B$12:$B$5011,B2966)&gt;1,"CPF + dia duplicado",IF(OR(AND(E2966&lt;&gt;"",E2966&lt;B2966),AND(F2966&lt;&gt;"",F2966&lt;B2966)),"Evento anterior à entrada",IF(AND(F2966&lt;&gt;"",E2966=""),"Conversa sem agendamento",IF(OR(E2966&gt;TODAY(),F2966&gt;TODAY()),"Verificar evento futuro","OK"))))))</f>
        <v/>
      </c>
    </row>
    <row r="2967" spans="9:12">
      <c r="I2967" s="5">
        <f>IF(OR(A2967="",B2967=""),"",B2967-WEEKDAY(B2967,2)+1)</f>
        <v/>
      </c>
      <c r="J2967" s="5">
        <f>IF(I2967="","",I2967+6)</f>
        <v/>
      </c>
      <c r="K2967" s="6">
        <f>IF(OR(A2967="",B2967=""),"",DATE(YEAR(B2967),MONTH(B2967),1))</f>
        <v/>
      </c>
      <c r="L2967" s="7">
        <f>IF(COUNTA(A2967,B2967)=0,"",IF(OR(A2967="",B2967=""),"Preencher CPF e entrada",IF(COUNTIFS($A$12:$A$5011,A2967,$B$12:$B$5011,B2967)&gt;1,"CPF + dia duplicado",IF(OR(AND(E2967&lt;&gt;"",E2967&lt;B2967),AND(F2967&lt;&gt;"",F2967&lt;B2967)),"Evento anterior à entrada",IF(AND(F2967&lt;&gt;"",E2967=""),"Conversa sem agendamento",IF(OR(E2967&gt;TODAY(),F2967&gt;TODAY()),"Verificar evento futuro","OK"))))))</f>
        <v/>
      </c>
    </row>
    <row r="2968" spans="9:12">
      <c r="I2968" s="5">
        <f>IF(OR(A2968="",B2968=""),"",B2968-WEEKDAY(B2968,2)+1)</f>
        <v/>
      </c>
      <c r="J2968" s="5">
        <f>IF(I2968="","",I2968+6)</f>
        <v/>
      </c>
      <c r="K2968" s="6">
        <f>IF(OR(A2968="",B2968=""),"",DATE(YEAR(B2968),MONTH(B2968),1))</f>
        <v/>
      </c>
      <c r="L2968" s="7">
        <f>IF(COUNTA(A2968,B2968)=0,"",IF(OR(A2968="",B2968=""),"Preencher CPF e entrada",IF(COUNTIFS($A$12:$A$5011,A2968,$B$12:$B$5011,B2968)&gt;1,"CPF + dia duplicado",IF(OR(AND(E2968&lt;&gt;"",E2968&lt;B2968),AND(F2968&lt;&gt;"",F2968&lt;B2968)),"Evento anterior à entrada",IF(AND(F2968&lt;&gt;"",E2968=""),"Conversa sem agendamento",IF(OR(E2968&gt;TODAY(),F2968&gt;TODAY()),"Verificar evento futuro","OK"))))))</f>
        <v/>
      </c>
    </row>
    <row r="2969" spans="9:12">
      <c r="I2969" s="5">
        <f>IF(OR(A2969="",B2969=""),"",B2969-WEEKDAY(B2969,2)+1)</f>
        <v/>
      </c>
      <c r="J2969" s="5">
        <f>IF(I2969="","",I2969+6)</f>
        <v/>
      </c>
      <c r="K2969" s="6">
        <f>IF(OR(A2969="",B2969=""),"",DATE(YEAR(B2969),MONTH(B2969),1))</f>
        <v/>
      </c>
      <c r="L2969" s="7">
        <f>IF(COUNTA(A2969,B2969)=0,"",IF(OR(A2969="",B2969=""),"Preencher CPF e entrada",IF(COUNTIFS($A$12:$A$5011,A2969,$B$12:$B$5011,B2969)&gt;1,"CPF + dia duplicado",IF(OR(AND(E2969&lt;&gt;"",E2969&lt;B2969),AND(F2969&lt;&gt;"",F2969&lt;B2969)),"Evento anterior à entrada",IF(AND(F2969&lt;&gt;"",E2969=""),"Conversa sem agendamento",IF(OR(E2969&gt;TODAY(),F2969&gt;TODAY()),"Verificar evento futuro","OK"))))))</f>
        <v/>
      </c>
    </row>
    <row r="2970" spans="9:12">
      <c r="I2970" s="5">
        <f>IF(OR(A2970="",B2970=""),"",B2970-WEEKDAY(B2970,2)+1)</f>
        <v/>
      </c>
      <c r="J2970" s="5">
        <f>IF(I2970="","",I2970+6)</f>
        <v/>
      </c>
      <c r="K2970" s="6">
        <f>IF(OR(A2970="",B2970=""),"",DATE(YEAR(B2970),MONTH(B2970),1))</f>
        <v/>
      </c>
      <c r="L2970" s="7">
        <f>IF(COUNTA(A2970,B2970)=0,"",IF(OR(A2970="",B2970=""),"Preencher CPF e entrada",IF(COUNTIFS($A$12:$A$5011,A2970,$B$12:$B$5011,B2970)&gt;1,"CPF + dia duplicado",IF(OR(AND(E2970&lt;&gt;"",E2970&lt;B2970),AND(F2970&lt;&gt;"",F2970&lt;B2970)),"Evento anterior à entrada",IF(AND(F2970&lt;&gt;"",E2970=""),"Conversa sem agendamento",IF(OR(E2970&gt;TODAY(),F2970&gt;TODAY()),"Verificar evento futuro","OK"))))))</f>
        <v/>
      </c>
    </row>
    <row r="2971" spans="9:12">
      <c r="I2971" s="5">
        <f>IF(OR(A2971="",B2971=""),"",B2971-WEEKDAY(B2971,2)+1)</f>
        <v/>
      </c>
      <c r="J2971" s="5">
        <f>IF(I2971="","",I2971+6)</f>
        <v/>
      </c>
      <c r="K2971" s="6">
        <f>IF(OR(A2971="",B2971=""),"",DATE(YEAR(B2971),MONTH(B2971),1))</f>
        <v/>
      </c>
      <c r="L2971" s="7">
        <f>IF(COUNTA(A2971,B2971)=0,"",IF(OR(A2971="",B2971=""),"Preencher CPF e entrada",IF(COUNTIFS($A$12:$A$5011,A2971,$B$12:$B$5011,B2971)&gt;1,"CPF + dia duplicado",IF(OR(AND(E2971&lt;&gt;"",E2971&lt;B2971),AND(F2971&lt;&gt;"",F2971&lt;B2971)),"Evento anterior à entrada",IF(AND(F2971&lt;&gt;"",E2971=""),"Conversa sem agendamento",IF(OR(E2971&gt;TODAY(),F2971&gt;TODAY()),"Verificar evento futuro","OK"))))))</f>
        <v/>
      </c>
    </row>
    <row r="2972" spans="9:12">
      <c r="I2972" s="5">
        <f>IF(OR(A2972="",B2972=""),"",B2972-WEEKDAY(B2972,2)+1)</f>
        <v/>
      </c>
      <c r="J2972" s="5">
        <f>IF(I2972="","",I2972+6)</f>
        <v/>
      </c>
      <c r="K2972" s="6">
        <f>IF(OR(A2972="",B2972=""),"",DATE(YEAR(B2972),MONTH(B2972),1))</f>
        <v/>
      </c>
      <c r="L2972" s="7">
        <f>IF(COUNTA(A2972,B2972)=0,"",IF(OR(A2972="",B2972=""),"Preencher CPF e entrada",IF(COUNTIFS($A$12:$A$5011,A2972,$B$12:$B$5011,B2972)&gt;1,"CPF + dia duplicado",IF(OR(AND(E2972&lt;&gt;"",E2972&lt;B2972),AND(F2972&lt;&gt;"",F2972&lt;B2972)),"Evento anterior à entrada",IF(AND(F2972&lt;&gt;"",E2972=""),"Conversa sem agendamento",IF(OR(E2972&gt;TODAY(),F2972&gt;TODAY()),"Verificar evento futuro","OK"))))))</f>
        <v/>
      </c>
    </row>
    <row r="2973" spans="9:12">
      <c r="I2973" s="5">
        <f>IF(OR(A2973="",B2973=""),"",B2973-WEEKDAY(B2973,2)+1)</f>
        <v/>
      </c>
      <c r="J2973" s="5">
        <f>IF(I2973="","",I2973+6)</f>
        <v/>
      </c>
      <c r="K2973" s="6">
        <f>IF(OR(A2973="",B2973=""),"",DATE(YEAR(B2973),MONTH(B2973),1))</f>
        <v/>
      </c>
      <c r="L2973" s="7">
        <f>IF(COUNTA(A2973,B2973)=0,"",IF(OR(A2973="",B2973=""),"Preencher CPF e entrada",IF(COUNTIFS($A$12:$A$5011,A2973,$B$12:$B$5011,B2973)&gt;1,"CPF + dia duplicado",IF(OR(AND(E2973&lt;&gt;"",E2973&lt;B2973),AND(F2973&lt;&gt;"",F2973&lt;B2973)),"Evento anterior à entrada",IF(AND(F2973&lt;&gt;"",E2973=""),"Conversa sem agendamento",IF(OR(E2973&gt;TODAY(),F2973&gt;TODAY()),"Verificar evento futuro","OK"))))))</f>
        <v/>
      </c>
    </row>
    <row r="2974" spans="9:12">
      <c r="I2974" s="5">
        <f>IF(OR(A2974="",B2974=""),"",B2974-WEEKDAY(B2974,2)+1)</f>
        <v/>
      </c>
      <c r="J2974" s="5">
        <f>IF(I2974="","",I2974+6)</f>
        <v/>
      </c>
      <c r="K2974" s="6">
        <f>IF(OR(A2974="",B2974=""),"",DATE(YEAR(B2974),MONTH(B2974),1))</f>
        <v/>
      </c>
      <c r="L2974" s="7">
        <f>IF(COUNTA(A2974,B2974)=0,"",IF(OR(A2974="",B2974=""),"Preencher CPF e entrada",IF(COUNTIFS($A$12:$A$5011,A2974,$B$12:$B$5011,B2974)&gt;1,"CPF + dia duplicado",IF(OR(AND(E2974&lt;&gt;"",E2974&lt;B2974),AND(F2974&lt;&gt;"",F2974&lt;B2974)),"Evento anterior à entrada",IF(AND(F2974&lt;&gt;"",E2974=""),"Conversa sem agendamento",IF(OR(E2974&gt;TODAY(),F2974&gt;TODAY()),"Verificar evento futuro","OK"))))))</f>
        <v/>
      </c>
    </row>
    <row r="2975" spans="9:12">
      <c r="I2975" s="5">
        <f>IF(OR(A2975="",B2975=""),"",B2975-WEEKDAY(B2975,2)+1)</f>
        <v/>
      </c>
      <c r="J2975" s="5">
        <f>IF(I2975="","",I2975+6)</f>
        <v/>
      </c>
      <c r="K2975" s="6">
        <f>IF(OR(A2975="",B2975=""),"",DATE(YEAR(B2975),MONTH(B2975),1))</f>
        <v/>
      </c>
      <c r="L2975" s="7">
        <f>IF(COUNTA(A2975,B2975)=0,"",IF(OR(A2975="",B2975=""),"Preencher CPF e entrada",IF(COUNTIFS($A$12:$A$5011,A2975,$B$12:$B$5011,B2975)&gt;1,"CPF + dia duplicado",IF(OR(AND(E2975&lt;&gt;"",E2975&lt;B2975),AND(F2975&lt;&gt;"",F2975&lt;B2975)),"Evento anterior à entrada",IF(AND(F2975&lt;&gt;"",E2975=""),"Conversa sem agendamento",IF(OR(E2975&gt;TODAY(),F2975&gt;TODAY()),"Verificar evento futuro","OK"))))))</f>
        <v/>
      </c>
    </row>
    <row r="2976" spans="9:12">
      <c r="I2976" s="5">
        <f>IF(OR(A2976="",B2976=""),"",B2976-WEEKDAY(B2976,2)+1)</f>
        <v/>
      </c>
      <c r="J2976" s="5">
        <f>IF(I2976="","",I2976+6)</f>
        <v/>
      </c>
      <c r="K2976" s="6">
        <f>IF(OR(A2976="",B2976=""),"",DATE(YEAR(B2976),MONTH(B2976),1))</f>
        <v/>
      </c>
      <c r="L2976" s="7">
        <f>IF(COUNTA(A2976,B2976)=0,"",IF(OR(A2976="",B2976=""),"Preencher CPF e entrada",IF(COUNTIFS($A$12:$A$5011,A2976,$B$12:$B$5011,B2976)&gt;1,"CPF + dia duplicado",IF(OR(AND(E2976&lt;&gt;"",E2976&lt;B2976),AND(F2976&lt;&gt;"",F2976&lt;B2976)),"Evento anterior à entrada",IF(AND(F2976&lt;&gt;"",E2976=""),"Conversa sem agendamento",IF(OR(E2976&gt;TODAY(),F2976&gt;TODAY()),"Verificar evento futuro","OK"))))))</f>
        <v/>
      </c>
    </row>
    <row r="2977" spans="9:12">
      <c r="I2977" s="5">
        <f>IF(OR(A2977="",B2977=""),"",B2977-WEEKDAY(B2977,2)+1)</f>
        <v/>
      </c>
      <c r="J2977" s="5">
        <f>IF(I2977="","",I2977+6)</f>
        <v/>
      </c>
      <c r="K2977" s="6">
        <f>IF(OR(A2977="",B2977=""),"",DATE(YEAR(B2977),MONTH(B2977),1))</f>
        <v/>
      </c>
      <c r="L2977" s="7">
        <f>IF(COUNTA(A2977,B2977)=0,"",IF(OR(A2977="",B2977=""),"Preencher CPF e entrada",IF(COUNTIFS($A$12:$A$5011,A2977,$B$12:$B$5011,B2977)&gt;1,"CPF + dia duplicado",IF(OR(AND(E2977&lt;&gt;"",E2977&lt;B2977),AND(F2977&lt;&gt;"",F2977&lt;B2977)),"Evento anterior à entrada",IF(AND(F2977&lt;&gt;"",E2977=""),"Conversa sem agendamento",IF(OR(E2977&gt;TODAY(),F2977&gt;TODAY()),"Verificar evento futuro","OK"))))))</f>
        <v/>
      </c>
    </row>
    <row r="2978" spans="9:12">
      <c r="I2978" s="5">
        <f>IF(OR(A2978="",B2978=""),"",B2978-WEEKDAY(B2978,2)+1)</f>
        <v/>
      </c>
      <c r="J2978" s="5">
        <f>IF(I2978="","",I2978+6)</f>
        <v/>
      </c>
      <c r="K2978" s="6">
        <f>IF(OR(A2978="",B2978=""),"",DATE(YEAR(B2978),MONTH(B2978),1))</f>
        <v/>
      </c>
      <c r="L2978" s="7">
        <f>IF(COUNTA(A2978,B2978)=0,"",IF(OR(A2978="",B2978=""),"Preencher CPF e entrada",IF(COUNTIFS($A$12:$A$5011,A2978,$B$12:$B$5011,B2978)&gt;1,"CPF + dia duplicado",IF(OR(AND(E2978&lt;&gt;"",E2978&lt;B2978),AND(F2978&lt;&gt;"",F2978&lt;B2978)),"Evento anterior à entrada",IF(AND(F2978&lt;&gt;"",E2978=""),"Conversa sem agendamento",IF(OR(E2978&gt;TODAY(),F2978&gt;TODAY()),"Verificar evento futuro","OK"))))))</f>
        <v/>
      </c>
    </row>
    <row r="2979" spans="9:12">
      <c r="I2979" s="5">
        <f>IF(OR(A2979="",B2979=""),"",B2979-WEEKDAY(B2979,2)+1)</f>
        <v/>
      </c>
      <c r="J2979" s="5">
        <f>IF(I2979="","",I2979+6)</f>
        <v/>
      </c>
      <c r="K2979" s="6">
        <f>IF(OR(A2979="",B2979=""),"",DATE(YEAR(B2979),MONTH(B2979),1))</f>
        <v/>
      </c>
      <c r="L2979" s="7">
        <f>IF(COUNTA(A2979,B2979)=0,"",IF(OR(A2979="",B2979=""),"Preencher CPF e entrada",IF(COUNTIFS($A$12:$A$5011,A2979,$B$12:$B$5011,B2979)&gt;1,"CPF + dia duplicado",IF(OR(AND(E2979&lt;&gt;"",E2979&lt;B2979),AND(F2979&lt;&gt;"",F2979&lt;B2979)),"Evento anterior à entrada",IF(AND(F2979&lt;&gt;"",E2979=""),"Conversa sem agendamento",IF(OR(E2979&gt;TODAY(),F2979&gt;TODAY()),"Verificar evento futuro","OK"))))))</f>
        <v/>
      </c>
    </row>
    <row r="2980" spans="9:12">
      <c r="I2980" s="5">
        <f>IF(OR(A2980="",B2980=""),"",B2980-WEEKDAY(B2980,2)+1)</f>
        <v/>
      </c>
      <c r="J2980" s="5">
        <f>IF(I2980="","",I2980+6)</f>
        <v/>
      </c>
      <c r="K2980" s="6">
        <f>IF(OR(A2980="",B2980=""),"",DATE(YEAR(B2980),MONTH(B2980),1))</f>
        <v/>
      </c>
      <c r="L2980" s="7">
        <f>IF(COUNTA(A2980,B2980)=0,"",IF(OR(A2980="",B2980=""),"Preencher CPF e entrada",IF(COUNTIFS($A$12:$A$5011,A2980,$B$12:$B$5011,B2980)&gt;1,"CPF + dia duplicado",IF(OR(AND(E2980&lt;&gt;"",E2980&lt;B2980),AND(F2980&lt;&gt;"",F2980&lt;B2980)),"Evento anterior à entrada",IF(AND(F2980&lt;&gt;"",E2980=""),"Conversa sem agendamento",IF(OR(E2980&gt;TODAY(),F2980&gt;TODAY()),"Verificar evento futuro","OK"))))))</f>
        <v/>
      </c>
    </row>
    <row r="2981" spans="9:12">
      <c r="I2981" s="5">
        <f>IF(OR(A2981="",B2981=""),"",B2981-WEEKDAY(B2981,2)+1)</f>
        <v/>
      </c>
      <c r="J2981" s="5">
        <f>IF(I2981="","",I2981+6)</f>
        <v/>
      </c>
      <c r="K2981" s="6">
        <f>IF(OR(A2981="",B2981=""),"",DATE(YEAR(B2981),MONTH(B2981),1))</f>
        <v/>
      </c>
      <c r="L2981" s="7">
        <f>IF(COUNTA(A2981,B2981)=0,"",IF(OR(A2981="",B2981=""),"Preencher CPF e entrada",IF(COUNTIFS($A$12:$A$5011,A2981,$B$12:$B$5011,B2981)&gt;1,"CPF + dia duplicado",IF(OR(AND(E2981&lt;&gt;"",E2981&lt;B2981),AND(F2981&lt;&gt;"",F2981&lt;B2981)),"Evento anterior à entrada",IF(AND(F2981&lt;&gt;"",E2981=""),"Conversa sem agendamento",IF(OR(E2981&gt;TODAY(),F2981&gt;TODAY()),"Verificar evento futuro","OK"))))))</f>
        <v/>
      </c>
    </row>
    <row r="2982" spans="9:12">
      <c r="I2982" s="5">
        <f>IF(OR(A2982="",B2982=""),"",B2982-WEEKDAY(B2982,2)+1)</f>
        <v/>
      </c>
      <c r="J2982" s="5">
        <f>IF(I2982="","",I2982+6)</f>
        <v/>
      </c>
      <c r="K2982" s="6">
        <f>IF(OR(A2982="",B2982=""),"",DATE(YEAR(B2982),MONTH(B2982),1))</f>
        <v/>
      </c>
      <c r="L2982" s="7">
        <f>IF(COUNTA(A2982,B2982)=0,"",IF(OR(A2982="",B2982=""),"Preencher CPF e entrada",IF(COUNTIFS($A$12:$A$5011,A2982,$B$12:$B$5011,B2982)&gt;1,"CPF + dia duplicado",IF(OR(AND(E2982&lt;&gt;"",E2982&lt;B2982),AND(F2982&lt;&gt;"",F2982&lt;B2982)),"Evento anterior à entrada",IF(AND(F2982&lt;&gt;"",E2982=""),"Conversa sem agendamento",IF(OR(E2982&gt;TODAY(),F2982&gt;TODAY()),"Verificar evento futuro","OK"))))))</f>
        <v/>
      </c>
    </row>
    <row r="2983" spans="9:12">
      <c r="I2983" s="5">
        <f>IF(OR(A2983="",B2983=""),"",B2983-WEEKDAY(B2983,2)+1)</f>
        <v/>
      </c>
      <c r="J2983" s="5">
        <f>IF(I2983="","",I2983+6)</f>
        <v/>
      </c>
      <c r="K2983" s="6">
        <f>IF(OR(A2983="",B2983=""),"",DATE(YEAR(B2983),MONTH(B2983),1))</f>
        <v/>
      </c>
      <c r="L2983" s="7">
        <f>IF(COUNTA(A2983,B2983)=0,"",IF(OR(A2983="",B2983=""),"Preencher CPF e entrada",IF(COUNTIFS($A$12:$A$5011,A2983,$B$12:$B$5011,B2983)&gt;1,"CPF + dia duplicado",IF(OR(AND(E2983&lt;&gt;"",E2983&lt;B2983),AND(F2983&lt;&gt;"",F2983&lt;B2983)),"Evento anterior à entrada",IF(AND(F2983&lt;&gt;"",E2983=""),"Conversa sem agendamento",IF(OR(E2983&gt;TODAY(),F2983&gt;TODAY()),"Verificar evento futuro","OK"))))))</f>
        <v/>
      </c>
    </row>
    <row r="2984" spans="9:12">
      <c r="I2984" s="5">
        <f>IF(OR(A2984="",B2984=""),"",B2984-WEEKDAY(B2984,2)+1)</f>
        <v/>
      </c>
      <c r="J2984" s="5">
        <f>IF(I2984="","",I2984+6)</f>
        <v/>
      </c>
      <c r="K2984" s="6">
        <f>IF(OR(A2984="",B2984=""),"",DATE(YEAR(B2984),MONTH(B2984),1))</f>
        <v/>
      </c>
      <c r="L2984" s="7">
        <f>IF(COUNTA(A2984,B2984)=0,"",IF(OR(A2984="",B2984=""),"Preencher CPF e entrada",IF(COUNTIFS($A$12:$A$5011,A2984,$B$12:$B$5011,B2984)&gt;1,"CPF + dia duplicado",IF(OR(AND(E2984&lt;&gt;"",E2984&lt;B2984),AND(F2984&lt;&gt;"",F2984&lt;B2984)),"Evento anterior à entrada",IF(AND(F2984&lt;&gt;"",E2984=""),"Conversa sem agendamento",IF(OR(E2984&gt;TODAY(),F2984&gt;TODAY()),"Verificar evento futuro","OK"))))))</f>
        <v/>
      </c>
    </row>
    <row r="2985" spans="9:12">
      <c r="I2985" s="5">
        <f>IF(OR(A2985="",B2985=""),"",B2985-WEEKDAY(B2985,2)+1)</f>
        <v/>
      </c>
      <c r="J2985" s="5">
        <f>IF(I2985="","",I2985+6)</f>
        <v/>
      </c>
      <c r="K2985" s="6">
        <f>IF(OR(A2985="",B2985=""),"",DATE(YEAR(B2985),MONTH(B2985),1))</f>
        <v/>
      </c>
      <c r="L2985" s="7">
        <f>IF(COUNTA(A2985,B2985)=0,"",IF(OR(A2985="",B2985=""),"Preencher CPF e entrada",IF(COUNTIFS($A$12:$A$5011,A2985,$B$12:$B$5011,B2985)&gt;1,"CPF + dia duplicado",IF(OR(AND(E2985&lt;&gt;"",E2985&lt;B2985),AND(F2985&lt;&gt;"",F2985&lt;B2985)),"Evento anterior à entrada",IF(AND(F2985&lt;&gt;"",E2985=""),"Conversa sem agendamento",IF(OR(E2985&gt;TODAY(),F2985&gt;TODAY()),"Verificar evento futuro","OK"))))))</f>
        <v/>
      </c>
    </row>
    <row r="2986" spans="9:12">
      <c r="I2986" s="5">
        <f>IF(OR(A2986="",B2986=""),"",B2986-WEEKDAY(B2986,2)+1)</f>
        <v/>
      </c>
      <c r="J2986" s="5">
        <f>IF(I2986="","",I2986+6)</f>
        <v/>
      </c>
      <c r="K2986" s="6">
        <f>IF(OR(A2986="",B2986=""),"",DATE(YEAR(B2986),MONTH(B2986),1))</f>
        <v/>
      </c>
      <c r="L2986" s="7">
        <f>IF(COUNTA(A2986,B2986)=0,"",IF(OR(A2986="",B2986=""),"Preencher CPF e entrada",IF(COUNTIFS($A$12:$A$5011,A2986,$B$12:$B$5011,B2986)&gt;1,"CPF + dia duplicado",IF(OR(AND(E2986&lt;&gt;"",E2986&lt;B2986),AND(F2986&lt;&gt;"",F2986&lt;B2986)),"Evento anterior à entrada",IF(AND(F2986&lt;&gt;"",E2986=""),"Conversa sem agendamento",IF(OR(E2986&gt;TODAY(),F2986&gt;TODAY()),"Verificar evento futuro","OK"))))))</f>
        <v/>
      </c>
    </row>
    <row r="2987" spans="9:12">
      <c r="I2987" s="5">
        <f>IF(OR(A2987="",B2987=""),"",B2987-WEEKDAY(B2987,2)+1)</f>
        <v/>
      </c>
      <c r="J2987" s="5">
        <f>IF(I2987="","",I2987+6)</f>
        <v/>
      </c>
      <c r="K2987" s="6">
        <f>IF(OR(A2987="",B2987=""),"",DATE(YEAR(B2987),MONTH(B2987),1))</f>
        <v/>
      </c>
      <c r="L2987" s="7">
        <f>IF(COUNTA(A2987,B2987)=0,"",IF(OR(A2987="",B2987=""),"Preencher CPF e entrada",IF(COUNTIFS($A$12:$A$5011,A2987,$B$12:$B$5011,B2987)&gt;1,"CPF + dia duplicado",IF(OR(AND(E2987&lt;&gt;"",E2987&lt;B2987),AND(F2987&lt;&gt;"",F2987&lt;B2987)),"Evento anterior à entrada",IF(AND(F2987&lt;&gt;"",E2987=""),"Conversa sem agendamento",IF(OR(E2987&gt;TODAY(),F2987&gt;TODAY()),"Verificar evento futuro","OK"))))))</f>
        <v/>
      </c>
    </row>
    <row r="2988" spans="9:12">
      <c r="I2988" s="5">
        <f>IF(OR(A2988="",B2988=""),"",B2988-WEEKDAY(B2988,2)+1)</f>
        <v/>
      </c>
      <c r="J2988" s="5">
        <f>IF(I2988="","",I2988+6)</f>
        <v/>
      </c>
      <c r="K2988" s="6">
        <f>IF(OR(A2988="",B2988=""),"",DATE(YEAR(B2988),MONTH(B2988),1))</f>
        <v/>
      </c>
      <c r="L2988" s="7">
        <f>IF(COUNTA(A2988,B2988)=0,"",IF(OR(A2988="",B2988=""),"Preencher CPF e entrada",IF(COUNTIFS($A$12:$A$5011,A2988,$B$12:$B$5011,B2988)&gt;1,"CPF + dia duplicado",IF(OR(AND(E2988&lt;&gt;"",E2988&lt;B2988),AND(F2988&lt;&gt;"",F2988&lt;B2988)),"Evento anterior à entrada",IF(AND(F2988&lt;&gt;"",E2988=""),"Conversa sem agendamento",IF(OR(E2988&gt;TODAY(),F2988&gt;TODAY()),"Verificar evento futuro","OK"))))))</f>
        <v/>
      </c>
    </row>
    <row r="2989" spans="9:12">
      <c r="I2989" s="5">
        <f>IF(OR(A2989="",B2989=""),"",B2989-WEEKDAY(B2989,2)+1)</f>
        <v/>
      </c>
      <c r="J2989" s="5">
        <f>IF(I2989="","",I2989+6)</f>
        <v/>
      </c>
      <c r="K2989" s="6">
        <f>IF(OR(A2989="",B2989=""),"",DATE(YEAR(B2989),MONTH(B2989),1))</f>
        <v/>
      </c>
      <c r="L2989" s="7">
        <f>IF(COUNTA(A2989,B2989)=0,"",IF(OR(A2989="",B2989=""),"Preencher CPF e entrada",IF(COUNTIFS($A$12:$A$5011,A2989,$B$12:$B$5011,B2989)&gt;1,"CPF + dia duplicado",IF(OR(AND(E2989&lt;&gt;"",E2989&lt;B2989),AND(F2989&lt;&gt;"",F2989&lt;B2989)),"Evento anterior à entrada",IF(AND(F2989&lt;&gt;"",E2989=""),"Conversa sem agendamento",IF(OR(E2989&gt;TODAY(),F2989&gt;TODAY()),"Verificar evento futuro","OK"))))))</f>
        <v/>
      </c>
    </row>
    <row r="2990" spans="9:12">
      <c r="I2990" s="5">
        <f>IF(OR(A2990="",B2990=""),"",B2990-WEEKDAY(B2990,2)+1)</f>
        <v/>
      </c>
      <c r="J2990" s="5">
        <f>IF(I2990="","",I2990+6)</f>
        <v/>
      </c>
      <c r="K2990" s="6">
        <f>IF(OR(A2990="",B2990=""),"",DATE(YEAR(B2990),MONTH(B2990),1))</f>
        <v/>
      </c>
      <c r="L2990" s="7">
        <f>IF(COUNTA(A2990,B2990)=0,"",IF(OR(A2990="",B2990=""),"Preencher CPF e entrada",IF(COUNTIFS($A$12:$A$5011,A2990,$B$12:$B$5011,B2990)&gt;1,"CPF + dia duplicado",IF(OR(AND(E2990&lt;&gt;"",E2990&lt;B2990),AND(F2990&lt;&gt;"",F2990&lt;B2990)),"Evento anterior à entrada",IF(AND(F2990&lt;&gt;"",E2990=""),"Conversa sem agendamento",IF(OR(E2990&gt;TODAY(),F2990&gt;TODAY()),"Verificar evento futuro","OK"))))))</f>
        <v/>
      </c>
    </row>
    <row r="2991" spans="9:12">
      <c r="I2991" s="5">
        <f>IF(OR(A2991="",B2991=""),"",B2991-WEEKDAY(B2991,2)+1)</f>
        <v/>
      </c>
      <c r="J2991" s="5">
        <f>IF(I2991="","",I2991+6)</f>
        <v/>
      </c>
      <c r="K2991" s="6">
        <f>IF(OR(A2991="",B2991=""),"",DATE(YEAR(B2991),MONTH(B2991),1))</f>
        <v/>
      </c>
      <c r="L2991" s="7">
        <f>IF(COUNTA(A2991,B2991)=0,"",IF(OR(A2991="",B2991=""),"Preencher CPF e entrada",IF(COUNTIFS($A$12:$A$5011,A2991,$B$12:$B$5011,B2991)&gt;1,"CPF + dia duplicado",IF(OR(AND(E2991&lt;&gt;"",E2991&lt;B2991),AND(F2991&lt;&gt;"",F2991&lt;B2991)),"Evento anterior à entrada",IF(AND(F2991&lt;&gt;"",E2991=""),"Conversa sem agendamento",IF(OR(E2991&gt;TODAY(),F2991&gt;TODAY()),"Verificar evento futuro","OK"))))))</f>
        <v/>
      </c>
    </row>
    <row r="2992" spans="9:12">
      <c r="I2992" s="5">
        <f>IF(OR(A2992="",B2992=""),"",B2992-WEEKDAY(B2992,2)+1)</f>
        <v/>
      </c>
      <c r="J2992" s="5">
        <f>IF(I2992="","",I2992+6)</f>
        <v/>
      </c>
      <c r="K2992" s="6">
        <f>IF(OR(A2992="",B2992=""),"",DATE(YEAR(B2992),MONTH(B2992),1))</f>
        <v/>
      </c>
      <c r="L2992" s="7">
        <f>IF(COUNTA(A2992,B2992)=0,"",IF(OR(A2992="",B2992=""),"Preencher CPF e entrada",IF(COUNTIFS($A$12:$A$5011,A2992,$B$12:$B$5011,B2992)&gt;1,"CPF + dia duplicado",IF(OR(AND(E2992&lt;&gt;"",E2992&lt;B2992),AND(F2992&lt;&gt;"",F2992&lt;B2992)),"Evento anterior à entrada",IF(AND(F2992&lt;&gt;"",E2992=""),"Conversa sem agendamento",IF(OR(E2992&gt;TODAY(),F2992&gt;TODAY()),"Verificar evento futuro","OK"))))))</f>
        <v/>
      </c>
    </row>
    <row r="2993" spans="9:12">
      <c r="I2993" s="5">
        <f>IF(OR(A2993="",B2993=""),"",B2993-WEEKDAY(B2993,2)+1)</f>
        <v/>
      </c>
      <c r="J2993" s="5">
        <f>IF(I2993="","",I2993+6)</f>
        <v/>
      </c>
      <c r="K2993" s="6">
        <f>IF(OR(A2993="",B2993=""),"",DATE(YEAR(B2993),MONTH(B2993),1))</f>
        <v/>
      </c>
      <c r="L2993" s="7">
        <f>IF(COUNTA(A2993,B2993)=0,"",IF(OR(A2993="",B2993=""),"Preencher CPF e entrada",IF(COUNTIFS($A$12:$A$5011,A2993,$B$12:$B$5011,B2993)&gt;1,"CPF + dia duplicado",IF(OR(AND(E2993&lt;&gt;"",E2993&lt;B2993),AND(F2993&lt;&gt;"",F2993&lt;B2993)),"Evento anterior à entrada",IF(AND(F2993&lt;&gt;"",E2993=""),"Conversa sem agendamento",IF(OR(E2993&gt;TODAY(),F2993&gt;TODAY()),"Verificar evento futuro","OK"))))))</f>
        <v/>
      </c>
    </row>
    <row r="2994" spans="9:12">
      <c r="I2994" s="5">
        <f>IF(OR(A2994="",B2994=""),"",B2994-WEEKDAY(B2994,2)+1)</f>
        <v/>
      </c>
      <c r="J2994" s="5">
        <f>IF(I2994="","",I2994+6)</f>
        <v/>
      </c>
      <c r="K2994" s="6">
        <f>IF(OR(A2994="",B2994=""),"",DATE(YEAR(B2994),MONTH(B2994),1))</f>
        <v/>
      </c>
      <c r="L2994" s="7">
        <f>IF(COUNTA(A2994,B2994)=0,"",IF(OR(A2994="",B2994=""),"Preencher CPF e entrada",IF(COUNTIFS($A$12:$A$5011,A2994,$B$12:$B$5011,B2994)&gt;1,"CPF + dia duplicado",IF(OR(AND(E2994&lt;&gt;"",E2994&lt;B2994),AND(F2994&lt;&gt;"",F2994&lt;B2994)),"Evento anterior à entrada",IF(AND(F2994&lt;&gt;"",E2994=""),"Conversa sem agendamento",IF(OR(E2994&gt;TODAY(),F2994&gt;TODAY()),"Verificar evento futuro","OK"))))))</f>
        <v/>
      </c>
    </row>
    <row r="2995" spans="9:12">
      <c r="I2995" s="5">
        <f>IF(OR(A2995="",B2995=""),"",B2995-WEEKDAY(B2995,2)+1)</f>
        <v/>
      </c>
      <c r="J2995" s="5">
        <f>IF(I2995="","",I2995+6)</f>
        <v/>
      </c>
      <c r="K2995" s="6">
        <f>IF(OR(A2995="",B2995=""),"",DATE(YEAR(B2995),MONTH(B2995),1))</f>
        <v/>
      </c>
      <c r="L2995" s="7">
        <f>IF(COUNTA(A2995,B2995)=0,"",IF(OR(A2995="",B2995=""),"Preencher CPF e entrada",IF(COUNTIFS($A$12:$A$5011,A2995,$B$12:$B$5011,B2995)&gt;1,"CPF + dia duplicado",IF(OR(AND(E2995&lt;&gt;"",E2995&lt;B2995),AND(F2995&lt;&gt;"",F2995&lt;B2995)),"Evento anterior à entrada",IF(AND(F2995&lt;&gt;"",E2995=""),"Conversa sem agendamento",IF(OR(E2995&gt;TODAY(),F2995&gt;TODAY()),"Verificar evento futuro","OK"))))))</f>
        <v/>
      </c>
    </row>
    <row r="2996" spans="9:12">
      <c r="I2996" s="5">
        <f>IF(OR(A2996="",B2996=""),"",B2996-WEEKDAY(B2996,2)+1)</f>
        <v/>
      </c>
      <c r="J2996" s="5">
        <f>IF(I2996="","",I2996+6)</f>
        <v/>
      </c>
      <c r="K2996" s="6">
        <f>IF(OR(A2996="",B2996=""),"",DATE(YEAR(B2996),MONTH(B2996),1))</f>
        <v/>
      </c>
      <c r="L2996" s="7">
        <f>IF(COUNTA(A2996,B2996)=0,"",IF(OR(A2996="",B2996=""),"Preencher CPF e entrada",IF(COUNTIFS($A$12:$A$5011,A2996,$B$12:$B$5011,B2996)&gt;1,"CPF + dia duplicado",IF(OR(AND(E2996&lt;&gt;"",E2996&lt;B2996),AND(F2996&lt;&gt;"",F2996&lt;B2996)),"Evento anterior à entrada",IF(AND(F2996&lt;&gt;"",E2996=""),"Conversa sem agendamento",IF(OR(E2996&gt;TODAY(),F2996&gt;TODAY()),"Verificar evento futuro","OK"))))))</f>
        <v/>
      </c>
    </row>
    <row r="2997" spans="9:12">
      <c r="I2997" s="5">
        <f>IF(OR(A2997="",B2997=""),"",B2997-WEEKDAY(B2997,2)+1)</f>
        <v/>
      </c>
      <c r="J2997" s="5">
        <f>IF(I2997="","",I2997+6)</f>
        <v/>
      </c>
      <c r="K2997" s="6">
        <f>IF(OR(A2997="",B2997=""),"",DATE(YEAR(B2997),MONTH(B2997),1))</f>
        <v/>
      </c>
      <c r="L2997" s="7">
        <f>IF(COUNTA(A2997,B2997)=0,"",IF(OR(A2997="",B2997=""),"Preencher CPF e entrada",IF(COUNTIFS($A$12:$A$5011,A2997,$B$12:$B$5011,B2997)&gt;1,"CPF + dia duplicado",IF(OR(AND(E2997&lt;&gt;"",E2997&lt;B2997),AND(F2997&lt;&gt;"",F2997&lt;B2997)),"Evento anterior à entrada",IF(AND(F2997&lt;&gt;"",E2997=""),"Conversa sem agendamento",IF(OR(E2997&gt;TODAY(),F2997&gt;TODAY()),"Verificar evento futuro","OK"))))))</f>
        <v/>
      </c>
    </row>
    <row r="2998" spans="9:12">
      <c r="I2998" s="5">
        <f>IF(OR(A2998="",B2998=""),"",B2998-WEEKDAY(B2998,2)+1)</f>
        <v/>
      </c>
      <c r="J2998" s="5">
        <f>IF(I2998="","",I2998+6)</f>
        <v/>
      </c>
      <c r="K2998" s="6">
        <f>IF(OR(A2998="",B2998=""),"",DATE(YEAR(B2998),MONTH(B2998),1))</f>
        <v/>
      </c>
      <c r="L2998" s="7">
        <f>IF(COUNTA(A2998,B2998)=0,"",IF(OR(A2998="",B2998=""),"Preencher CPF e entrada",IF(COUNTIFS($A$12:$A$5011,A2998,$B$12:$B$5011,B2998)&gt;1,"CPF + dia duplicado",IF(OR(AND(E2998&lt;&gt;"",E2998&lt;B2998),AND(F2998&lt;&gt;"",F2998&lt;B2998)),"Evento anterior à entrada",IF(AND(F2998&lt;&gt;"",E2998=""),"Conversa sem agendamento",IF(OR(E2998&gt;TODAY(),F2998&gt;TODAY()),"Verificar evento futuro","OK"))))))</f>
        <v/>
      </c>
    </row>
    <row r="2999" spans="9:12">
      <c r="I2999" s="5">
        <f>IF(OR(A2999="",B2999=""),"",B2999-WEEKDAY(B2999,2)+1)</f>
        <v/>
      </c>
      <c r="J2999" s="5">
        <f>IF(I2999="","",I2999+6)</f>
        <v/>
      </c>
      <c r="K2999" s="6">
        <f>IF(OR(A2999="",B2999=""),"",DATE(YEAR(B2999),MONTH(B2999),1))</f>
        <v/>
      </c>
      <c r="L2999" s="7">
        <f>IF(COUNTA(A2999,B2999)=0,"",IF(OR(A2999="",B2999=""),"Preencher CPF e entrada",IF(COUNTIFS($A$12:$A$5011,A2999,$B$12:$B$5011,B2999)&gt;1,"CPF + dia duplicado",IF(OR(AND(E2999&lt;&gt;"",E2999&lt;B2999),AND(F2999&lt;&gt;"",F2999&lt;B2999)),"Evento anterior à entrada",IF(AND(F2999&lt;&gt;"",E2999=""),"Conversa sem agendamento",IF(OR(E2999&gt;TODAY(),F2999&gt;TODAY()),"Verificar evento futuro","OK"))))))</f>
        <v/>
      </c>
    </row>
    <row r="3000" spans="9:12">
      <c r="I3000" s="5">
        <f>IF(OR(A3000="",B3000=""),"",B3000-WEEKDAY(B3000,2)+1)</f>
        <v/>
      </c>
      <c r="J3000" s="5">
        <f>IF(I3000="","",I3000+6)</f>
        <v/>
      </c>
      <c r="K3000" s="6">
        <f>IF(OR(A3000="",B3000=""),"",DATE(YEAR(B3000),MONTH(B3000),1))</f>
        <v/>
      </c>
      <c r="L3000" s="7">
        <f>IF(COUNTA(A3000,B3000)=0,"",IF(OR(A3000="",B3000=""),"Preencher CPF e entrada",IF(COUNTIFS($A$12:$A$5011,A3000,$B$12:$B$5011,B3000)&gt;1,"CPF + dia duplicado",IF(OR(AND(E3000&lt;&gt;"",E3000&lt;B3000),AND(F3000&lt;&gt;"",F3000&lt;B3000)),"Evento anterior à entrada",IF(AND(F3000&lt;&gt;"",E3000=""),"Conversa sem agendamento",IF(OR(E3000&gt;TODAY(),F3000&gt;TODAY()),"Verificar evento futuro","OK"))))))</f>
        <v/>
      </c>
    </row>
    <row r="3001" spans="9:12">
      <c r="I3001" s="5">
        <f>IF(OR(A3001="",B3001=""),"",B3001-WEEKDAY(B3001,2)+1)</f>
        <v/>
      </c>
      <c r="J3001" s="5">
        <f>IF(I3001="","",I3001+6)</f>
        <v/>
      </c>
      <c r="K3001" s="6">
        <f>IF(OR(A3001="",B3001=""),"",DATE(YEAR(B3001),MONTH(B3001),1))</f>
        <v/>
      </c>
      <c r="L3001" s="7">
        <f>IF(COUNTA(A3001,B3001)=0,"",IF(OR(A3001="",B3001=""),"Preencher CPF e entrada",IF(COUNTIFS($A$12:$A$5011,A3001,$B$12:$B$5011,B3001)&gt;1,"CPF + dia duplicado",IF(OR(AND(E3001&lt;&gt;"",E3001&lt;B3001),AND(F3001&lt;&gt;"",F3001&lt;B3001)),"Evento anterior à entrada",IF(AND(F3001&lt;&gt;"",E3001=""),"Conversa sem agendamento",IF(OR(E3001&gt;TODAY(),F3001&gt;TODAY()),"Verificar evento futuro","OK"))))))</f>
        <v/>
      </c>
    </row>
    <row r="3002" spans="9:12">
      <c r="I3002" s="5">
        <f>IF(OR(A3002="",B3002=""),"",B3002-WEEKDAY(B3002,2)+1)</f>
        <v/>
      </c>
      <c r="J3002" s="5">
        <f>IF(I3002="","",I3002+6)</f>
        <v/>
      </c>
      <c r="K3002" s="6">
        <f>IF(OR(A3002="",B3002=""),"",DATE(YEAR(B3002),MONTH(B3002),1))</f>
        <v/>
      </c>
      <c r="L3002" s="7">
        <f>IF(COUNTA(A3002,B3002)=0,"",IF(OR(A3002="",B3002=""),"Preencher CPF e entrada",IF(COUNTIFS($A$12:$A$5011,A3002,$B$12:$B$5011,B3002)&gt;1,"CPF + dia duplicado",IF(OR(AND(E3002&lt;&gt;"",E3002&lt;B3002),AND(F3002&lt;&gt;"",F3002&lt;B3002)),"Evento anterior à entrada",IF(AND(F3002&lt;&gt;"",E3002=""),"Conversa sem agendamento",IF(OR(E3002&gt;TODAY(),F3002&gt;TODAY()),"Verificar evento futuro","OK"))))))</f>
        <v/>
      </c>
    </row>
    <row r="3003" spans="9:12">
      <c r="I3003" s="5">
        <f>IF(OR(A3003="",B3003=""),"",B3003-WEEKDAY(B3003,2)+1)</f>
        <v/>
      </c>
      <c r="J3003" s="5">
        <f>IF(I3003="","",I3003+6)</f>
        <v/>
      </c>
      <c r="K3003" s="6">
        <f>IF(OR(A3003="",B3003=""),"",DATE(YEAR(B3003),MONTH(B3003),1))</f>
        <v/>
      </c>
      <c r="L3003" s="7">
        <f>IF(COUNTA(A3003,B3003)=0,"",IF(OR(A3003="",B3003=""),"Preencher CPF e entrada",IF(COUNTIFS($A$12:$A$5011,A3003,$B$12:$B$5011,B3003)&gt;1,"CPF + dia duplicado",IF(OR(AND(E3003&lt;&gt;"",E3003&lt;B3003),AND(F3003&lt;&gt;"",F3003&lt;B3003)),"Evento anterior à entrada",IF(AND(F3003&lt;&gt;"",E3003=""),"Conversa sem agendamento",IF(OR(E3003&gt;TODAY(),F3003&gt;TODAY()),"Verificar evento futuro","OK"))))))</f>
        <v/>
      </c>
    </row>
    <row r="3004" spans="9:12">
      <c r="I3004" s="5">
        <f>IF(OR(A3004="",B3004=""),"",B3004-WEEKDAY(B3004,2)+1)</f>
        <v/>
      </c>
      <c r="J3004" s="5">
        <f>IF(I3004="","",I3004+6)</f>
        <v/>
      </c>
      <c r="K3004" s="6">
        <f>IF(OR(A3004="",B3004=""),"",DATE(YEAR(B3004),MONTH(B3004),1))</f>
        <v/>
      </c>
      <c r="L3004" s="7">
        <f>IF(COUNTA(A3004,B3004)=0,"",IF(OR(A3004="",B3004=""),"Preencher CPF e entrada",IF(COUNTIFS($A$12:$A$5011,A3004,$B$12:$B$5011,B3004)&gt;1,"CPF + dia duplicado",IF(OR(AND(E3004&lt;&gt;"",E3004&lt;B3004),AND(F3004&lt;&gt;"",F3004&lt;B3004)),"Evento anterior à entrada",IF(AND(F3004&lt;&gt;"",E3004=""),"Conversa sem agendamento",IF(OR(E3004&gt;TODAY(),F3004&gt;TODAY()),"Verificar evento futuro","OK"))))))</f>
        <v/>
      </c>
    </row>
    <row r="3005" spans="9:12">
      <c r="I3005" s="5">
        <f>IF(OR(A3005="",B3005=""),"",B3005-WEEKDAY(B3005,2)+1)</f>
        <v/>
      </c>
      <c r="J3005" s="5">
        <f>IF(I3005="","",I3005+6)</f>
        <v/>
      </c>
      <c r="K3005" s="6">
        <f>IF(OR(A3005="",B3005=""),"",DATE(YEAR(B3005),MONTH(B3005),1))</f>
        <v/>
      </c>
      <c r="L3005" s="7">
        <f>IF(COUNTA(A3005,B3005)=0,"",IF(OR(A3005="",B3005=""),"Preencher CPF e entrada",IF(COUNTIFS($A$12:$A$5011,A3005,$B$12:$B$5011,B3005)&gt;1,"CPF + dia duplicado",IF(OR(AND(E3005&lt;&gt;"",E3005&lt;B3005),AND(F3005&lt;&gt;"",F3005&lt;B3005)),"Evento anterior à entrada",IF(AND(F3005&lt;&gt;"",E3005=""),"Conversa sem agendamento",IF(OR(E3005&gt;TODAY(),F3005&gt;TODAY()),"Verificar evento futuro","OK"))))))</f>
        <v/>
      </c>
    </row>
    <row r="3006" spans="9:12">
      <c r="I3006" s="5">
        <f>IF(OR(A3006="",B3006=""),"",B3006-WEEKDAY(B3006,2)+1)</f>
        <v/>
      </c>
      <c r="J3006" s="5">
        <f>IF(I3006="","",I3006+6)</f>
        <v/>
      </c>
      <c r="K3006" s="6">
        <f>IF(OR(A3006="",B3006=""),"",DATE(YEAR(B3006),MONTH(B3006),1))</f>
        <v/>
      </c>
      <c r="L3006" s="7">
        <f>IF(COUNTA(A3006,B3006)=0,"",IF(OR(A3006="",B3006=""),"Preencher CPF e entrada",IF(COUNTIFS($A$12:$A$5011,A3006,$B$12:$B$5011,B3006)&gt;1,"CPF + dia duplicado",IF(OR(AND(E3006&lt;&gt;"",E3006&lt;B3006),AND(F3006&lt;&gt;"",F3006&lt;B3006)),"Evento anterior à entrada",IF(AND(F3006&lt;&gt;"",E3006=""),"Conversa sem agendamento",IF(OR(E3006&gt;TODAY(),F3006&gt;TODAY()),"Verificar evento futuro","OK"))))))</f>
        <v/>
      </c>
    </row>
    <row r="3007" spans="9:12">
      <c r="I3007" s="5">
        <f>IF(OR(A3007="",B3007=""),"",B3007-WEEKDAY(B3007,2)+1)</f>
        <v/>
      </c>
      <c r="J3007" s="5">
        <f>IF(I3007="","",I3007+6)</f>
        <v/>
      </c>
      <c r="K3007" s="6">
        <f>IF(OR(A3007="",B3007=""),"",DATE(YEAR(B3007),MONTH(B3007),1))</f>
        <v/>
      </c>
      <c r="L3007" s="7">
        <f>IF(COUNTA(A3007,B3007)=0,"",IF(OR(A3007="",B3007=""),"Preencher CPF e entrada",IF(COUNTIFS($A$12:$A$5011,A3007,$B$12:$B$5011,B3007)&gt;1,"CPF + dia duplicado",IF(OR(AND(E3007&lt;&gt;"",E3007&lt;B3007),AND(F3007&lt;&gt;"",F3007&lt;B3007)),"Evento anterior à entrada",IF(AND(F3007&lt;&gt;"",E3007=""),"Conversa sem agendamento",IF(OR(E3007&gt;TODAY(),F3007&gt;TODAY()),"Verificar evento futuro","OK"))))))</f>
        <v/>
      </c>
    </row>
    <row r="3008" spans="9:12">
      <c r="I3008" s="5">
        <f>IF(OR(A3008="",B3008=""),"",B3008-WEEKDAY(B3008,2)+1)</f>
        <v/>
      </c>
      <c r="J3008" s="5">
        <f>IF(I3008="","",I3008+6)</f>
        <v/>
      </c>
      <c r="K3008" s="6">
        <f>IF(OR(A3008="",B3008=""),"",DATE(YEAR(B3008),MONTH(B3008),1))</f>
        <v/>
      </c>
      <c r="L3008" s="7">
        <f>IF(COUNTA(A3008,B3008)=0,"",IF(OR(A3008="",B3008=""),"Preencher CPF e entrada",IF(COUNTIFS($A$12:$A$5011,A3008,$B$12:$B$5011,B3008)&gt;1,"CPF + dia duplicado",IF(OR(AND(E3008&lt;&gt;"",E3008&lt;B3008),AND(F3008&lt;&gt;"",F3008&lt;B3008)),"Evento anterior à entrada",IF(AND(F3008&lt;&gt;"",E3008=""),"Conversa sem agendamento",IF(OR(E3008&gt;TODAY(),F3008&gt;TODAY()),"Verificar evento futuro","OK"))))))</f>
        <v/>
      </c>
    </row>
    <row r="3009" spans="9:12">
      <c r="I3009" s="5">
        <f>IF(OR(A3009="",B3009=""),"",B3009-WEEKDAY(B3009,2)+1)</f>
        <v/>
      </c>
      <c r="J3009" s="5">
        <f>IF(I3009="","",I3009+6)</f>
        <v/>
      </c>
      <c r="K3009" s="6">
        <f>IF(OR(A3009="",B3009=""),"",DATE(YEAR(B3009),MONTH(B3009),1))</f>
        <v/>
      </c>
      <c r="L3009" s="7">
        <f>IF(COUNTA(A3009,B3009)=0,"",IF(OR(A3009="",B3009=""),"Preencher CPF e entrada",IF(COUNTIFS($A$12:$A$5011,A3009,$B$12:$B$5011,B3009)&gt;1,"CPF + dia duplicado",IF(OR(AND(E3009&lt;&gt;"",E3009&lt;B3009),AND(F3009&lt;&gt;"",F3009&lt;B3009)),"Evento anterior à entrada",IF(AND(F3009&lt;&gt;"",E3009=""),"Conversa sem agendamento",IF(OR(E3009&gt;TODAY(),F3009&gt;TODAY()),"Verificar evento futuro","OK"))))))</f>
        <v/>
      </c>
    </row>
    <row r="3010" spans="9:12">
      <c r="I3010" s="5">
        <f>IF(OR(A3010="",B3010=""),"",B3010-WEEKDAY(B3010,2)+1)</f>
        <v/>
      </c>
      <c r="J3010" s="5">
        <f>IF(I3010="","",I3010+6)</f>
        <v/>
      </c>
      <c r="K3010" s="6">
        <f>IF(OR(A3010="",B3010=""),"",DATE(YEAR(B3010),MONTH(B3010),1))</f>
        <v/>
      </c>
      <c r="L3010" s="7">
        <f>IF(COUNTA(A3010,B3010)=0,"",IF(OR(A3010="",B3010=""),"Preencher CPF e entrada",IF(COUNTIFS($A$12:$A$5011,A3010,$B$12:$B$5011,B3010)&gt;1,"CPF + dia duplicado",IF(OR(AND(E3010&lt;&gt;"",E3010&lt;B3010),AND(F3010&lt;&gt;"",F3010&lt;B3010)),"Evento anterior à entrada",IF(AND(F3010&lt;&gt;"",E3010=""),"Conversa sem agendamento",IF(OR(E3010&gt;TODAY(),F3010&gt;TODAY()),"Verificar evento futuro","OK"))))))</f>
        <v/>
      </c>
    </row>
    <row r="3011" spans="9:12">
      <c r="I3011" s="5">
        <f>IF(OR(A3011="",B3011=""),"",B3011-WEEKDAY(B3011,2)+1)</f>
        <v/>
      </c>
      <c r="J3011" s="5">
        <f>IF(I3011="","",I3011+6)</f>
        <v/>
      </c>
      <c r="K3011" s="6">
        <f>IF(OR(A3011="",B3011=""),"",DATE(YEAR(B3011),MONTH(B3011),1))</f>
        <v/>
      </c>
      <c r="L3011" s="7">
        <f>IF(COUNTA(A3011,B3011)=0,"",IF(OR(A3011="",B3011=""),"Preencher CPF e entrada",IF(COUNTIFS($A$12:$A$5011,A3011,$B$12:$B$5011,B3011)&gt;1,"CPF + dia duplicado",IF(OR(AND(E3011&lt;&gt;"",E3011&lt;B3011),AND(F3011&lt;&gt;"",F3011&lt;B3011)),"Evento anterior à entrada",IF(AND(F3011&lt;&gt;"",E3011=""),"Conversa sem agendamento",IF(OR(E3011&gt;TODAY(),F3011&gt;TODAY()),"Verificar evento futuro","OK"))))))</f>
        <v/>
      </c>
    </row>
    <row r="3012" spans="9:12">
      <c r="I3012" s="5">
        <f>IF(OR(A3012="",B3012=""),"",B3012-WEEKDAY(B3012,2)+1)</f>
        <v/>
      </c>
      <c r="J3012" s="5">
        <f>IF(I3012="","",I3012+6)</f>
        <v/>
      </c>
      <c r="K3012" s="6">
        <f>IF(OR(A3012="",B3012=""),"",DATE(YEAR(B3012),MONTH(B3012),1))</f>
        <v/>
      </c>
      <c r="L3012" s="7">
        <f>IF(COUNTA(A3012,B3012)=0,"",IF(OR(A3012="",B3012=""),"Preencher CPF e entrada",IF(COUNTIFS($A$12:$A$5011,A3012,$B$12:$B$5011,B3012)&gt;1,"CPF + dia duplicado",IF(OR(AND(E3012&lt;&gt;"",E3012&lt;B3012),AND(F3012&lt;&gt;"",F3012&lt;B3012)),"Evento anterior à entrada",IF(AND(F3012&lt;&gt;"",E3012=""),"Conversa sem agendamento",IF(OR(E3012&gt;TODAY(),F3012&gt;TODAY()),"Verificar evento futuro","OK"))))))</f>
        <v/>
      </c>
    </row>
    <row r="3013" spans="9:12">
      <c r="I3013" s="5">
        <f>IF(OR(A3013="",B3013=""),"",B3013-WEEKDAY(B3013,2)+1)</f>
        <v/>
      </c>
      <c r="J3013" s="5">
        <f>IF(I3013="","",I3013+6)</f>
        <v/>
      </c>
      <c r="K3013" s="6">
        <f>IF(OR(A3013="",B3013=""),"",DATE(YEAR(B3013),MONTH(B3013),1))</f>
        <v/>
      </c>
      <c r="L3013" s="7">
        <f>IF(COUNTA(A3013,B3013)=0,"",IF(OR(A3013="",B3013=""),"Preencher CPF e entrada",IF(COUNTIFS($A$12:$A$5011,A3013,$B$12:$B$5011,B3013)&gt;1,"CPF + dia duplicado",IF(OR(AND(E3013&lt;&gt;"",E3013&lt;B3013),AND(F3013&lt;&gt;"",F3013&lt;B3013)),"Evento anterior à entrada",IF(AND(F3013&lt;&gt;"",E3013=""),"Conversa sem agendamento",IF(OR(E3013&gt;TODAY(),F3013&gt;TODAY()),"Verificar evento futuro","OK"))))))</f>
        <v/>
      </c>
    </row>
    <row r="3014" spans="9:12">
      <c r="I3014" s="5">
        <f>IF(OR(A3014="",B3014=""),"",B3014-WEEKDAY(B3014,2)+1)</f>
        <v/>
      </c>
      <c r="J3014" s="5">
        <f>IF(I3014="","",I3014+6)</f>
        <v/>
      </c>
      <c r="K3014" s="6">
        <f>IF(OR(A3014="",B3014=""),"",DATE(YEAR(B3014),MONTH(B3014),1))</f>
        <v/>
      </c>
      <c r="L3014" s="7">
        <f>IF(COUNTA(A3014,B3014)=0,"",IF(OR(A3014="",B3014=""),"Preencher CPF e entrada",IF(COUNTIFS($A$12:$A$5011,A3014,$B$12:$B$5011,B3014)&gt;1,"CPF + dia duplicado",IF(OR(AND(E3014&lt;&gt;"",E3014&lt;B3014),AND(F3014&lt;&gt;"",F3014&lt;B3014)),"Evento anterior à entrada",IF(AND(F3014&lt;&gt;"",E3014=""),"Conversa sem agendamento",IF(OR(E3014&gt;TODAY(),F3014&gt;TODAY()),"Verificar evento futuro","OK"))))))</f>
        <v/>
      </c>
    </row>
    <row r="3015" spans="9:12">
      <c r="I3015" s="5">
        <f>IF(OR(A3015="",B3015=""),"",B3015-WEEKDAY(B3015,2)+1)</f>
        <v/>
      </c>
      <c r="J3015" s="5">
        <f>IF(I3015="","",I3015+6)</f>
        <v/>
      </c>
      <c r="K3015" s="6">
        <f>IF(OR(A3015="",B3015=""),"",DATE(YEAR(B3015),MONTH(B3015),1))</f>
        <v/>
      </c>
      <c r="L3015" s="7">
        <f>IF(COUNTA(A3015,B3015)=0,"",IF(OR(A3015="",B3015=""),"Preencher CPF e entrada",IF(COUNTIFS($A$12:$A$5011,A3015,$B$12:$B$5011,B3015)&gt;1,"CPF + dia duplicado",IF(OR(AND(E3015&lt;&gt;"",E3015&lt;B3015),AND(F3015&lt;&gt;"",F3015&lt;B3015)),"Evento anterior à entrada",IF(AND(F3015&lt;&gt;"",E3015=""),"Conversa sem agendamento",IF(OR(E3015&gt;TODAY(),F3015&gt;TODAY()),"Verificar evento futuro","OK"))))))</f>
        <v/>
      </c>
    </row>
    <row r="3016" spans="9:12">
      <c r="I3016" s="5">
        <f>IF(OR(A3016="",B3016=""),"",B3016-WEEKDAY(B3016,2)+1)</f>
        <v/>
      </c>
      <c r="J3016" s="5">
        <f>IF(I3016="","",I3016+6)</f>
        <v/>
      </c>
      <c r="K3016" s="6">
        <f>IF(OR(A3016="",B3016=""),"",DATE(YEAR(B3016),MONTH(B3016),1))</f>
        <v/>
      </c>
      <c r="L3016" s="7">
        <f>IF(COUNTA(A3016,B3016)=0,"",IF(OR(A3016="",B3016=""),"Preencher CPF e entrada",IF(COUNTIFS($A$12:$A$5011,A3016,$B$12:$B$5011,B3016)&gt;1,"CPF + dia duplicado",IF(OR(AND(E3016&lt;&gt;"",E3016&lt;B3016),AND(F3016&lt;&gt;"",F3016&lt;B3016)),"Evento anterior à entrada",IF(AND(F3016&lt;&gt;"",E3016=""),"Conversa sem agendamento",IF(OR(E3016&gt;TODAY(),F3016&gt;TODAY()),"Verificar evento futuro","OK"))))))</f>
        <v/>
      </c>
    </row>
    <row r="3017" spans="9:12">
      <c r="I3017" s="5">
        <f>IF(OR(A3017="",B3017=""),"",B3017-WEEKDAY(B3017,2)+1)</f>
        <v/>
      </c>
      <c r="J3017" s="5">
        <f>IF(I3017="","",I3017+6)</f>
        <v/>
      </c>
      <c r="K3017" s="6">
        <f>IF(OR(A3017="",B3017=""),"",DATE(YEAR(B3017),MONTH(B3017),1))</f>
        <v/>
      </c>
      <c r="L3017" s="7">
        <f>IF(COUNTA(A3017,B3017)=0,"",IF(OR(A3017="",B3017=""),"Preencher CPF e entrada",IF(COUNTIFS($A$12:$A$5011,A3017,$B$12:$B$5011,B3017)&gt;1,"CPF + dia duplicado",IF(OR(AND(E3017&lt;&gt;"",E3017&lt;B3017),AND(F3017&lt;&gt;"",F3017&lt;B3017)),"Evento anterior à entrada",IF(AND(F3017&lt;&gt;"",E3017=""),"Conversa sem agendamento",IF(OR(E3017&gt;TODAY(),F3017&gt;TODAY()),"Verificar evento futuro","OK"))))))</f>
        <v/>
      </c>
    </row>
    <row r="3018" spans="9:12">
      <c r="I3018" s="5">
        <f>IF(OR(A3018="",B3018=""),"",B3018-WEEKDAY(B3018,2)+1)</f>
        <v/>
      </c>
      <c r="J3018" s="5">
        <f>IF(I3018="","",I3018+6)</f>
        <v/>
      </c>
      <c r="K3018" s="6">
        <f>IF(OR(A3018="",B3018=""),"",DATE(YEAR(B3018),MONTH(B3018),1))</f>
        <v/>
      </c>
      <c r="L3018" s="7">
        <f>IF(COUNTA(A3018,B3018)=0,"",IF(OR(A3018="",B3018=""),"Preencher CPF e entrada",IF(COUNTIFS($A$12:$A$5011,A3018,$B$12:$B$5011,B3018)&gt;1,"CPF + dia duplicado",IF(OR(AND(E3018&lt;&gt;"",E3018&lt;B3018),AND(F3018&lt;&gt;"",F3018&lt;B3018)),"Evento anterior à entrada",IF(AND(F3018&lt;&gt;"",E3018=""),"Conversa sem agendamento",IF(OR(E3018&gt;TODAY(),F3018&gt;TODAY()),"Verificar evento futuro","OK"))))))</f>
        <v/>
      </c>
    </row>
    <row r="3019" spans="9:12">
      <c r="I3019" s="5">
        <f>IF(OR(A3019="",B3019=""),"",B3019-WEEKDAY(B3019,2)+1)</f>
        <v/>
      </c>
      <c r="J3019" s="5">
        <f>IF(I3019="","",I3019+6)</f>
        <v/>
      </c>
      <c r="K3019" s="6">
        <f>IF(OR(A3019="",B3019=""),"",DATE(YEAR(B3019),MONTH(B3019),1))</f>
        <v/>
      </c>
      <c r="L3019" s="7">
        <f>IF(COUNTA(A3019,B3019)=0,"",IF(OR(A3019="",B3019=""),"Preencher CPF e entrada",IF(COUNTIFS($A$12:$A$5011,A3019,$B$12:$B$5011,B3019)&gt;1,"CPF + dia duplicado",IF(OR(AND(E3019&lt;&gt;"",E3019&lt;B3019),AND(F3019&lt;&gt;"",F3019&lt;B3019)),"Evento anterior à entrada",IF(AND(F3019&lt;&gt;"",E3019=""),"Conversa sem agendamento",IF(OR(E3019&gt;TODAY(),F3019&gt;TODAY()),"Verificar evento futuro","OK"))))))</f>
        <v/>
      </c>
    </row>
    <row r="3020" spans="9:12">
      <c r="I3020" s="5">
        <f>IF(OR(A3020="",B3020=""),"",B3020-WEEKDAY(B3020,2)+1)</f>
        <v/>
      </c>
      <c r="J3020" s="5">
        <f>IF(I3020="","",I3020+6)</f>
        <v/>
      </c>
      <c r="K3020" s="6">
        <f>IF(OR(A3020="",B3020=""),"",DATE(YEAR(B3020),MONTH(B3020),1))</f>
        <v/>
      </c>
      <c r="L3020" s="7">
        <f>IF(COUNTA(A3020,B3020)=0,"",IF(OR(A3020="",B3020=""),"Preencher CPF e entrada",IF(COUNTIFS($A$12:$A$5011,A3020,$B$12:$B$5011,B3020)&gt;1,"CPF + dia duplicado",IF(OR(AND(E3020&lt;&gt;"",E3020&lt;B3020),AND(F3020&lt;&gt;"",F3020&lt;B3020)),"Evento anterior à entrada",IF(AND(F3020&lt;&gt;"",E3020=""),"Conversa sem agendamento",IF(OR(E3020&gt;TODAY(),F3020&gt;TODAY()),"Verificar evento futuro","OK"))))))</f>
        <v/>
      </c>
    </row>
    <row r="3021" spans="9:12">
      <c r="I3021" s="5">
        <f>IF(OR(A3021="",B3021=""),"",B3021-WEEKDAY(B3021,2)+1)</f>
        <v/>
      </c>
      <c r="J3021" s="5">
        <f>IF(I3021="","",I3021+6)</f>
        <v/>
      </c>
      <c r="K3021" s="6">
        <f>IF(OR(A3021="",B3021=""),"",DATE(YEAR(B3021),MONTH(B3021),1))</f>
        <v/>
      </c>
      <c r="L3021" s="7">
        <f>IF(COUNTA(A3021,B3021)=0,"",IF(OR(A3021="",B3021=""),"Preencher CPF e entrada",IF(COUNTIFS($A$12:$A$5011,A3021,$B$12:$B$5011,B3021)&gt;1,"CPF + dia duplicado",IF(OR(AND(E3021&lt;&gt;"",E3021&lt;B3021),AND(F3021&lt;&gt;"",F3021&lt;B3021)),"Evento anterior à entrada",IF(AND(F3021&lt;&gt;"",E3021=""),"Conversa sem agendamento",IF(OR(E3021&gt;TODAY(),F3021&gt;TODAY()),"Verificar evento futuro","OK"))))))</f>
        <v/>
      </c>
    </row>
    <row r="3022" spans="9:12">
      <c r="I3022" s="5">
        <f>IF(OR(A3022="",B3022=""),"",B3022-WEEKDAY(B3022,2)+1)</f>
        <v/>
      </c>
      <c r="J3022" s="5">
        <f>IF(I3022="","",I3022+6)</f>
        <v/>
      </c>
      <c r="K3022" s="6">
        <f>IF(OR(A3022="",B3022=""),"",DATE(YEAR(B3022),MONTH(B3022),1))</f>
        <v/>
      </c>
      <c r="L3022" s="7">
        <f>IF(COUNTA(A3022,B3022)=0,"",IF(OR(A3022="",B3022=""),"Preencher CPF e entrada",IF(COUNTIFS($A$12:$A$5011,A3022,$B$12:$B$5011,B3022)&gt;1,"CPF + dia duplicado",IF(OR(AND(E3022&lt;&gt;"",E3022&lt;B3022),AND(F3022&lt;&gt;"",F3022&lt;B3022)),"Evento anterior à entrada",IF(AND(F3022&lt;&gt;"",E3022=""),"Conversa sem agendamento",IF(OR(E3022&gt;TODAY(),F3022&gt;TODAY()),"Verificar evento futuro","OK"))))))</f>
        <v/>
      </c>
    </row>
    <row r="3023" spans="9:12">
      <c r="I3023" s="5">
        <f>IF(OR(A3023="",B3023=""),"",B3023-WEEKDAY(B3023,2)+1)</f>
        <v/>
      </c>
      <c r="J3023" s="5">
        <f>IF(I3023="","",I3023+6)</f>
        <v/>
      </c>
      <c r="K3023" s="6">
        <f>IF(OR(A3023="",B3023=""),"",DATE(YEAR(B3023),MONTH(B3023),1))</f>
        <v/>
      </c>
      <c r="L3023" s="7">
        <f>IF(COUNTA(A3023,B3023)=0,"",IF(OR(A3023="",B3023=""),"Preencher CPF e entrada",IF(COUNTIFS($A$12:$A$5011,A3023,$B$12:$B$5011,B3023)&gt;1,"CPF + dia duplicado",IF(OR(AND(E3023&lt;&gt;"",E3023&lt;B3023),AND(F3023&lt;&gt;"",F3023&lt;B3023)),"Evento anterior à entrada",IF(AND(F3023&lt;&gt;"",E3023=""),"Conversa sem agendamento",IF(OR(E3023&gt;TODAY(),F3023&gt;TODAY()),"Verificar evento futuro","OK"))))))</f>
        <v/>
      </c>
    </row>
    <row r="3024" spans="9:12">
      <c r="I3024" s="5">
        <f>IF(OR(A3024="",B3024=""),"",B3024-WEEKDAY(B3024,2)+1)</f>
        <v/>
      </c>
      <c r="J3024" s="5">
        <f>IF(I3024="","",I3024+6)</f>
        <v/>
      </c>
      <c r="K3024" s="6">
        <f>IF(OR(A3024="",B3024=""),"",DATE(YEAR(B3024),MONTH(B3024),1))</f>
        <v/>
      </c>
      <c r="L3024" s="7">
        <f>IF(COUNTA(A3024,B3024)=0,"",IF(OR(A3024="",B3024=""),"Preencher CPF e entrada",IF(COUNTIFS($A$12:$A$5011,A3024,$B$12:$B$5011,B3024)&gt;1,"CPF + dia duplicado",IF(OR(AND(E3024&lt;&gt;"",E3024&lt;B3024),AND(F3024&lt;&gt;"",F3024&lt;B3024)),"Evento anterior à entrada",IF(AND(F3024&lt;&gt;"",E3024=""),"Conversa sem agendamento",IF(OR(E3024&gt;TODAY(),F3024&gt;TODAY()),"Verificar evento futuro","OK"))))))</f>
        <v/>
      </c>
    </row>
    <row r="3025" spans="9:12">
      <c r="I3025" s="5">
        <f>IF(OR(A3025="",B3025=""),"",B3025-WEEKDAY(B3025,2)+1)</f>
        <v/>
      </c>
      <c r="J3025" s="5">
        <f>IF(I3025="","",I3025+6)</f>
        <v/>
      </c>
      <c r="K3025" s="6">
        <f>IF(OR(A3025="",B3025=""),"",DATE(YEAR(B3025),MONTH(B3025),1))</f>
        <v/>
      </c>
      <c r="L3025" s="7">
        <f>IF(COUNTA(A3025,B3025)=0,"",IF(OR(A3025="",B3025=""),"Preencher CPF e entrada",IF(COUNTIFS($A$12:$A$5011,A3025,$B$12:$B$5011,B3025)&gt;1,"CPF + dia duplicado",IF(OR(AND(E3025&lt;&gt;"",E3025&lt;B3025),AND(F3025&lt;&gt;"",F3025&lt;B3025)),"Evento anterior à entrada",IF(AND(F3025&lt;&gt;"",E3025=""),"Conversa sem agendamento",IF(OR(E3025&gt;TODAY(),F3025&gt;TODAY()),"Verificar evento futuro","OK"))))))</f>
        <v/>
      </c>
    </row>
    <row r="3026" spans="9:12">
      <c r="I3026" s="5">
        <f>IF(OR(A3026="",B3026=""),"",B3026-WEEKDAY(B3026,2)+1)</f>
        <v/>
      </c>
      <c r="J3026" s="5">
        <f>IF(I3026="","",I3026+6)</f>
        <v/>
      </c>
      <c r="K3026" s="6">
        <f>IF(OR(A3026="",B3026=""),"",DATE(YEAR(B3026),MONTH(B3026),1))</f>
        <v/>
      </c>
      <c r="L3026" s="7">
        <f>IF(COUNTA(A3026,B3026)=0,"",IF(OR(A3026="",B3026=""),"Preencher CPF e entrada",IF(COUNTIFS($A$12:$A$5011,A3026,$B$12:$B$5011,B3026)&gt;1,"CPF + dia duplicado",IF(OR(AND(E3026&lt;&gt;"",E3026&lt;B3026),AND(F3026&lt;&gt;"",F3026&lt;B3026)),"Evento anterior à entrada",IF(AND(F3026&lt;&gt;"",E3026=""),"Conversa sem agendamento",IF(OR(E3026&gt;TODAY(),F3026&gt;TODAY()),"Verificar evento futuro","OK"))))))</f>
        <v/>
      </c>
    </row>
    <row r="3027" spans="9:12">
      <c r="I3027" s="5">
        <f>IF(OR(A3027="",B3027=""),"",B3027-WEEKDAY(B3027,2)+1)</f>
        <v/>
      </c>
      <c r="J3027" s="5">
        <f>IF(I3027="","",I3027+6)</f>
        <v/>
      </c>
      <c r="K3027" s="6">
        <f>IF(OR(A3027="",B3027=""),"",DATE(YEAR(B3027),MONTH(B3027),1))</f>
        <v/>
      </c>
      <c r="L3027" s="7">
        <f>IF(COUNTA(A3027,B3027)=0,"",IF(OR(A3027="",B3027=""),"Preencher CPF e entrada",IF(COUNTIFS($A$12:$A$5011,A3027,$B$12:$B$5011,B3027)&gt;1,"CPF + dia duplicado",IF(OR(AND(E3027&lt;&gt;"",E3027&lt;B3027),AND(F3027&lt;&gt;"",F3027&lt;B3027)),"Evento anterior à entrada",IF(AND(F3027&lt;&gt;"",E3027=""),"Conversa sem agendamento",IF(OR(E3027&gt;TODAY(),F3027&gt;TODAY()),"Verificar evento futuro","OK"))))))</f>
        <v/>
      </c>
    </row>
    <row r="3028" spans="9:12">
      <c r="I3028" s="5">
        <f>IF(OR(A3028="",B3028=""),"",B3028-WEEKDAY(B3028,2)+1)</f>
        <v/>
      </c>
      <c r="J3028" s="5">
        <f>IF(I3028="","",I3028+6)</f>
        <v/>
      </c>
      <c r="K3028" s="6">
        <f>IF(OR(A3028="",B3028=""),"",DATE(YEAR(B3028),MONTH(B3028),1))</f>
        <v/>
      </c>
      <c r="L3028" s="7">
        <f>IF(COUNTA(A3028,B3028)=0,"",IF(OR(A3028="",B3028=""),"Preencher CPF e entrada",IF(COUNTIFS($A$12:$A$5011,A3028,$B$12:$B$5011,B3028)&gt;1,"CPF + dia duplicado",IF(OR(AND(E3028&lt;&gt;"",E3028&lt;B3028),AND(F3028&lt;&gt;"",F3028&lt;B3028)),"Evento anterior à entrada",IF(AND(F3028&lt;&gt;"",E3028=""),"Conversa sem agendamento",IF(OR(E3028&gt;TODAY(),F3028&gt;TODAY()),"Verificar evento futuro","OK"))))))</f>
        <v/>
      </c>
    </row>
    <row r="3029" spans="9:12">
      <c r="I3029" s="5">
        <f>IF(OR(A3029="",B3029=""),"",B3029-WEEKDAY(B3029,2)+1)</f>
        <v/>
      </c>
      <c r="J3029" s="5">
        <f>IF(I3029="","",I3029+6)</f>
        <v/>
      </c>
      <c r="K3029" s="6">
        <f>IF(OR(A3029="",B3029=""),"",DATE(YEAR(B3029),MONTH(B3029),1))</f>
        <v/>
      </c>
      <c r="L3029" s="7">
        <f>IF(COUNTA(A3029,B3029)=0,"",IF(OR(A3029="",B3029=""),"Preencher CPF e entrada",IF(COUNTIFS($A$12:$A$5011,A3029,$B$12:$B$5011,B3029)&gt;1,"CPF + dia duplicado",IF(OR(AND(E3029&lt;&gt;"",E3029&lt;B3029),AND(F3029&lt;&gt;"",F3029&lt;B3029)),"Evento anterior à entrada",IF(AND(F3029&lt;&gt;"",E3029=""),"Conversa sem agendamento",IF(OR(E3029&gt;TODAY(),F3029&gt;TODAY()),"Verificar evento futuro","OK"))))))</f>
        <v/>
      </c>
    </row>
    <row r="3030" spans="9:12">
      <c r="I3030" s="5">
        <f>IF(OR(A3030="",B3030=""),"",B3030-WEEKDAY(B3030,2)+1)</f>
        <v/>
      </c>
      <c r="J3030" s="5">
        <f>IF(I3030="","",I3030+6)</f>
        <v/>
      </c>
      <c r="K3030" s="6">
        <f>IF(OR(A3030="",B3030=""),"",DATE(YEAR(B3030),MONTH(B3030),1))</f>
        <v/>
      </c>
      <c r="L3030" s="7">
        <f>IF(COUNTA(A3030,B3030)=0,"",IF(OR(A3030="",B3030=""),"Preencher CPF e entrada",IF(COUNTIFS($A$12:$A$5011,A3030,$B$12:$B$5011,B3030)&gt;1,"CPF + dia duplicado",IF(OR(AND(E3030&lt;&gt;"",E3030&lt;B3030),AND(F3030&lt;&gt;"",F3030&lt;B3030)),"Evento anterior à entrada",IF(AND(F3030&lt;&gt;"",E3030=""),"Conversa sem agendamento",IF(OR(E3030&gt;TODAY(),F3030&gt;TODAY()),"Verificar evento futuro","OK"))))))</f>
        <v/>
      </c>
    </row>
    <row r="3031" spans="9:12">
      <c r="I3031" s="5">
        <f>IF(OR(A3031="",B3031=""),"",B3031-WEEKDAY(B3031,2)+1)</f>
        <v/>
      </c>
      <c r="J3031" s="5">
        <f>IF(I3031="","",I3031+6)</f>
        <v/>
      </c>
      <c r="K3031" s="6">
        <f>IF(OR(A3031="",B3031=""),"",DATE(YEAR(B3031),MONTH(B3031),1))</f>
        <v/>
      </c>
      <c r="L3031" s="7">
        <f>IF(COUNTA(A3031,B3031)=0,"",IF(OR(A3031="",B3031=""),"Preencher CPF e entrada",IF(COUNTIFS($A$12:$A$5011,A3031,$B$12:$B$5011,B3031)&gt;1,"CPF + dia duplicado",IF(OR(AND(E3031&lt;&gt;"",E3031&lt;B3031),AND(F3031&lt;&gt;"",F3031&lt;B3031)),"Evento anterior à entrada",IF(AND(F3031&lt;&gt;"",E3031=""),"Conversa sem agendamento",IF(OR(E3031&gt;TODAY(),F3031&gt;TODAY()),"Verificar evento futuro","OK"))))))</f>
        <v/>
      </c>
    </row>
    <row r="3032" spans="9:12">
      <c r="I3032" s="5">
        <f>IF(OR(A3032="",B3032=""),"",B3032-WEEKDAY(B3032,2)+1)</f>
        <v/>
      </c>
      <c r="J3032" s="5">
        <f>IF(I3032="","",I3032+6)</f>
        <v/>
      </c>
      <c r="K3032" s="6">
        <f>IF(OR(A3032="",B3032=""),"",DATE(YEAR(B3032),MONTH(B3032),1))</f>
        <v/>
      </c>
      <c r="L3032" s="7">
        <f>IF(COUNTA(A3032,B3032)=0,"",IF(OR(A3032="",B3032=""),"Preencher CPF e entrada",IF(COUNTIFS($A$12:$A$5011,A3032,$B$12:$B$5011,B3032)&gt;1,"CPF + dia duplicado",IF(OR(AND(E3032&lt;&gt;"",E3032&lt;B3032),AND(F3032&lt;&gt;"",F3032&lt;B3032)),"Evento anterior à entrada",IF(AND(F3032&lt;&gt;"",E3032=""),"Conversa sem agendamento",IF(OR(E3032&gt;TODAY(),F3032&gt;TODAY()),"Verificar evento futuro","OK"))))))</f>
        <v/>
      </c>
    </row>
    <row r="3033" spans="9:12">
      <c r="I3033" s="5">
        <f>IF(OR(A3033="",B3033=""),"",B3033-WEEKDAY(B3033,2)+1)</f>
        <v/>
      </c>
      <c r="J3033" s="5">
        <f>IF(I3033="","",I3033+6)</f>
        <v/>
      </c>
      <c r="K3033" s="6">
        <f>IF(OR(A3033="",B3033=""),"",DATE(YEAR(B3033),MONTH(B3033),1))</f>
        <v/>
      </c>
      <c r="L3033" s="7">
        <f>IF(COUNTA(A3033,B3033)=0,"",IF(OR(A3033="",B3033=""),"Preencher CPF e entrada",IF(COUNTIFS($A$12:$A$5011,A3033,$B$12:$B$5011,B3033)&gt;1,"CPF + dia duplicado",IF(OR(AND(E3033&lt;&gt;"",E3033&lt;B3033),AND(F3033&lt;&gt;"",F3033&lt;B3033)),"Evento anterior à entrada",IF(AND(F3033&lt;&gt;"",E3033=""),"Conversa sem agendamento",IF(OR(E3033&gt;TODAY(),F3033&gt;TODAY()),"Verificar evento futuro","OK"))))))</f>
        <v/>
      </c>
    </row>
    <row r="3034" spans="9:12">
      <c r="I3034" s="5">
        <f>IF(OR(A3034="",B3034=""),"",B3034-WEEKDAY(B3034,2)+1)</f>
        <v/>
      </c>
      <c r="J3034" s="5">
        <f>IF(I3034="","",I3034+6)</f>
        <v/>
      </c>
      <c r="K3034" s="6">
        <f>IF(OR(A3034="",B3034=""),"",DATE(YEAR(B3034),MONTH(B3034),1))</f>
        <v/>
      </c>
      <c r="L3034" s="7">
        <f>IF(COUNTA(A3034,B3034)=0,"",IF(OR(A3034="",B3034=""),"Preencher CPF e entrada",IF(COUNTIFS($A$12:$A$5011,A3034,$B$12:$B$5011,B3034)&gt;1,"CPF + dia duplicado",IF(OR(AND(E3034&lt;&gt;"",E3034&lt;B3034),AND(F3034&lt;&gt;"",F3034&lt;B3034)),"Evento anterior à entrada",IF(AND(F3034&lt;&gt;"",E3034=""),"Conversa sem agendamento",IF(OR(E3034&gt;TODAY(),F3034&gt;TODAY()),"Verificar evento futuro","OK"))))))</f>
        <v/>
      </c>
    </row>
    <row r="3035" spans="9:12">
      <c r="I3035" s="5">
        <f>IF(OR(A3035="",B3035=""),"",B3035-WEEKDAY(B3035,2)+1)</f>
        <v/>
      </c>
      <c r="J3035" s="5">
        <f>IF(I3035="","",I3035+6)</f>
        <v/>
      </c>
      <c r="K3035" s="6">
        <f>IF(OR(A3035="",B3035=""),"",DATE(YEAR(B3035),MONTH(B3035),1))</f>
        <v/>
      </c>
      <c r="L3035" s="7">
        <f>IF(COUNTA(A3035,B3035)=0,"",IF(OR(A3035="",B3035=""),"Preencher CPF e entrada",IF(COUNTIFS($A$12:$A$5011,A3035,$B$12:$B$5011,B3035)&gt;1,"CPF + dia duplicado",IF(OR(AND(E3035&lt;&gt;"",E3035&lt;B3035),AND(F3035&lt;&gt;"",F3035&lt;B3035)),"Evento anterior à entrada",IF(AND(F3035&lt;&gt;"",E3035=""),"Conversa sem agendamento",IF(OR(E3035&gt;TODAY(),F3035&gt;TODAY()),"Verificar evento futuro","OK"))))))</f>
        <v/>
      </c>
    </row>
    <row r="3036" spans="9:12">
      <c r="I3036" s="5">
        <f>IF(OR(A3036="",B3036=""),"",B3036-WEEKDAY(B3036,2)+1)</f>
        <v/>
      </c>
      <c r="J3036" s="5">
        <f>IF(I3036="","",I3036+6)</f>
        <v/>
      </c>
      <c r="K3036" s="6">
        <f>IF(OR(A3036="",B3036=""),"",DATE(YEAR(B3036),MONTH(B3036),1))</f>
        <v/>
      </c>
      <c r="L3036" s="7">
        <f>IF(COUNTA(A3036,B3036)=0,"",IF(OR(A3036="",B3036=""),"Preencher CPF e entrada",IF(COUNTIFS($A$12:$A$5011,A3036,$B$12:$B$5011,B3036)&gt;1,"CPF + dia duplicado",IF(OR(AND(E3036&lt;&gt;"",E3036&lt;B3036),AND(F3036&lt;&gt;"",F3036&lt;B3036)),"Evento anterior à entrada",IF(AND(F3036&lt;&gt;"",E3036=""),"Conversa sem agendamento",IF(OR(E3036&gt;TODAY(),F3036&gt;TODAY()),"Verificar evento futuro","OK"))))))</f>
        <v/>
      </c>
    </row>
    <row r="3037" spans="9:12">
      <c r="I3037" s="5">
        <f>IF(OR(A3037="",B3037=""),"",B3037-WEEKDAY(B3037,2)+1)</f>
        <v/>
      </c>
      <c r="J3037" s="5">
        <f>IF(I3037="","",I3037+6)</f>
        <v/>
      </c>
      <c r="K3037" s="6">
        <f>IF(OR(A3037="",B3037=""),"",DATE(YEAR(B3037),MONTH(B3037),1))</f>
        <v/>
      </c>
      <c r="L3037" s="7">
        <f>IF(COUNTA(A3037,B3037)=0,"",IF(OR(A3037="",B3037=""),"Preencher CPF e entrada",IF(COUNTIFS($A$12:$A$5011,A3037,$B$12:$B$5011,B3037)&gt;1,"CPF + dia duplicado",IF(OR(AND(E3037&lt;&gt;"",E3037&lt;B3037),AND(F3037&lt;&gt;"",F3037&lt;B3037)),"Evento anterior à entrada",IF(AND(F3037&lt;&gt;"",E3037=""),"Conversa sem agendamento",IF(OR(E3037&gt;TODAY(),F3037&gt;TODAY()),"Verificar evento futuro","OK"))))))</f>
        <v/>
      </c>
    </row>
    <row r="3038" spans="9:12">
      <c r="I3038" s="5">
        <f>IF(OR(A3038="",B3038=""),"",B3038-WEEKDAY(B3038,2)+1)</f>
        <v/>
      </c>
      <c r="J3038" s="5">
        <f>IF(I3038="","",I3038+6)</f>
        <v/>
      </c>
      <c r="K3038" s="6">
        <f>IF(OR(A3038="",B3038=""),"",DATE(YEAR(B3038),MONTH(B3038),1))</f>
        <v/>
      </c>
      <c r="L3038" s="7">
        <f>IF(COUNTA(A3038,B3038)=0,"",IF(OR(A3038="",B3038=""),"Preencher CPF e entrada",IF(COUNTIFS($A$12:$A$5011,A3038,$B$12:$B$5011,B3038)&gt;1,"CPF + dia duplicado",IF(OR(AND(E3038&lt;&gt;"",E3038&lt;B3038),AND(F3038&lt;&gt;"",F3038&lt;B3038)),"Evento anterior à entrada",IF(AND(F3038&lt;&gt;"",E3038=""),"Conversa sem agendamento",IF(OR(E3038&gt;TODAY(),F3038&gt;TODAY()),"Verificar evento futuro","OK"))))))</f>
        <v/>
      </c>
    </row>
    <row r="3039" spans="9:12">
      <c r="I3039" s="5">
        <f>IF(OR(A3039="",B3039=""),"",B3039-WEEKDAY(B3039,2)+1)</f>
        <v/>
      </c>
      <c r="J3039" s="5">
        <f>IF(I3039="","",I3039+6)</f>
        <v/>
      </c>
      <c r="K3039" s="6">
        <f>IF(OR(A3039="",B3039=""),"",DATE(YEAR(B3039),MONTH(B3039),1))</f>
        <v/>
      </c>
      <c r="L3039" s="7">
        <f>IF(COUNTA(A3039,B3039)=0,"",IF(OR(A3039="",B3039=""),"Preencher CPF e entrada",IF(COUNTIFS($A$12:$A$5011,A3039,$B$12:$B$5011,B3039)&gt;1,"CPF + dia duplicado",IF(OR(AND(E3039&lt;&gt;"",E3039&lt;B3039),AND(F3039&lt;&gt;"",F3039&lt;B3039)),"Evento anterior à entrada",IF(AND(F3039&lt;&gt;"",E3039=""),"Conversa sem agendamento",IF(OR(E3039&gt;TODAY(),F3039&gt;TODAY()),"Verificar evento futuro","OK"))))))</f>
        <v/>
      </c>
    </row>
    <row r="3040" spans="9:12">
      <c r="I3040" s="5">
        <f>IF(OR(A3040="",B3040=""),"",B3040-WEEKDAY(B3040,2)+1)</f>
        <v/>
      </c>
      <c r="J3040" s="5">
        <f>IF(I3040="","",I3040+6)</f>
        <v/>
      </c>
      <c r="K3040" s="6">
        <f>IF(OR(A3040="",B3040=""),"",DATE(YEAR(B3040),MONTH(B3040),1))</f>
        <v/>
      </c>
      <c r="L3040" s="7">
        <f>IF(COUNTA(A3040,B3040)=0,"",IF(OR(A3040="",B3040=""),"Preencher CPF e entrada",IF(COUNTIFS($A$12:$A$5011,A3040,$B$12:$B$5011,B3040)&gt;1,"CPF + dia duplicado",IF(OR(AND(E3040&lt;&gt;"",E3040&lt;B3040),AND(F3040&lt;&gt;"",F3040&lt;B3040)),"Evento anterior à entrada",IF(AND(F3040&lt;&gt;"",E3040=""),"Conversa sem agendamento",IF(OR(E3040&gt;TODAY(),F3040&gt;TODAY()),"Verificar evento futuro","OK"))))))</f>
        <v/>
      </c>
    </row>
    <row r="3041" spans="9:12">
      <c r="I3041" s="5">
        <f>IF(OR(A3041="",B3041=""),"",B3041-WEEKDAY(B3041,2)+1)</f>
        <v/>
      </c>
      <c r="J3041" s="5">
        <f>IF(I3041="","",I3041+6)</f>
        <v/>
      </c>
      <c r="K3041" s="6">
        <f>IF(OR(A3041="",B3041=""),"",DATE(YEAR(B3041),MONTH(B3041),1))</f>
        <v/>
      </c>
      <c r="L3041" s="7">
        <f>IF(COUNTA(A3041,B3041)=0,"",IF(OR(A3041="",B3041=""),"Preencher CPF e entrada",IF(COUNTIFS($A$12:$A$5011,A3041,$B$12:$B$5011,B3041)&gt;1,"CPF + dia duplicado",IF(OR(AND(E3041&lt;&gt;"",E3041&lt;B3041),AND(F3041&lt;&gt;"",F3041&lt;B3041)),"Evento anterior à entrada",IF(AND(F3041&lt;&gt;"",E3041=""),"Conversa sem agendamento",IF(OR(E3041&gt;TODAY(),F3041&gt;TODAY()),"Verificar evento futuro","OK"))))))</f>
        <v/>
      </c>
    </row>
    <row r="3042" spans="9:12">
      <c r="I3042" s="5">
        <f>IF(OR(A3042="",B3042=""),"",B3042-WEEKDAY(B3042,2)+1)</f>
        <v/>
      </c>
      <c r="J3042" s="5">
        <f>IF(I3042="","",I3042+6)</f>
        <v/>
      </c>
      <c r="K3042" s="6">
        <f>IF(OR(A3042="",B3042=""),"",DATE(YEAR(B3042),MONTH(B3042),1))</f>
        <v/>
      </c>
      <c r="L3042" s="7">
        <f>IF(COUNTA(A3042,B3042)=0,"",IF(OR(A3042="",B3042=""),"Preencher CPF e entrada",IF(COUNTIFS($A$12:$A$5011,A3042,$B$12:$B$5011,B3042)&gt;1,"CPF + dia duplicado",IF(OR(AND(E3042&lt;&gt;"",E3042&lt;B3042),AND(F3042&lt;&gt;"",F3042&lt;B3042)),"Evento anterior à entrada",IF(AND(F3042&lt;&gt;"",E3042=""),"Conversa sem agendamento",IF(OR(E3042&gt;TODAY(),F3042&gt;TODAY()),"Verificar evento futuro","OK"))))))</f>
        <v/>
      </c>
    </row>
    <row r="3043" spans="9:12">
      <c r="I3043" s="5">
        <f>IF(OR(A3043="",B3043=""),"",B3043-WEEKDAY(B3043,2)+1)</f>
        <v/>
      </c>
      <c r="J3043" s="5">
        <f>IF(I3043="","",I3043+6)</f>
        <v/>
      </c>
      <c r="K3043" s="6">
        <f>IF(OR(A3043="",B3043=""),"",DATE(YEAR(B3043),MONTH(B3043),1))</f>
        <v/>
      </c>
      <c r="L3043" s="7">
        <f>IF(COUNTA(A3043,B3043)=0,"",IF(OR(A3043="",B3043=""),"Preencher CPF e entrada",IF(COUNTIFS($A$12:$A$5011,A3043,$B$12:$B$5011,B3043)&gt;1,"CPF + dia duplicado",IF(OR(AND(E3043&lt;&gt;"",E3043&lt;B3043),AND(F3043&lt;&gt;"",F3043&lt;B3043)),"Evento anterior à entrada",IF(AND(F3043&lt;&gt;"",E3043=""),"Conversa sem agendamento",IF(OR(E3043&gt;TODAY(),F3043&gt;TODAY()),"Verificar evento futuro","OK"))))))</f>
        <v/>
      </c>
    </row>
    <row r="3044" spans="9:12">
      <c r="I3044" s="5">
        <f>IF(OR(A3044="",B3044=""),"",B3044-WEEKDAY(B3044,2)+1)</f>
        <v/>
      </c>
      <c r="J3044" s="5">
        <f>IF(I3044="","",I3044+6)</f>
        <v/>
      </c>
      <c r="K3044" s="6">
        <f>IF(OR(A3044="",B3044=""),"",DATE(YEAR(B3044),MONTH(B3044),1))</f>
        <v/>
      </c>
      <c r="L3044" s="7">
        <f>IF(COUNTA(A3044,B3044)=0,"",IF(OR(A3044="",B3044=""),"Preencher CPF e entrada",IF(COUNTIFS($A$12:$A$5011,A3044,$B$12:$B$5011,B3044)&gt;1,"CPF + dia duplicado",IF(OR(AND(E3044&lt;&gt;"",E3044&lt;B3044),AND(F3044&lt;&gt;"",F3044&lt;B3044)),"Evento anterior à entrada",IF(AND(F3044&lt;&gt;"",E3044=""),"Conversa sem agendamento",IF(OR(E3044&gt;TODAY(),F3044&gt;TODAY()),"Verificar evento futuro","OK"))))))</f>
        <v/>
      </c>
    </row>
    <row r="3045" spans="9:12">
      <c r="I3045" s="5">
        <f>IF(OR(A3045="",B3045=""),"",B3045-WEEKDAY(B3045,2)+1)</f>
        <v/>
      </c>
      <c r="J3045" s="5">
        <f>IF(I3045="","",I3045+6)</f>
        <v/>
      </c>
      <c r="K3045" s="6">
        <f>IF(OR(A3045="",B3045=""),"",DATE(YEAR(B3045),MONTH(B3045),1))</f>
        <v/>
      </c>
      <c r="L3045" s="7">
        <f>IF(COUNTA(A3045,B3045)=0,"",IF(OR(A3045="",B3045=""),"Preencher CPF e entrada",IF(COUNTIFS($A$12:$A$5011,A3045,$B$12:$B$5011,B3045)&gt;1,"CPF + dia duplicado",IF(OR(AND(E3045&lt;&gt;"",E3045&lt;B3045),AND(F3045&lt;&gt;"",F3045&lt;B3045)),"Evento anterior à entrada",IF(AND(F3045&lt;&gt;"",E3045=""),"Conversa sem agendamento",IF(OR(E3045&gt;TODAY(),F3045&gt;TODAY()),"Verificar evento futuro","OK"))))))</f>
        <v/>
      </c>
    </row>
    <row r="3046" spans="9:12">
      <c r="I3046" s="5">
        <f>IF(OR(A3046="",B3046=""),"",B3046-WEEKDAY(B3046,2)+1)</f>
        <v/>
      </c>
      <c r="J3046" s="5">
        <f>IF(I3046="","",I3046+6)</f>
        <v/>
      </c>
      <c r="K3046" s="6">
        <f>IF(OR(A3046="",B3046=""),"",DATE(YEAR(B3046),MONTH(B3046),1))</f>
        <v/>
      </c>
      <c r="L3046" s="7">
        <f>IF(COUNTA(A3046,B3046)=0,"",IF(OR(A3046="",B3046=""),"Preencher CPF e entrada",IF(COUNTIFS($A$12:$A$5011,A3046,$B$12:$B$5011,B3046)&gt;1,"CPF + dia duplicado",IF(OR(AND(E3046&lt;&gt;"",E3046&lt;B3046),AND(F3046&lt;&gt;"",F3046&lt;B3046)),"Evento anterior à entrada",IF(AND(F3046&lt;&gt;"",E3046=""),"Conversa sem agendamento",IF(OR(E3046&gt;TODAY(),F3046&gt;TODAY()),"Verificar evento futuro","OK"))))))</f>
        <v/>
      </c>
    </row>
    <row r="3047" spans="9:12">
      <c r="I3047" s="5">
        <f>IF(OR(A3047="",B3047=""),"",B3047-WEEKDAY(B3047,2)+1)</f>
        <v/>
      </c>
      <c r="J3047" s="5">
        <f>IF(I3047="","",I3047+6)</f>
        <v/>
      </c>
      <c r="K3047" s="6">
        <f>IF(OR(A3047="",B3047=""),"",DATE(YEAR(B3047),MONTH(B3047),1))</f>
        <v/>
      </c>
      <c r="L3047" s="7">
        <f>IF(COUNTA(A3047,B3047)=0,"",IF(OR(A3047="",B3047=""),"Preencher CPF e entrada",IF(COUNTIFS($A$12:$A$5011,A3047,$B$12:$B$5011,B3047)&gt;1,"CPF + dia duplicado",IF(OR(AND(E3047&lt;&gt;"",E3047&lt;B3047),AND(F3047&lt;&gt;"",F3047&lt;B3047)),"Evento anterior à entrada",IF(AND(F3047&lt;&gt;"",E3047=""),"Conversa sem agendamento",IF(OR(E3047&gt;TODAY(),F3047&gt;TODAY()),"Verificar evento futuro","OK"))))))</f>
        <v/>
      </c>
    </row>
    <row r="3048" spans="9:12">
      <c r="I3048" s="5">
        <f>IF(OR(A3048="",B3048=""),"",B3048-WEEKDAY(B3048,2)+1)</f>
        <v/>
      </c>
      <c r="J3048" s="5">
        <f>IF(I3048="","",I3048+6)</f>
        <v/>
      </c>
      <c r="K3048" s="6">
        <f>IF(OR(A3048="",B3048=""),"",DATE(YEAR(B3048),MONTH(B3048),1))</f>
        <v/>
      </c>
      <c r="L3048" s="7">
        <f>IF(COUNTA(A3048,B3048)=0,"",IF(OR(A3048="",B3048=""),"Preencher CPF e entrada",IF(COUNTIFS($A$12:$A$5011,A3048,$B$12:$B$5011,B3048)&gt;1,"CPF + dia duplicado",IF(OR(AND(E3048&lt;&gt;"",E3048&lt;B3048),AND(F3048&lt;&gt;"",F3048&lt;B3048)),"Evento anterior à entrada",IF(AND(F3048&lt;&gt;"",E3048=""),"Conversa sem agendamento",IF(OR(E3048&gt;TODAY(),F3048&gt;TODAY()),"Verificar evento futuro","OK"))))))</f>
        <v/>
      </c>
    </row>
    <row r="3049" spans="9:12">
      <c r="I3049" s="5">
        <f>IF(OR(A3049="",B3049=""),"",B3049-WEEKDAY(B3049,2)+1)</f>
        <v/>
      </c>
      <c r="J3049" s="5">
        <f>IF(I3049="","",I3049+6)</f>
        <v/>
      </c>
      <c r="K3049" s="6">
        <f>IF(OR(A3049="",B3049=""),"",DATE(YEAR(B3049),MONTH(B3049),1))</f>
        <v/>
      </c>
      <c r="L3049" s="7">
        <f>IF(COUNTA(A3049,B3049)=0,"",IF(OR(A3049="",B3049=""),"Preencher CPF e entrada",IF(COUNTIFS($A$12:$A$5011,A3049,$B$12:$B$5011,B3049)&gt;1,"CPF + dia duplicado",IF(OR(AND(E3049&lt;&gt;"",E3049&lt;B3049),AND(F3049&lt;&gt;"",F3049&lt;B3049)),"Evento anterior à entrada",IF(AND(F3049&lt;&gt;"",E3049=""),"Conversa sem agendamento",IF(OR(E3049&gt;TODAY(),F3049&gt;TODAY()),"Verificar evento futuro","OK"))))))</f>
        <v/>
      </c>
    </row>
    <row r="3050" spans="9:12">
      <c r="I3050" s="5">
        <f>IF(OR(A3050="",B3050=""),"",B3050-WEEKDAY(B3050,2)+1)</f>
        <v/>
      </c>
      <c r="J3050" s="5">
        <f>IF(I3050="","",I3050+6)</f>
        <v/>
      </c>
      <c r="K3050" s="6">
        <f>IF(OR(A3050="",B3050=""),"",DATE(YEAR(B3050),MONTH(B3050),1))</f>
        <v/>
      </c>
      <c r="L3050" s="7">
        <f>IF(COUNTA(A3050,B3050)=0,"",IF(OR(A3050="",B3050=""),"Preencher CPF e entrada",IF(COUNTIFS($A$12:$A$5011,A3050,$B$12:$B$5011,B3050)&gt;1,"CPF + dia duplicado",IF(OR(AND(E3050&lt;&gt;"",E3050&lt;B3050),AND(F3050&lt;&gt;"",F3050&lt;B3050)),"Evento anterior à entrada",IF(AND(F3050&lt;&gt;"",E3050=""),"Conversa sem agendamento",IF(OR(E3050&gt;TODAY(),F3050&gt;TODAY()),"Verificar evento futuro","OK"))))))</f>
        <v/>
      </c>
    </row>
    <row r="3051" spans="9:12">
      <c r="I3051" s="5">
        <f>IF(OR(A3051="",B3051=""),"",B3051-WEEKDAY(B3051,2)+1)</f>
        <v/>
      </c>
      <c r="J3051" s="5">
        <f>IF(I3051="","",I3051+6)</f>
        <v/>
      </c>
      <c r="K3051" s="6">
        <f>IF(OR(A3051="",B3051=""),"",DATE(YEAR(B3051),MONTH(B3051),1))</f>
        <v/>
      </c>
      <c r="L3051" s="7">
        <f>IF(COUNTA(A3051,B3051)=0,"",IF(OR(A3051="",B3051=""),"Preencher CPF e entrada",IF(COUNTIFS($A$12:$A$5011,A3051,$B$12:$B$5011,B3051)&gt;1,"CPF + dia duplicado",IF(OR(AND(E3051&lt;&gt;"",E3051&lt;B3051),AND(F3051&lt;&gt;"",F3051&lt;B3051)),"Evento anterior à entrada",IF(AND(F3051&lt;&gt;"",E3051=""),"Conversa sem agendamento",IF(OR(E3051&gt;TODAY(),F3051&gt;TODAY()),"Verificar evento futuro","OK"))))))</f>
        <v/>
      </c>
    </row>
    <row r="3052" spans="9:12">
      <c r="I3052" s="5">
        <f>IF(OR(A3052="",B3052=""),"",B3052-WEEKDAY(B3052,2)+1)</f>
        <v/>
      </c>
      <c r="J3052" s="5">
        <f>IF(I3052="","",I3052+6)</f>
        <v/>
      </c>
      <c r="K3052" s="6">
        <f>IF(OR(A3052="",B3052=""),"",DATE(YEAR(B3052),MONTH(B3052),1))</f>
        <v/>
      </c>
      <c r="L3052" s="7">
        <f>IF(COUNTA(A3052,B3052)=0,"",IF(OR(A3052="",B3052=""),"Preencher CPF e entrada",IF(COUNTIFS($A$12:$A$5011,A3052,$B$12:$B$5011,B3052)&gt;1,"CPF + dia duplicado",IF(OR(AND(E3052&lt;&gt;"",E3052&lt;B3052),AND(F3052&lt;&gt;"",F3052&lt;B3052)),"Evento anterior à entrada",IF(AND(F3052&lt;&gt;"",E3052=""),"Conversa sem agendamento",IF(OR(E3052&gt;TODAY(),F3052&gt;TODAY()),"Verificar evento futuro","OK"))))))</f>
        <v/>
      </c>
    </row>
    <row r="3053" spans="9:12">
      <c r="I3053" s="5">
        <f>IF(OR(A3053="",B3053=""),"",B3053-WEEKDAY(B3053,2)+1)</f>
        <v/>
      </c>
      <c r="J3053" s="5">
        <f>IF(I3053="","",I3053+6)</f>
        <v/>
      </c>
      <c r="K3053" s="6">
        <f>IF(OR(A3053="",B3053=""),"",DATE(YEAR(B3053),MONTH(B3053),1))</f>
        <v/>
      </c>
      <c r="L3053" s="7">
        <f>IF(COUNTA(A3053,B3053)=0,"",IF(OR(A3053="",B3053=""),"Preencher CPF e entrada",IF(COUNTIFS($A$12:$A$5011,A3053,$B$12:$B$5011,B3053)&gt;1,"CPF + dia duplicado",IF(OR(AND(E3053&lt;&gt;"",E3053&lt;B3053),AND(F3053&lt;&gt;"",F3053&lt;B3053)),"Evento anterior à entrada",IF(AND(F3053&lt;&gt;"",E3053=""),"Conversa sem agendamento",IF(OR(E3053&gt;TODAY(),F3053&gt;TODAY()),"Verificar evento futuro","OK"))))))</f>
        <v/>
      </c>
    </row>
    <row r="3054" spans="9:12">
      <c r="I3054" s="5">
        <f>IF(OR(A3054="",B3054=""),"",B3054-WEEKDAY(B3054,2)+1)</f>
        <v/>
      </c>
      <c r="J3054" s="5">
        <f>IF(I3054="","",I3054+6)</f>
        <v/>
      </c>
      <c r="K3054" s="6">
        <f>IF(OR(A3054="",B3054=""),"",DATE(YEAR(B3054),MONTH(B3054),1))</f>
        <v/>
      </c>
      <c r="L3054" s="7">
        <f>IF(COUNTA(A3054,B3054)=0,"",IF(OR(A3054="",B3054=""),"Preencher CPF e entrada",IF(COUNTIFS($A$12:$A$5011,A3054,$B$12:$B$5011,B3054)&gt;1,"CPF + dia duplicado",IF(OR(AND(E3054&lt;&gt;"",E3054&lt;B3054),AND(F3054&lt;&gt;"",F3054&lt;B3054)),"Evento anterior à entrada",IF(AND(F3054&lt;&gt;"",E3054=""),"Conversa sem agendamento",IF(OR(E3054&gt;TODAY(),F3054&gt;TODAY()),"Verificar evento futuro","OK"))))))</f>
        <v/>
      </c>
    </row>
    <row r="3055" spans="9:12">
      <c r="I3055" s="5">
        <f>IF(OR(A3055="",B3055=""),"",B3055-WEEKDAY(B3055,2)+1)</f>
        <v/>
      </c>
      <c r="J3055" s="5">
        <f>IF(I3055="","",I3055+6)</f>
        <v/>
      </c>
      <c r="K3055" s="6">
        <f>IF(OR(A3055="",B3055=""),"",DATE(YEAR(B3055),MONTH(B3055),1))</f>
        <v/>
      </c>
      <c r="L3055" s="7">
        <f>IF(COUNTA(A3055,B3055)=0,"",IF(OR(A3055="",B3055=""),"Preencher CPF e entrada",IF(COUNTIFS($A$12:$A$5011,A3055,$B$12:$B$5011,B3055)&gt;1,"CPF + dia duplicado",IF(OR(AND(E3055&lt;&gt;"",E3055&lt;B3055),AND(F3055&lt;&gt;"",F3055&lt;B3055)),"Evento anterior à entrada",IF(AND(F3055&lt;&gt;"",E3055=""),"Conversa sem agendamento",IF(OR(E3055&gt;TODAY(),F3055&gt;TODAY()),"Verificar evento futuro","OK"))))))</f>
        <v/>
      </c>
    </row>
    <row r="3056" spans="9:12">
      <c r="I3056" s="5">
        <f>IF(OR(A3056="",B3056=""),"",B3056-WEEKDAY(B3056,2)+1)</f>
        <v/>
      </c>
      <c r="J3056" s="5">
        <f>IF(I3056="","",I3056+6)</f>
        <v/>
      </c>
      <c r="K3056" s="6">
        <f>IF(OR(A3056="",B3056=""),"",DATE(YEAR(B3056),MONTH(B3056),1))</f>
        <v/>
      </c>
      <c r="L3056" s="7">
        <f>IF(COUNTA(A3056,B3056)=0,"",IF(OR(A3056="",B3056=""),"Preencher CPF e entrada",IF(COUNTIFS($A$12:$A$5011,A3056,$B$12:$B$5011,B3056)&gt;1,"CPF + dia duplicado",IF(OR(AND(E3056&lt;&gt;"",E3056&lt;B3056),AND(F3056&lt;&gt;"",F3056&lt;B3056)),"Evento anterior à entrada",IF(AND(F3056&lt;&gt;"",E3056=""),"Conversa sem agendamento",IF(OR(E3056&gt;TODAY(),F3056&gt;TODAY()),"Verificar evento futuro","OK"))))))</f>
        <v/>
      </c>
    </row>
    <row r="3057" spans="9:12">
      <c r="I3057" s="5">
        <f>IF(OR(A3057="",B3057=""),"",B3057-WEEKDAY(B3057,2)+1)</f>
        <v/>
      </c>
      <c r="J3057" s="5">
        <f>IF(I3057="","",I3057+6)</f>
        <v/>
      </c>
      <c r="K3057" s="6">
        <f>IF(OR(A3057="",B3057=""),"",DATE(YEAR(B3057),MONTH(B3057),1))</f>
        <v/>
      </c>
      <c r="L3057" s="7">
        <f>IF(COUNTA(A3057,B3057)=0,"",IF(OR(A3057="",B3057=""),"Preencher CPF e entrada",IF(COUNTIFS($A$12:$A$5011,A3057,$B$12:$B$5011,B3057)&gt;1,"CPF + dia duplicado",IF(OR(AND(E3057&lt;&gt;"",E3057&lt;B3057),AND(F3057&lt;&gt;"",F3057&lt;B3057)),"Evento anterior à entrada",IF(AND(F3057&lt;&gt;"",E3057=""),"Conversa sem agendamento",IF(OR(E3057&gt;TODAY(),F3057&gt;TODAY()),"Verificar evento futuro","OK"))))))</f>
        <v/>
      </c>
    </row>
    <row r="3058" spans="9:12">
      <c r="I3058" s="5">
        <f>IF(OR(A3058="",B3058=""),"",B3058-WEEKDAY(B3058,2)+1)</f>
        <v/>
      </c>
      <c r="J3058" s="5">
        <f>IF(I3058="","",I3058+6)</f>
        <v/>
      </c>
      <c r="K3058" s="6">
        <f>IF(OR(A3058="",B3058=""),"",DATE(YEAR(B3058),MONTH(B3058),1))</f>
        <v/>
      </c>
      <c r="L3058" s="7">
        <f>IF(COUNTA(A3058,B3058)=0,"",IF(OR(A3058="",B3058=""),"Preencher CPF e entrada",IF(COUNTIFS($A$12:$A$5011,A3058,$B$12:$B$5011,B3058)&gt;1,"CPF + dia duplicado",IF(OR(AND(E3058&lt;&gt;"",E3058&lt;B3058),AND(F3058&lt;&gt;"",F3058&lt;B3058)),"Evento anterior à entrada",IF(AND(F3058&lt;&gt;"",E3058=""),"Conversa sem agendamento",IF(OR(E3058&gt;TODAY(),F3058&gt;TODAY()),"Verificar evento futuro","OK"))))))</f>
        <v/>
      </c>
    </row>
    <row r="3059" spans="9:12">
      <c r="I3059" s="5">
        <f>IF(OR(A3059="",B3059=""),"",B3059-WEEKDAY(B3059,2)+1)</f>
        <v/>
      </c>
      <c r="J3059" s="5">
        <f>IF(I3059="","",I3059+6)</f>
        <v/>
      </c>
      <c r="K3059" s="6">
        <f>IF(OR(A3059="",B3059=""),"",DATE(YEAR(B3059),MONTH(B3059),1))</f>
        <v/>
      </c>
      <c r="L3059" s="7">
        <f>IF(COUNTA(A3059,B3059)=0,"",IF(OR(A3059="",B3059=""),"Preencher CPF e entrada",IF(COUNTIFS($A$12:$A$5011,A3059,$B$12:$B$5011,B3059)&gt;1,"CPF + dia duplicado",IF(OR(AND(E3059&lt;&gt;"",E3059&lt;B3059),AND(F3059&lt;&gt;"",F3059&lt;B3059)),"Evento anterior à entrada",IF(AND(F3059&lt;&gt;"",E3059=""),"Conversa sem agendamento",IF(OR(E3059&gt;TODAY(),F3059&gt;TODAY()),"Verificar evento futuro","OK"))))))</f>
        <v/>
      </c>
    </row>
    <row r="3060" spans="9:12">
      <c r="I3060" s="5">
        <f>IF(OR(A3060="",B3060=""),"",B3060-WEEKDAY(B3060,2)+1)</f>
        <v/>
      </c>
      <c r="J3060" s="5">
        <f>IF(I3060="","",I3060+6)</f>
        <v/>
      </c>
      <c r="K3060" s="6">
        <f>IF(OR(A3060="",B3060=""),"",DATE(YEAR(B3060),MONTH(B3060),1))</f>
        <v/>
      </c>
      <c r="L3060" s="7">
        <f>IF(COUNTA(A3060,B3060)=0,"",IF(OR(A3060="",B3060=""),"Preencher CPF e entrada",IF(COUNTIFS($A$12:$A$5011,A3060,$B$12:$B$5011,B3060)&gt;1,"CPF + dia duplicado",IF(OR(AND(E3060&lt;&gt;"",E3060&lt;B3060),AND(F3060&lt;&gt;"",F3060&lt;B3060)),"Evento anterior à entrada",IF(AND(F3060&lt;&gt;"",E3060=""),"Conversa sem agendamento",IF(OR(E3060&gt;TODAY(),F3060&gt;TODAY()),"Verificar evento futuro","OK"))))))</f>
        <v/>
      </c>
    </row>
    <row r="3061" spans="9:12">
      <c r="I3061" s="5">
        <f>IF(OR(A3061="",B3061=""),"",B3061-WEEKDAY(B3061,2)+1)</f>
        <v/>
      </c>
      <c r="J3061" s="5">
        <f>IF(I3061="","",I3061+6)</f>
        <v/>
      </c>
      <c r="K3061" s="6">
        <f>IF(OR(A3061="",B3061=""),"",DATE(YEAR(B3061),MONTH(B3061),1))</f>
        <v/>
      </c>
      <c r="L3061" s="7">
        <f>IF(COUNTA(A3061,B3061)=0,"",IF(OR(A3061="",B3061=""),"Preencher CPF e entrada",IF(COUNTIFS($A$12:$A$5011,A3061,$B$12:$B$5011,B3061)&gt;1,"CPF + dia duplicado",IF(OR(AND(E3061&lt;&gt;"",E3061&lt;B3061),AND(F3061&lt;&gt;"",F3061&lt;B3061)),"Evento anterior à entrada",IF(AND(F3061&lt;&gt;"",E3061=""),"Conversa sem agendamento",IF(OR(E3061&gt;TODAY(),F3061&gt;TODAY()),"Verificar evento futuro","OK"))))))</f>
        <v/>
      </c>
    </row>
    <row r="3062" spans="9:12">
      <c r="I3062" s="5">
        <f>IF(OR(A3062="",B3062=""),"",B3062-WEEKDAY(B3062,2)+1)</f>
        <v/>
      </c>
      <c r="J3062" s="5">
        <f>IF(I3062="","",I3062+6)</f>
        <v/>
      </c>
      <c r="K3062" s="6">
        <f>IF(OR(A3062="",B3062=""),"",DATE(YEAR(B3062),MONTH(B3062),1))</f>
        <v/>
      </c>
      <c r="L3062" s="7">
        <f>IF(COUNTA(A3062,B3062)=0,"",IF(OR(A3062="",B3062=""),"Preencher CPF e entrada",IF(COUNTIFS($A$12:$A$5011,A3062,$B$12:$B$5011,B3062)&gt;1,"CPF + dia duplicado",IF(OR(AND(E3062&lt;&gt;"",E3062&lt;B3062),AND(F3062&lt;&gt;"",F3062&lt;B3062)),"Evento anterior à entrada",IF(AND(F3062&lt;&gt;"",E3062=""),"Conversa sem agendamento",IF(OR(E3062&gt;TODAY(),F3062&gt;TODAY()),"Verificar evento futuro","OK"))))))</f>
        <v/>
      </c>
    </row>
    <row r="3063" spans="9:12">
      <c r="I3063" s="5">
        <f>IF(OR(A3063="",B3063=""),"",B3063-WEEKDAY(B3063,2)+1)</f>
        <v/>
      </c>
      <c r="J3063" s="5">
        <f>IF(I3063="","",I3063+6)</f>
        <v/>
      </c>
      <c r="K3063" s="6">
        <f>IF(OR(A3063="",B3063=""),"",DATE(YEAR(B3063),MONTH(B3063),1))</f>
        <v/>
      </c>
      <c r="L3063" s="7">
        <f>IF(COUNTA(A3063,B3063)=0,"",IF(OR(A3063="",B3063=""),"Preencher CPF e entrada",IF(COUNTIFS($A$12:$A$5011,A3063,$B$12:$B$5011,B3063)&gt;1,"CPF + dia duplicado",IF(OR(AND(E3063&lt;&gt;"",E3063&lt;B3063),AND(F3063&lt;&gt;"",F3063&lt;B3063)),"Evento anterior à entrada",IF(AND(F3063&lt;&gt;"",E3063=""),"Conversa sem agendamento",IF(OR(E3063&gt;TODAY(),F3063&gt;TODAY()),"Verificar evento futuro","OK"))))))</f>
        <v/>
      </c>
    </row>
    <row r="3064" spans="9:12">
      <c r="I3064" s="5">
        <f>IF(OR(A3064="",B3064=""),"",B3064-WEEKDAY(B3064,2)+1)</f>
        <v/>
      </c>
      <c r="J3064" s="5">
        <f>IF(I3064="","",I3064+6)</f>
        <v/>
      </c>
      <c r="K3064" s="6">
        <f>IF(OR(A3064="",B3064=""),"",DATE(YEAR(B3064),MONTH(B3064),1))</f>
        <v/>
      </c>
      <c r="L3064" s="7">
        <f>IF(COUNTA(A3064,B3064)=0,"",IF(OR(A3064="",B3064=""),"Preencher CPF e entrada",IF(COUNTIFS($A$12:$A$5011,A3064,$B$12:$B$5011,B3064)&gt;1,"CPF + dia duplicado",IF(OR(AND(E3064&lt;&gt;"",E3064&lt;B3064),AND(F3064&lt;&gt;"",F3064&lt;B3064)),"Evento anterior à entrada",IF(AND(F3064&lt;&gt;"",E3064=""),"Conversa sem agendamento",IF(OR(E3064&gt;TODAY(),F3064&gt;TODAY()),"Verificar evento futuro","OK"))))))</f>
        <v/>
      </c>
    </row>
    <row r="3065" spans="9:12">
      <c r="I3065" s="5">
        <f>IF(OR(A3065="",B3065=""),"",B3065-WEEKDAY(B3065,2)+1)</f>
        <v/>
      </c>
      <c r="J3065" s="5">
        <f>IF(I3065="","",I3065+6)</f>
        <v/>
      </c>
      <c r="K3065" s="6">
        <f>IF(OR(A3065="",B3065=""),"",DATE(YEAR(B3065),MONTH(B3065),1))</f>
        <v/>
      </c>
      <c r="L3065" s="7">
        <f>IF(COUNTA(A3065,B3065)=0,"",IF(OR(A3065="",B3065=""),"Preencher CPF e entrada",IF(COUNTIFS($A$12:$A$5011,A3065,$B$12:$B$5011,B3065)&gt;1,"CPF + dia duplicado",IF(OR(AND(E3065&lt;&gt;"",E3065&lt;B3065),AND(F3065&lt;&gt;"",F3065&lt;B3065)),"Evento anterior à entrada",IF(AND(F3065&lt;&gt;"",E3065=""),"Conversa sem agendamento",IF(OR(E3065&gt;TODAY(),F3065&gt;TODAY()),"Verificar evento futuro","OK"))))))</f>
        <v/>
      </c>
    </row>
    <row r="3066" spans="9:12">
      <c r="I3066" s="5">
        <f>IF(OR(A3066="",B3066=""),"",B3066-WEEKDAY(B3066,2)+1)</f>
        <v/>
      </c>
      <c r="J3066" s="5">
        <f>IF(I3066="","",I3066+6)</f>
        <v/>
      </c>
      <c r="K3066" s="6">
        <f>IF(OR(A3066="",B3066=""),"",DATE(YEAR(B3066),MONTH(B3066),1))</f>
        <v/>
      </c>
      <c r="L3066" s="7">
        <f>IF(COUNTA(A3066,B3066)=0,"",IF(OR(A3066="",B3066=""),"Preencher CPF e entrada",IF(COUNTIFS($A$12:$A$5011,A3066,$B$12:$B$5011,B3066)&gt;1,"CPF + dia duplicado",IF(OR(AND(E3066&lt;&gt;"",E3066&lt;B3066),AND(F3066&lt;&gt;"",F3066&lt;B3066)),"Evento anterior à entrada",IF(AND(F3066&lt;&gt;"",E3066=""),"Conversa sem agendamento",IF(OR(E3066&gt;TODAY(),F3066&gt;TODAY()),"Verificar evento futuro","OK"))))))</f>
        <v/>
      </c>
    </row>
    <row r="3067" spans="9:12">
      <c r="I3067" s="5">
        <f>IF(OR(A3067="",B3067=""),"",B3067-WEEKDAY(B3067,2)+1)</f>
        <v/>
      </c>
      <c r="J3067" s="5">
        <f>IF(I3067="","",I3067+6)</f>
        <v/>
      </c>
      <c r="K3067" s="6">
        <f>IF(OR(A3067="",B3067=""),"",DATE(YEAR(B3067),MONTH(B3067),1))</f>
        <v/>
      </c>
      <c r="L3067" s="7">
        <f>IF(COUNTA(A3067,B3067)=0,"",IF(OR(A3067="",B3067=""),"Preencher CPF e entrada",IF(COUNTIFS($A$12:$A$5011,A3067,$B$12:$B$5011,B3067)&gt;1,"CPF + dia duplicado",IF(OR(AND(E3067&lt;&gt;"",E3067&lt;B3067),AND(F3067&lt;&gt;"",F3067&lt;B3067)),"Evento anterior à entrada",IF(AND(F3067&lt;&gt;"",E3067=""),"Conversa sem agendamento",IF(OR(E3067&gt;TODAY(),F3067&gt;TODAY()),"Verificar evento futuro","OK"))))))</f>
        <v/>
      </c>
    </row>
    <row r="3068" spans="9:12">
      <c r="I3068" s="5">
        <f>IF(OR(A3068="",B3068=""),"",B3068-WEEKDAY(B3068,2)+1)</f>
        <v/>
      </c>
      <c r="J3068" s="5">
        <f>IF(I3068="","",I3068+6)</f>
        <v/>
      </c>
      <c r="K3068" s="6">
        <f>IF(OR(A3068="",B3068=""),"",DATE(YEAR(B3068),MONTH(B3068),1))</f>
        <v/>
      </c>
      <c r="L3068" s="7">
        <f>IF(COUNTA(A3068,B3068)=0,"",IF(OR(A3068="",B3068=""),"Preencher CPF e entrada",IF(COUNTIFS($A$12:$A$5011,A3068,$B$12:$B$5011,B3068)&gt;1,"CPF + dia duplicado",IF(OR(AND(E3068&lt;&gt;"",E3068&lt;B3068),AND(F3068&lt;&gt;"",F3068&lt;B3068)),"Evento anterior à entrada",IF(AND(F3068&lt;&gt;"",E3068=""),"Conversa sem agendamento",IF(OR(E3068&gt;TODAY(),F3068&gt;TODAY()),"Verificar evento futuro","OK"))))))</f>
        <v/>
      </c>
    </row>
    <row r="3069" spans="9:12">
      <c r="I3069" s="5">
        <f>IF(OR(A3069="",B3069=""),"",B3069-WEEKDAY(B3069,2)+1)</f>
        <v/>
      </c>
      <c r="J3069" s="5">
        <f>IF(I3069="","",I3069+6)</f>
        <v/>
      </c>
      <c r="K3069" s="6">
        <f>IF(OR(A3069="",B3069=""),"",DATE(YEAR(B3069),MONTH(B3069),1))</f>
        <v/>
      </c>
      <c r="L3069" s="7">
        <f>IF(COUNTA(A3069,B3069)=0,"",IF(OR(A3069="",B3069=""),"Preencher CPF e entrada",IF(COUNTIFS($A$12:$A$5011,A3069,$B$12:$B$5011,B3069)&gt;1,"CPF + dia duplicado",IF(OR(AND(E3069&lt;&gt;"",E3069&lt;B3069),AND(F3069&lt;&gt;"",F3069&lt;B3069)),"Evento anterior à entrada",IF(AND(F3069&lt;&gt;"",E3069=""),"Conversa sem agendamento",IF(OR(E3069&gt;TODAY(),F3069&gt;TODAY()),"Verificar evento futuro","OK"))))))</f>
        <v/>
      </c>
    </row>
    <row r="3070" spans="9:12">
      <c r="I3070" s="5">
        <f>IF(OR(A3070="",B3070=""),"",B3070-WEEKDAY(B3070,2)+1)</f>
        <v/>
      </c>
      <c r="J3070" s="5">
        <f>IF(I3070="","",I3070+6)</f>
        <v/>
      </c>
      <c r="K3070" s="6">
        <f>IF(OR(A3070="",B3070=""),"",DATE(YEAR(B3070),MONTH(B3070),1))</f>
        <v/>
      </c>
      <c r="L3070" s="7">
        <f>IF(COUNTA(A3070,B3070)=0,"",IF(OR(A3070="",B3070=""),"Preencher CPF e entrada",IF(COUNTIFS($A$12:$A$5011,A3070,$B$12:$B$5011,B3070)&gt;1,"CPF + dia duplicado",IF(OR(AND(E3070&lt;&gt;"",E3070&lt;B3070),AND(F3070&lt;&gt;"",F3070&lt;B3070)),"Evento anterior à entrada",IF(AND(F3070&lt;&gt;"",E3070=""),"Conversa sem agendamento",IF(OR(E3070&gt;TODAY(),F3070&gt;TODAY()),"Verificar evento futuro","OK"))))))</f>
        <v/>
      </c>
    </row>
    <row r="3071" spans="9:12">
      <c r="I3071" s="5">
        <f>IF(OR(A3071="",B3071=""),"",B3071-WEEKDAY(B3071,2)+1)</f>
        <v/>
      </c>
      <c r="J3071" s="5">
        <f>IF(I3071="","",I3071+6)</f>
        <v/>
      </c>
      <c r="K3071" s="6">
        <f>IF(OR(A3071="",B3071=""),"",DATE(YEAR(B3071),MONTH(B3071),1))</f>
        <v/>
      </c>
      <c r="L3071" s="7">
        <f>IF(COUNTA(A3071,B3071)=0,"",IF(OR(A3071="",B3071=""),"Preencher CPF e entrada",IF(COUNTIFS($A$12:$A$5011,A3071,$B$12:$B$5011,B3071)&gt;1,"CPF + dia duplicado",IF(OR(AND(E3071&lt;&gt;"",E3071&lt;B3071),AND(F3071&lt;&gt;"",F3071&lt;B3071)),"Evento anterior à entrada",IF(AND(F3071&lt;&gt;"",E3071=""),"Conversa sem agendamento",IF(OR(E3071&gt;TODAY(),F3071&gt;TODAY()),"Verificar evento futuro","OK"))))))</f>
        <v/>
      </c>
    </row>
    <row r="3072" spans="9:12">
      <c r="I3072" s="5">
        <f>IF(OR(A3072="",B3072=""),"",B3072-WEEKDAY(B3072,2)+1)</f>
        <v/>
      </c>
      <c r="J3072" s="5">
        <f>IF(I3072="","",I3072+6)</f>
        <v/>
      </c>
      <c r="K3072" s="6">
        <f>IF(OR(A3072="",B3072=""),"",DATE(YEAR(B3072),MONTH(B3072),1))</f>
        <v/>
      </c>
      <c r="L3072" s="7">
        <f>IF(COUNTA(A3072,B3072)=0,"",IF(OR(A3072="",B3072=""),"Preencher CPF e entrada",IF(COUNTIFS($A$12:$A$5011,A3072,$B$12:$B$5011,B3072)&gt;1,"CPF + dia duplicado",IF(OR(AND(E3072&lt;&gt;"",E3072&lt;B3072),AND(F3072&lt;&gt;"",F3072&lt;B3072)),"Evento anterior à entrada",IF(AND(F3072&lt;&gt;"",E3072=""),"Conversa sem agendamento",IF(OR(E3072&gt;TODAY(),F3072&gt;TODAY()),"Verificar evento futuro","OK"))))))</f>
        <v/>
      </c>
    </row>
    <row r="3073" spans="9:12">
      <c r="I3073" s="5">
        <f>IF(OR(A3073="",B3073=""),"",B3073-WEEKDAY(B3073,2)+1)</f>
        <v/>
      </c>
      <c r="J3073" s="5">
        <f>IF(I3073="","",I3073+6)</f>
        <v/>
      </c>
      <c r="K3073" s="6">
        <f>IF(OR(A3073="",B3073=""),"",DATE(YEAR(B3073),MONTH(B3073),1))</f>
        <v/>
      </c>
      <c r="L3073" s="7">
        <f>IF(COUNTA(A3073,B3073)=0,"",IF(OR(A3073="",B3073=""),"Preencher CPF e entrada",IF(COUNTIFS($A$12:$A$5011,A3073,$B$12:$B$5011,B3073)&gt;1,"CPF + dia duplicado",IF(OR(AND(E3073&lt;&gt;"",E3073&lt;B3073),AND(F3073&lt;&gt;"",F3073&lt;B3073)),"Evento anterior à entrada",IF(AND(F3073&lt;&gt;"",E3073=""),"Conversa sem agendamento",IF(OR(E3073&gt;TODAY(),F3073&gt;TODAY()),"Verificar evento futuro","OK"))))))</f>
        <v/>
      </c>
    </row>
    <row r="3074" spans="9:12">
      <c r="I3074" s="5">
        <f>IF(OR(A3074="",B3074=""),"",B3074-WEEKDAY(B3074,2)+1)</f>
        <v/>
      </c>
      <c r="J3074" s="5">
        <f>IF(I3074="","",I3074+6)</f>
        <v/>
      </c>
      <c r="K3074" s="6">
        <f>IF(OR(A3074="",B3074=""),"",DATE(YEAR(B3074),MONTH(B3074),1))</f>
        <v/>
      </c>
      <c r="L3074" s="7">
        <f>IF(COUNTA(A3074,B3074)=0,"",IF(OR(A3074="",B3074=""),"Preencher CPF e entrada",IF(COUNTIFS($A$12:$A$5011,A3074,$B$12:$B$5011,B3074)&gt;1,"CPF + dia duplicado",IF(OR(AND(E3074&lt;&gt;"",E3074&lt;B3074),AND(F3074&lt;&gt;"",F3074&lt;B3074)),"Evento anterior à entrada",IF(AND(F3074&lt;&gt;"",E3074=""),"Conversa sem agendamento",IF(OR(E3074&gt;TODAY(),F3074&gt;TODAY()),"Verificar evento futuro","OK"))))))</f>
        <v/>
      </c>
    </row>
    <row r="3075" spans="9:12">
      <c r="I3075" s="5">
        <f>IF(OR(A3075="",B3075=""),"",B3075-WEEKDAY(B3075,2)+1)</f>
        <v/>
      </c>
      <c r="J3075" s="5">
        <f>IF(I3075="","",I3075+6)</f>
        <v/>
      </c>
      <c r="K3075" s="6">
        <f>IF(OR(A3075="",B3075=""),"",DATE(YEAR(B3075),MONTH(B3075),1))</f>
        <v/>
      </c>
      <c r="L3075" s="7">
        <f>IF(COUNTA(A3075,B3075)=0,"",IF(OR(A3075="",B3075=""),"Preencher CPF e entrada",IF(COUNTIFS($A$12:$A$5011,A3075,$B$12:$B$5011,B3075)&gt;1,"CPF + dia duplicado",IF(OR(AND(E3075&lt;&gt;"",E3075&lt;B3075),AND(F3075&lt;&gt;"",F3075&lt;B3075)),"Evento anterior à entrada",IF(AND(F3075&lt;&gt;"",E3075=""),"Conversa sem agendamento",IF(OR(E3075&gt;TODAY(),F3075&gt;TODAY()),"Verificar evento futuro","OK"))))))</f>
        <v/>
      </c>
    </row>
    <row r="3076" spans="9:12">
      <c r="I3076" s="5">
        <f>IF(OR(A3076="",B3076=""),"",B3076-WEEKDAY(B3076,2)+1)</f>
        <v/>
      </c>
      <c r="J3076" s="5">
        <f>IF(I3076="","",I3076+6)</f>
        <v/>
      </c>
      <c r="K3076" s="6">
        <f>IF(OR(A3076="",B3076=""),"",DATE(YEAR(B3076),MONTH(B3076),1))</f>
        <v/>
      </c>
      <c r="L3076" s="7">
        <f>IF(COUNTA(A3076,B3076)=0,"",IF(OR(A3076="",B3076=""),"Preencher CPF e entrada",IF(COUNTIFS($A$12:$A$5011,A3076,$B$12:$B$5011,B3076)&gt;1,"CPF + dia duplicado",IF(OR(AND(E3076&lt;&gt;"",E3076&lt;B3076),AND(F3076&lt;&gt;"",F3076&lt;B3076)),"Evento anterior à entrada",IF(AND(F3076&lt;&gt;"",E3076=""),"Conversa sem agendamento",IF(OR(E3076&gt;TODAY(),F3076&gt;TODAY()),"Verificar evento futuro","OK"))))))</f>
        <v/>
      </c>
    </row>
    <row r="3077" spans="9:12">
      <c r="I3077" s="5">
        <f>IF(OR(A3077="",B3077=""),"",B3077-WEEKDAY(B3077,2)+1)</f>
        <v/>
      </c>
      <c r="J3077" s="5">
        <f>IF(I3077="","",I3077+6)</f>
        <v/>
      </c>
      <c r="K3077" s="6">
        <f>IF(OR(A3077="",B3077=""),"",DATE(YEAR(B3077),MONTH(B3077),1))</f>
        <v/>
      </c>
      <c r="L3077" s="7">
        <f>IF(COUNTA(A3077,B3077)=0,"",IF(OR(A3077="",B3077=""),"Preencher CPF e entrada",IF(COUNTIFS($A$12:$A$5011,A3077,$B$12:$B$5011,B3077)&gt;1,"CPF + dia duplicado",IF(OR(AND(E3077&lt;&gt;"",E3077&lt;B3077),AND(F3077&lt;&gt;"",F3077&lt;B3077)),"Evento anterior à entrada",IF(AND(F3077&lt;&gt;"",E3077=""),"Conversa sem agendamento",IF(OR(E3077&gt;TODAY(),F3077&gt;TODAY()),"Verificar evento futuro","OK"))))))</f>
        <v/>
      </c>
    </row>
    <row r="3078" spans="9:12">
      <c r="I3078" s="5">
        <f>IF(OR(A3078="",B3078=""),"",B3078-WEEKDAY(B3078,2)+1)</f>
        <v/>
      </c>
      <c r="J3078" s="5">
        <f>IF(I3078="","",I3078+6)</f>
        <v/>
      </c>
      <c r="K3078" s="6">
        <f>IF(OR(A3078="",B3078=""),"",DATE(YEAR(B3078),MONTH(B3078),1))</f>
        <v/>
      </c>
      <c r="L3078" s="7">
        <f>IF(COUNTA(A3078,B3078)=0,"",IF(OR(A3078="",B3078=""),"Preencher CPF e entrada",IF(COUNTIFS($A$12:$A$5011,A3078,$B$12:$B$5011,B3078)&gt;1,"CPF + dia duplicado",IF(OR(AND(E3078&lt;&gt;"",E3078&lt;B3078),AND(F3078&lt;&gt;"",F3078&lt;B3078)),"Evento anterior à entrada",IF(AND(F3078&lt;&gt;"",E3078=""),"Conversa sem agendamento",IF(OR(E3078&gt;TODAY(),F3078&gt;TODAY()),"Verificar evento futuro","OK"))))))</f>
        <v/>
      </c>
    </row>
    <row r="3079" spans="9:12">
      <c r="I3079" s="5">
        <f>IF(OR(A3079="",B3079=""),"",B3079-WEEKDAY(B3079,2)+1)</f>
        <v/>
      </c>
      <c r="J3079" s="5">
        <f>IF(I3079="","",I3079+6)</f>
        <v/>
      </c>
      <c r="K3079" s="6">
        <f>IF(OR(A3079="",B3079=""),"",DATE(YEAR(B3079),MONTH(B3079),1))</f>
        <v/>
      </c>
      <c r="L3079" s="7">
        <f>IF(COUNTA(A3079,B3079)=0,"",IF(OR(A3079="",B3079=""),"Preencher CPF e entrada",IF(COUNTIFS($A$12:$A$5011,A3079,$B$12:$B$5011,B3079)&gt;1,"CPF + dia duplicado",IF(OR(AND(E3079&lt;&gt;"",E3079&lt;B3079),AND(F3079&lt;&gt;"",F3079&lt;B3079)),"Evento anterior à entrada",IF(AND(F3079&lt;&gt;"",E3079=""),"Conversa sem agendamento",IF(OR(E3079&gt;TODAY(),F3079&gt;TODAY()),"Verificar evento futuro","OK"))))))</f>
        <v/>
      </c>
    </row>
    <row r="3080" spans="9:12">
      <c r="I3080" s="5">
        <f>IF(OR(A3080="",B3080=""),"",B3080-WEEKDAY(B3080,2)+1)</f>
        <v/>
      </c>
      <c r="J3080" s="5">
        <f>IF(I3080="","",I3080+6)</f>
        <v/>
      </c>
      <c r="K3080" s="6">
        <f>IF(OR(A3080="",B3080=""),"",DATE(YEAR(B3080),MONTH(B3080),1))</f>
        <v/>
      </c>
      <c r="L3080" s="7">
        <f>IF(COUNTA(A3080,B3080)=0,"",IF(OR(A3080="",B3080=""),"Preencher CPF e entrada",IF(COUNTIFS($A$12:$A$5011,A3080,$B$12:$B$5011,B3080)&gt;1,"CPF + dia duplicado",IF(OR(AND(E3080&lt;&gt;"",E3080&lt;B3080),AND(F3080&lt;&gt;"",F3080&lt;B3080)),"Evento anterior à entrada",IF(AND(F3080&lt;&gt;"",E3080=""),"Conversa sem agendamento",IF(OR(E3080&gt;TODAY(),F3080&gt;TODAY()),"Verificar evento futuro","OK"))))))</f>
        <v/>
      </c>
    </row>
    <row r="3081" spans="9:12">
      <c r="I3081" s="5">
        <f>IF(OR(A3081="",B3081=""),"",B3081-WEEKDAY(B3081,2)+1)</f>
        <v/>
      </c>
      <c r="J3081" s="5">
        <f>IF(I3081="","",I3081+6)</f>
        <v/>
      </c>
      <c r="K3081" s="6">
        <f>IF(OR(A3081="",B3081=""),"",DATE(YEAR(B3081),MONTH(B3081),1))</f>
        <v/>
      </c>
      <c r="L3081" s="7">
        <f>IF(COUNTA(A3081,B3081)=0,"",IF(OR(A3081="",B3081=""),"Preencher CPF e entrada",IF(COUNTIFS($A$12:$A$5011,A3081,$B$12:$B$5011,B3081)&gt;1,"CPF + dia duplicado",IF(OR(AND(E3081&lt;&gt;"",E3081&lt;B3081),AND(F3081&lt;&gt;"",F3081&lt;B3081)),"Evento anterior à entrada",IF(AND(F3081&lt;&gt;"",E3081=""),"Conversa sem agendamento",IF(OR(E3081&gt;TODAY(),F3081&gt;TODAY()),"Verificar evento futuro","OK"))))))</f>
        <v/>
      </c>
    </row>
    <row r="3082" spans="9:12">
      <c r="I3082" s="5">
        <f>IF(OR(A3082="",B3082=""),"",B3082-WEEKDAY(B3082,2)+1)</f>
        <v/>
      </c>
      <c r="J3082" s="5">
        <f>IF(I3082="","",I3082+6)</f>
        <v/>
      </c>
      <c r="K3082" s="6">
        <f>IF(OR(A3082="",B3082=""),"",DATE(YEAR(B3082),MONTH(B3082),1))</f>
        <v/>
      </c>
      <c r="L3082" s="7">
        <f>IF(COUNTA(A3082,B3082)=0,"",IF(OR(A3082="",B3082=""),"Preencher CPF e entrada",IF(COUNTIFS($A$12:$A$5011,A3082,$B$12:$B$5011,B3082)&gt;1,"CPF + dia duplicado",IF(OR(AND(E3082&lt;&gt;"",E3082&lt;B3082),AND(F3082&lt;&gt;"",F3082&lt;B3082)),"Evento anterior à entrada",IF(AND(F3082&lt;&gt;"",E3082=""),"Conversa sem agendamento",IF(OR(E3082&gt;TODAY(),F3082&gt;TODAY()),"Verificar evento futuro","OK"))))))</f>
        <v/>
      </c>
    </row>
    <row r="3083" spans="9:12">
      <c r="I3083" s="5">
        <f>IF(OR(A3083="",B3083=""),"",B3083-WEEKDAY(B3083,2)+1)</f>
        <v/>
      </c>
      <c r="J3083" s="5">
        <f>IF(I3083="","",I3083+6)</f>
        <v/>
      </c>
      <c r="K3083" s="6">
        <f>IF(OR(A3083="",B3083=""),"",DATE(YEAR(B3083),MONTH(B3083),1))</f>
        <v/>
      </c>
      <c r="L3083" s="7">
        <f>IF(COUNTA(A3083,B3083)=0,"",IF(OR(A3083="",B3083=""),"Preencher CPF e entrada",IF(COUNTIFS($A$12:$A$5011,A3083,$B$12:$B$5011,B3083)&gt;1,"CPF + dia duplicado",IF(OR(AND(E3083&lt;&gt;"",E3083&lt;B3083),AND(F3083&lt;&gt;"",F3083&lt;B3083)),"Evento anterior à entrada",IF(AND(F3083&lt;&gt;"",E3083=""),"Conversa sem agendamento",IF(OR(E3083&gt;TODAY(),F3083&gt;TODAY()),"Verificar evento futuro","OK"))))))</f>
        <v/>
      </c>
    </row>
    <row r="3084" spans="9:12">
      <c r="I3084" s="5">
        <f>IF(OR(A3084="",B3084=""),"",B3084-WEEKDAY(B3084,2)+1)</f>
        <v/>
      </c>
      <c r="J3084" s="5">
        <f>IF(I3084="","",I3084+6)</f>
        <v/>
      </c>
      <c r="K3084" s="6">
        <f>IF(OR(A3084="",B3084=""),"",DATE(YEAR(B3084),MONTH(B3084),1))</f>
        <v/>
      </c>
      <c r="L3084" s="7">
        <f>IF(COUNTA(A3084,B3084)=0,"",IF(OR(A3084="",B3084=""),"Preencher CPF e entrada",IF(COUNTIFS($A$12:$A$5011,A3084,$B$12:$B$5011,B3084)&gt;1,"CPF + dia duplicado",IF(OR(AND(E3084&lt;&gt;"",E3084&lt;B3084),AND(F3084&lt;&gt;"",F3084&lt;B3084)),"Evento anterior à entrada",IF(AND(F3084&lt;&gt;"",E3084=""),"Conversa sem agendamento",IF(OR(E3084&gt;TODAY(),F3084&gt;TODAY()),"Verificar evento futuro","OK"))))))</f>
        <v/>
      </c>
    </row>
    <row r="3085" spans="9:12">
      <c r="I3085" s="5">
        <f>IF(OR(A3085="",B3085=""),"",B3085-WEEKDAY(B3085,2)+1)</f>
        <v/>
      </c>
      <c r="J3085" s="5">
        <f>IF(I3085="","",I3085+6)</f>
        <v/>
      </c>
      <c r="K3085" s="6">
        <f>IF(OR(A3085="",B3085=""),"",DATE(YEAR(B3085),MONTH(B3085),1))</f>
        <v/>
      </c>
      <c r="L3085" s="7">
        <f>IF(COUNTA(A3085,B3085)=0,"",IF(OR(A3085="",B3085=""),"Preencher CPF e entrada",IF(COUNTIFS($A$12:$A$5011,A3085,$B$12:$B$5011,B3085)&gt;1,"CPF + dia duplicado",IF(OR(AND(E3085&lt;&gt;"",E3085&lt;B3085),AND(F3085&lt;&gt;"",F3085&lt;B3085)),"Evento anterior à entrada",IF(AND(F3085&lt;&gt;"",E3085=""),"Conversa sem agendamento",IF(OR(E3085&gt;TODAY(),F3085&gt;TODAY()),"Verificar evento futuro","OK"))))))</f>
        <v/>
      </c>
    </row>
    <row r="3086" spans="9:12">
      <c r="I3086" s="5">
        <f>IF(OR(A3086="",B3086=""),"",B3086-WEEKDAY(B3086,2)+1)</f>
        <v/>
      </c>
      <c r="J3086" s="5">
        <f>IF(I3086="","",I3086+6)</f>
        <v/>
      </c>
      <c r="K3086" s="6">
        <f>IF(OR(A3086="",B3086=""),"",DATE(YEAR(B3086),MONTH(B3086),1))</f>
        <v/>
      </c>
      <c r="L3086" s="7">
        <f>IF(COUNTA(A3086,B3086)=0,"",IF(OR(A3086="",B3086=""),"Preencher CPF e entrada",IF(COUNTIFS($A$12:$A$5011,A3086,$B$12:$B$5011,B3086)&gt;1,"CPF + dia duplicado",IF(OR(AND(E3086&lt;&gt;"",E3086&lt;B3086),AND(F3086&lt;&gt;"",F3086&lt;B3086)),"Evento anterior à entrada",IF(AND(F3086&lt;&gt;"",E3086=""),"Conversa sem agendamento",IF(OR(E3086&gt;TODAY(),F3086&gt;TODAY()),"Verificar evento futuro","OK"))))))</f>
        <v/>
      </c>
    </row>
    <row r="3087" spans="9:12">
      <c r="I3087" s="5">
        <f>IF(OR(A3087="",B3087=""),"",B3087-WEEKDAY(B3087,2)+1)</f>
        <v/>
      </c>
      <c r="J3087" s="5">
        <f>IF(I3087="","",I3087+6)</f>
        <v/>
      </c>
      <c r="K3087" s="6">
        <f>IF(OR(A3087="",B3087=""),"",DATE(YEAR(B3087),MONTH(B3087),1))</f>
        <v/>
      </c>
      <c r="L3087" s="7">
        <f>IF(COUNTA(A3087,B3087)=0,"",IF(OR(A3087="",B3087=""),"Preencher CPF e entrada",IF(COUNTIFS($A$12:$A$5011,A3087,$B$12:$B$5011,B3087)&gt;1,"CPF + dia duplicado",IF(OR(AND(E3087&lt;&gt;"",E3087&lt;B3087),AND(F3087&lt;&gt;"",F3087&lt;B3087)),"Evento anterior à entrada",IF(AND(F3087&lt;&gt;"",E3087=""),"Conversa sem agendamento",IF(OR(E3087&gt;TODAY(),F3087&gt;TODAY()),"Verificar evento futuro","OK"))))))</f>
        <v/>
      </c>
    </row>
    <row r="3088" spans="9:12">
      <c r="I3088" s="5">
        <f>IF(OR(A3088="",B3088=""),"",B3088-WEEKDAY(B3088,2)+1)</f>
        <v/>
      </c>
      <c r="J3088" s="5">
        <f>IF(I3088="","",I3088+6)</f>
        <v/>
      </c>
      <c r="K3088" s="6">
        <f>IF(OR(A3088="",B3088=""),"",DATE(YEAR(B3088),MONTH(B3088),1))</f>
        <v/>
      </c>
      <c r="L3088" s="7">
        <f>IF(COUNTA(A3088,B3088)=0,"",IF(OR(A3088="",B3088=""),"Preencher CPF e entrada",IF(COUNTIFS($A$12:$A$5011,A3088,$B$12:$B$5011,B3088)&gt;1,"CPF + dia duplicado",IF(OR(AND(E3088&lt;&gt;"",E3088&lt;B3088),AND(F3088&lt;&gt;"",F3088&lt;B3088)),"Evento anterior à entrada",IF(AND(F3088&lt;&gt;"",E3088=""),"Conversa sem agendamento",IF(OR(E3088&gt;TODAY(),F3088&gt;TODAY()),"Verificar evento futuro","OK"))))))</f>
        <v/>
      </c>
    </row>
    <row r="3089" spans="9:12">
      <c r="I3089" s="5">
        <f>IF(OR(A3089="",B3089=""),"",B3089-WEEKDAY(B3089,2)+1)</f>
        <v/>
      </c>
      <c r="J3089" s="5">
        <f>IF(I3089="","",I3089+6)</f>
        <v/>
      </c>
      <c r="K3089" s="6">
        <f>IF(OR(A3089="",B3089=""),"",DATE(YEAR(B3089),MONTH(B3089),1))</f>
        <v/>
      </c>
      <c r="L3089" s="7">
        <f>IF(COUNTA(A3089,B3089)=0,"",IF(OR(A3089="",B3089=""),"Preencher CPF e entrada",IF(COUNTIFS($A$12:$A$5011,A3089,$B$12:$B$5011,B3089)&gt;1,"CPF + dia duplicado",IF(OR(AND(E3089&lt;&gt;"",E3089&lt;B3089),AND(F3089&lt;&gt;"",F3089&lt;B3089)),"Evento anterior à entrada",IF(AND(F3089&lt;&gt;"",E3089=""),"Conversa sem agendamento",IF(OR(E3089&gt;TODAY(),F3089&gt;TODAY()),"Verificar evento futuro","OK"))))))</f>
        <v/>
      </c>
    </row>
    <row r="3090" spans="9:12">
      <c r="I3090" s="5">
        <f>IF(OR(A3090="",B3090=""),"",B3090-WEEKDAY(B3090,2)+1)</f>
        <v/>
      </c>
      <c r="J3090" s="5">
        <f>IF(I3090="","",I3090+6)</f>
        <v/>
      </c>
      <c r="K3090" s="6">
        <f>IF(OR(A3090="",B3090=""),"",DATE(YEAR(B3090),MONTH(B3090),1))</f>
        <v/>
      </c>
      <c r="L3090" s="7">
        <f>IF(COUNTA(A3090,B3090)=0,"",IF(OR(A3090="",B3090=""),"Preencher CPF e entrada",IF(COUNTIFS($A$12:$A$5011,A3090,$B$12:$B$5011,B3090)&gt;1,"CPF + dia duplicado",IF(OR(AND(E3090&lt;&gt;"",E3090&lt;B3090),AND(F3090&lt;&gt;"",F3090&lt;B3090)),"Evento anterior à entrada",IF(AND(F3090&lt;&gt;"",E3090=""),"Conversa sem agendamento",IF(OR(E3090&gt;TODAY(),F3090&gt;TODAY()),"Verificar evento futuro","OK"))))))</f>
        <v/>
      </c>
    </row>
    <row r="3091" spans="9:12">
      <c r="I3091" s="5">
        <f>IF(OR(A3091="",B3091=""),"",B3091-WEEKDAY(B3091,2)+1)</f>
        <v/>
      </c>
      <c r="J3091" s="5">
        <f>IF(I3091="","",I3091+6)</f>
        <v/>
      </c>
      <c r="K3091" s="6">
        <f>IF(OR(A3091="",B3091=""),"",DATE(YEAR(B3091),MONTH(B3091),1))</f>
        <v/>
      </c>
      <c r="L3091" s="7">
        <f>IF(COUNTA(A3091,B3091)=0,"",IF(OR(A3091="",B3091=""),"Preencher CPF e entrada",IF(COUNTIFS($A$12:$A$5011,A3091,$B$12:$B$5011,B3091)&gt;1,"CPF + dia duplicado",IF(OR(AND(E3091&lt;&gt;"",E3091&lt;B3091),AND(F3091&lt;&gt;"",F3091&lt;B3091)),"Evento anterior à entrada",IF(AND(F3091&lt;&gt;"",E3091=""),"Conversa sem agendamento",IF(OR(E3091&gt;TODAY(),F3091&gt;TODAY()),"Verificar evento futuro","OK"))))))</f>
        <v/>
      </c>
    </row>
    <row r="3092" spans="9:12">
      <c r="I3092" s="5">
        <f>IF(OR(A3092="",B3092=""),"",B3092-WEEKDAY(B3092,2)+1)</f>
        <v/>
      </c>
      <c r="J3092" s="5">
        <f>IF(I3092="","",I3092+6)</f>
        <v/>
      </c>
      <c r="K3092" s="6">
        <f>IF(OR(A3092="",B3092=""),"",DATE(YEAR(B3092),MONTH(B3092),1))</f>
        <v/>
      </c>
      <c r="L3092" s="7">
        <f>IF(COUNTA(A3092,B3092)=0,"",IF(OR(A3092="",B3092=""),"Preencher CPF e entrada",IF(COUNTIFS($A$12:$A$5011,A3092,$B$12:$B$5011,B3092)&gt;1,"CPF + dia duplicado",IF(OR(AND(E3092&lt;&gt;"",E3092&lt;B3092),AND(F3092&lt;&gt;"",F3092&lt;B3092)),"Evento anterior à entrada",IF(AND(F3092&lt;&gt;"",E3092=""),"Conversa sem agendamento",IF(OR(E3092&gt;TODAY(),F3092&gt;TODAY()),"Verificar evento futuro","OK"))))))</f>
        <v/>
      </c>
    </row>
    <row r="3093" spans="9:12">
      <c r="I3093" s="5">
        <f>IF(OR(A3093="",B3093=""),"",B3093-WEEKDAY(B3093,2)+1)</f>
        <v/>
      </c>
      <c r="J3093" s="5">
        <f>IF(I3093="","",I3093+6)</f>
        <v/>
      </c>
      <c r="K3093" s="6">
        <f>IF(OR(A3093="",B3093=""),"",DATE(YEAR(B3093),MONTH(B3093),1))</f>
        <v/>
      </c>
      <c r="L3093" s="7">
        <f>IF(COUNTA(A3093,B3093)=0,"",IF(OR(A3093="",B3093=""),"Preencher CPF e entrada",IF(COUNTIFS($A$12:$A$5011,A3093,$B$12:$B$5011,B3093)&gt;1,"CPF + dia duplicado",IF(OR(AND(E3093&lt;&gt;"",E3093&lt;B3093),AND(F3093&lt;&gt;"",F3093&lt;B3093)),"Evento anterior à entrada",IF(AND(F3093&lt;&gt;"",E3093=""),"Conversa sem agendamento",IF(OR(E3093&gt;TODAY(),F3093&gt;TODAY()),"Verificar evento futuro","OK"))))))</f>
        <v/>
      </c>
    </row>
    <row r="3094" spans="9:12">
      <c r="I3094" s="5">
        <f>IF(OR(A3094="",B3094=""),"",B3094-WEEKDAY(B3094,2)+1)</f>
        <v/>
      </c>
      <c r="J3094" s="5">
        <f>IF(I3094="","",I3094+6)</f>
        <v/>
      </c>
      <c r="K3094" s="6">
        <f>IF(OR(A3094="",B3094=""),"",DATE(YEAR(B3094),MONTH(B3094),1))</f>
        <v/>
      </c>
      <c r="L3094" s="7">
        <f>IF(COUNTA(A3094,B3094)=0,"",IF(OR(A3094="",B3094=""),"Preencher CPF e entrada",IF(COUNTIFS($A$12:$A$5011,A3094,$B$12:$B$5011,B3094)&gt;1,"CPF + dia duplicado",IF(OR(AND(E3094&lt;&gt;"",E3094&lt;B3094),AND(F3094&lt;&gt;"",F3094&lt;B3094)),"Evento anterior à entrada",IF(AND(F3094&lt;&gt;"",E3094=""),"Conversa sem agendamento",IF(OR(E3094&gt;TODAY(),F3094&gt;TODAY()),"Verificar evento futuro","OK"))))))</f>
        <v/>
      </c>
    </row>
    <row r="3095" spans="9:12">
      <c r="I3095" s="5">
        <f>IF(OR(A3095="",B3095=""),"",B3095-WEEKDAY(B3095,2)+1)</f>
        <v/>
      </c>
      <c r="J3095" s="5">
        <f>IF(I3095="","",I3095+6)</f>
        <v/>
      </c>
      <c r="K3095" s="6">
        <f>IF(OR(A3095="",B3095=""),"",DATE(YEAR(B3095),MONTH(B3095),1))</f>
        <v/>
      </c>
      <c r="L3095" s="7">
        <f>IF(COUNTA(A3095,B3095)=0,"",IF(OR(A3095="",B3095=""),"Preencher CPF e entrada",IF(COUNTIFS($A$12:$A$5011,A3095,$B$12:$B$5011,B3095)&gt;1,"CPF + dia duplicado",IF(OR(AND(E3095&lt;&gt;"",E3095&lt;B3095),AND(F3095&lt;&gt;"",F3095&lt;B3095)),"Evento anterior à entrada",IF(AND(F3095&lt;&gt;"",E3095=""),"Conversa sem agendamento",IF(OR(E3095&gt;TODAY(),F3095&gt;TODAY()),"Verificar evento futuro","OK"))))))</f>
        <v/>
      </c>
    </row>
    <row r="3096" spans="9:12">
      <c r="I3096" s="5">
        <f>IF(OR(A3096="",B3096=""),"",B3096-WEEKDAY(B3096,2)+1)</f>
        <v/>
      </c>
      <c r="J3096" s="5">
        <f>IF(I3096="","",I3096+6)</f>
        <v/>
      </c>
      <c r="K3096" s="6">
        <f>IF(OR(A3096="",B3096=""),"",DATE(YEAR(B3096),MONTH(B3096),1))</f>
        <v/>
      </c>
      <c r="L3096" s="7">
        <f>IF(COUNTA(A3096,B3096)=0,"",IF(OR(A3096="",B3096=""),"Preencher CPF e entrada",IF(COUNTIFS($A$12:$A$5011,A3096,$B$12:$B$5011,B3096)&gt;1,"CPF + dia duplicado",IF(OR(AND(E3096&lt;&gt;"",E3096&lt;B3096),AND(F3096&lt;&gt;"",F3096&lt;B3096)),"Evento anterior à entrada",IF(AND(F3096&lt;&gt;"",E3096=""),"Conversa sem agendamento",IF(OR(E3096&gt;TODAY(),F3096&gt;TODAY()),"Verificar evento futuro","OK"))))))</f>
        <v/>
      </c>
    </row>
    <row r="3097" spans="9:12">
      <c r="I3097" s="5">
        <f>IF(OR(A3097="",B3097=""),"",B3097-WEEKDAY(B3097,2)+1)</f>
        <v/>
      </c>
      <c r="J3097" s="5">
        <f>IF(I3097="","",I3097+6)</f>
        <v/>
      </c>
      <c r="K3097" s="6">
        <f>IF(OR(A3097="",B3097=""),"",DATE(YEAR(B3097),MONTH(B3097),1))</f>
        <v/>
      </c>
      <c r="L3097" s="7">
        <f>IF(COUNTA(A3097,B3097)=0,"",IF(OR(A3097="",B3097=""),"Preencher CPF e entrada",IF(COUNTIFS($A$12:$A$5011,A3097,$B$12:$B$5011,B3097)&gt;1,"CPF + dia duplicado",IF(OR(AND(E3097&lt;&gt;"",E3097&lt;B3097),AND(F3097&lt;&gt;"",F3097&lt;B3097)),"Evento anterior à entrada",IF(AND(F3097&lt;&gt;"",E3097=""),"Conversa sem agendamento",IF(OR(E3097&gt;TODAY(),F3097&gt;TODAY()),"Verificar evento futuro","OK"))))))</f>
        <v/>
      </c>
    </row>
    <row r="3098" spans="9:12">
      <c r="I3098" s="5">
        <f>IF(OR(A3098="",B3098=""),"",B3098-WEEKDAY(B3098,2)+1)</f>
        <v/>
      </c>
      <c r="J3098" s="5">
        <f>IF(I3098="","",I3098+6)</f>
        <v/>
      </c>
      <c r="K3098" s="6">
        <f>IF(OR(A3098="",B3098=""),"",DATE(YEAR(B3098),MONTH(B3098),1))</f>
        <v/>
      </c>
      <c r="L3098" s="7">
        <f>IF(COUNTA(A3098,B3098)=0,"",IF(OR(A3098="",B3098=""),"Preencher CPF e entrada",IF(COUNTIFS($A$12:$A$5011,A3098,$B$12:$B$5011,B3098)&gt;1,"CPF + dia duplicado",IF(OR(AND(E3098&lt;&gt;"",E3098&lt;B3098),AND(F3098&lt;&gt;"",F3098&lt;B3098)),"Evento anterior à entrada",IF(AND(F3098&lt;&gt;"",E3098=""),"Conversa sem agendamento",IF(OR(E3098&gt;TODAY(),F3098&gt;TODAY()),"Verificar evento futuro","OK"))))))</f>
        <v/>
      </c>
    </row>
    <row r="3099" spans="9:12">
      <c r="I3099" s="5">
        <f>IF(OR(A3099="",B3099=""),"",B3099-WEEKDAY(B3099,2)+1)</f>
        <v/>
      </c>
      <c r="J3099" s="5">
        <f>IF(I3099="","",I3099+6)</f>
        <v/>
      </c>
      <c r="K3099" s="6">
        <f>IF(OR(A3099="",B3099=""),"",DATE(YEAR(B3099),MONTH(B3099),1))</f>
        <v/>
      </c>
      <c r="L3099" s="7">
        <f>IF(COUNTA(A3099,B3099)=0,"",IF(OR(A3099="",B3099=""),"Preencher CPF e entrada",IF(COUNTIFS($A$12:$A$5011,A3099,$B$12:$B$5011,B3099)&gt;1,"CPF + dia duplicado",IF(OR(AND(E3099&lt;&gt;"",E3099&lt;B3099),AND(F3099&lt;&gt;"",F3099&lt;B3099)),"Evento anterior à entrada",IF(AND(F3099&lt;&gt;"",E3099=""),"Conversa sem agendamento",IF(OR(E3099&gt;TODAY(),F3099&gt;TODAY()),"Verificar evento futuro","OK"))))))</f>
        <v/>
      </c>
    </row>
    <row r="3100" spans="9:12">
      <c r="I3100" s="5">
        <f>IF(OR(A3100="",B3100=""),"",B3100-WEEKDAY(B3100,2)+1)</f>
        <v/>
      </c>
      <c r="J3100" s="5">
        <f>IF(I3100="","",I3100+6)</f>
        <v/>
      </c>
      <c r="K3100" s="6">
        <f>IF(OR(A3100="",B3100=""),"",DATE(YEAR(B3100),MONTH(B3100),1))</f>
        <v/>
      </c>
      <c r="L3100" s="7">
        <f>IF(COUNTA(A3100,B3100)=0,"",IF(OR(A3100="",B3100=""),"Preencher CPF e entrada",IF(COUNTIFS($A$12:$A$5011,A3100,$B$12:$B$5011,B3100)&gt;1,"CPF + dia duplicado",IF(OR(AND(E3100&lt;&gt;"",E3100&lt;B3100),AND(F3100&lt;&gt;"",F3100&lt;B3100)),"Evento anterior à entrada",IF(AND(F3100&lt;&gt;"",E3100=""),"Conversa sem agendamento",IF(OR(E3100&gt;TODAY(),F3100&gt;TODAY()),"Verificar evento futuro","OK"))))))</f>
        <v/>
      </c>
    </row>
    <row r="3101" spans="9:12">
      <c r="I3101" s="5">
        <f>IF(OR(A3101="",B3101=""),"",B3101-WEEKDAY(B3101,2)+1)</f>
        <v/>
      </c>
      <c r="J3101" s="5">
        <f>IF(I3101="","",I3101+6)</f>
        <v/>
      </c>
      <c r="K3101" s="6">
        <f>IF(OR(A3101="",B3101=""),"",DATE(YEAR(B3101),MONTH(B3101),1))</f>
        <v/>
      </c>
      <c r="L3101" s="7">
        <f>IF(COUNTA(A3101,B3101)=0,"",IF(OR(A3101="",B3101=""),"Preencher CPF e entrada",IF(COUNTIFS($A$12:$A$5011,A3101,$B$12:$B$5011,B3101)&gt;1,"CPF + dia duplicado",IF(OR(AND(E3101&lt;&gt;"",E3101&lt;B3101),AND(F3101&lt;&gt;"",F3101&lt;B3101)),"Evento anterior à entrada",IF(AND(F3101&lt;&gt;"",E3101=""),"Conversa sem agendamento",IF(OR(E3101&gt;TODAY(),F3101&gt;TODAY()),"Verificar evento futuro","OK"))))))</f>
        <v/>
      </c>
    </row>
    <row r="3102" spans="9:12">
      <c r="I3102" s="5">
        <f>IF(OR(A3102="",B3102=""),"",B3102-WEEKDAY(B3102,2)+1)</f>
        <v/>
      </c>
      <c r="J3102" s="5">
        <f>IF(I3102="","",I3102+6)</f>
        <v/>
      </c>
      <c r="K3102" s="6">
        <f>IF(OR(A3102="",B3102=""),"",DATE(YEAR(B3102),MONTH(B3102),1))</f>
        <v/>
      </c>
      <c r="L3102" s="7">
        <f>IF(COUNTA(A3102,B3102)=0,"",IF(OR(A3102="",B3102=""),"Preencher CPF e entrada",IF(COUNTIFS($A$12:$A$5011,A3102,$B$12:$B$5011,B3102)&gt;1,"CPF + dia duplicado",IF(OR(AND(E3102&lt;&gt;"",E3102&lt;B3102),AND(F3102&lt;&gt;"",F3102&lt;B3102)),"Evento anterior à entrada",IF(AND(F3102&lt;&gt;"",E3102=""),"Conversa sem agendamento",IF(OR(E3102&gt;TODAY(),F3102&gt;TODAY()),"Verificar evento futuro","OK"))))))</f>
        <v/>
      </c>
    </row>
    <row r="3103" spans="9:12">
      <c r="I3103" s="5">
        <f>IF(OR(A3103="",B3103=""),"",B3103-WEEKDAY(B3103,2)+1)</f>
        <v/>
      </c>
      <c r="J3103" s="5">
        <f>IF(I3103="","",I3103+6)</f>
        <v/>
      </c>
      <c r="K3103" s="6">
        <f>IF(OR(A3103="",B3103=""),"",DATE(YEAR(B3103),MONTH(B3103),1))</f>
        <v/>
      </c>
      <c r="L3103" s="7">
        <f>IF(COUNTA(A3103,B3103)=0,"",IF(OR(A3103="",B3103=""),"Preencher CPF e entrada",IF(COUNTIFS($A$12:$A$5011,A3103,$B$12:$B$5011,B3103)&gt;1,"CPF + dia duplicado",IF(OR(AND(E3103&lt;&gt;"",E3103&lt;B3103),AND(F3103&lt;&gt;"",F3103&lt;B3103)),"Evento anterior à entrada",IF(AND(F3103&lt;&gt;"",E3103=""),"Conversa sem agendamento",IF(OR(E3103&gt;TODAY(),F3103&gt;TODAY()),"Verificar evento futuro","OK"))))))</f>
        <v/>
      </c>
    </row>
    <row r="3104" spans="9:12">
      <c r="I3104" s="5">
        <f>IF(OR(A3104="",B3104=""),"",B3104-WEEKDAY(B3104,2)+1)</f>
        <v/>
      </c>
      <c r="J3104" s="5">
        <f>IF(I3104="","",I3104+6)</f>
        <v/>
      </c>
      <c r="K3104" s="6">
        <f>IF(OR(A3104="",B3104=""),"",DATE(YEAR(B3104),MONTH(B3104),1))</f>
        <v/>
      </c>
      <c r="L3104" s="7">
        <f>IF(COUNTA(A3104,B3104)=0,"",IF(OR(A3104="",B3104=""),"Preencher CPF e entrada",IF(COUNTIFS($A$12:$A$5011,A3104,$B$12:$B$5011,B3104)&gt;1,"CPF + dia duplicado",IF(OR(AND(E3104&lt;&gt;"",E3104&lt;B3104),AND(F3104&lt;&gt;"",F3104&lt;B3104)),"Evento anterior à entrada",IF(AND(F3104&lt;&gt;"",E3104=""),"Conversa sem agendamento",IF(OR(E3104&gt;TODAY(),F3104&gt;TODAY()),"Verificar evento futuro","OK"))))))</f>
        <v/>
      </c>
    </row>
    <row r="3105" spans="9:12">
      <c r="I3105" s="5">
        <f>IF(OR(A3105="",B3105=""),"",B3105-WEEKDAY(B3105,2)+1)</f>
        <v/>
      </c>
      <c r="J3105" s="5">
        <f>IF(I3105="","",I3105+6)</f>
        <v/>
      </c>
      <c r="K3105" s="6">
        <f>IF(OR(A3105="",B3105=""),"",DATE(YEAR(B3105),MONTH(B3105),1))</f>
        <v/>
      </c>
      <c r="L3105" s="7">
        <f>IF(COUNTA(A3105,B3105)=0,"",IF(OR(A3105="",B3105=""),"Preencher CPF e entrada",IF(COUNTIFS($A$12:$A$5011,A3105,$B$12:$B$5011,B3105)&gt;1,"CPF + dia duplicado",IF(OR(AND(E3105&lt;&gt;"",E3105&lt;B3105),AND(F3105&lt;&gt;"",F3105&lt;B3105)),"Evento anterior à entrada",IF(AND(F3105&lt;&gt;"",E3105=""),"Conversa sem agendamento",IF(OR(E3105&gt;TODAY(),F3105&gt;TODAY()),"Verificar evento futuro","OK"))))))</f>
        <v/>
      </c>
    </row>
    <row r="3106" spans="9:12">
      <c r="I3106" s="5">
        <f>IF(OR(A3106="",B3106=""),"",B3106-WEEKDAY(B3106,2)+1)</f>
        <v/>
      </c>
      <c r="J3106" s="5">
        <f>IF(I3106="","",I3106+6)</f>
        <v/>
      </c>
      <c r="K3106" s="6">
        <f>IF(OR(A3106="",B3106=""),"",DATE(YEAR(B3106),MONTH(B3106),1))</f>
        <v/>
      </c>
      <c r="L3106" s="7">
        <f>IF(COUNTA(A3106,B3106)=0,"",IF(OR(A3106="",B3106=""),"Preencher CPF e entrada",IF(COUNTIFS($A$12:$A$5011,A3106,$B$12:$B$5011,B3106)&gt;1,"CPF + dia duplicado",IF(OR(AND(E3106&lt;&gt;"",E3106&lt;B3106),AND(F3106&lt;&gt;"",F3106&lt;B3106)),"Evento anterior à entrada",IF(AND(F3106&lt;&gt;"",E3106=""),"Conversa sem agendamento",IF(OR(E3106&gt;TODAY(),F3106&gt;TODAY()),"Verificar evento futuro","OK"))))))</f>
        <v/>
      </c>
    </row>
    <row r="3107" spans="9:12">
      <c r="I3107" s="5">
        <f>IF(OR(A3107="",B3107=""),"",B3107-WEEKDAY(B3107,2)+1)</f>
        <v/>
      </c>
      <c r="J3107" s="5">
        <f>IF(I3107="","",I3107+6)</f>
        <v/>
      </c>
      <c r="K3107" s="6">
        <f>IF(OR(A3107="",B3107=""),"",DATE(YEAR(B3107),MONTH(B3107),1))</f>
        <v/>
      </c>
      <c r="L3107" s="7">
        <f>IF(COUNTA(A3107,B3107)=0,"",IF(OR(A3107="",B3107=""),"Preencher CPF e entrada",IF(COUNTIFS($A$12:$A$5011,A3107,$B$12:$B$5011,B3107)&gt;1,"CPF + dia duplicado",IF(OR(AND(E3107&lt;&gt;"",E3107&lt;B3107),AND(F3107&lt;&gt;"",F3107&lt;B3107)),"Evento anterior à entrada",IF(AND(F3107&lt;&gt;"",E3107=""),"Conversa sem agendamento",IF(OR(E3107&gt;TODAY(),F3107&gt;TODAY()),"Verificar evento futuro","OK"))))))</f>
        <v/>
      </c>
    </row>
    <row r="3108" spans="9:12">
      <c r="I3108" s="5">
        <f>IF(OR(A3108="",B3108=""),"",B3108-WEEKDAY(B3108,2)+1)</f>
        <v/>
      </c>
      <c r="J3108" s="5">
        <f>IF(I3108="","",I3108+6)</f>
        <v/>
      </c>
      <c r="K3108" s="6">
        <f>IF(OR(A3108="",B3108=""),"",DATE(YEAR(B3108),MONTH(B3108),1))</f>
        <v/>
      </c>
      <c r="L3108" s="7">
        <f>IF(COUNTA(A3108,B3108)=0,"",IF(OR(A3108="",B3108=""),"Preencher CPF e entrada",IF(COUNTIFS($A$12:$A$5011,A3108,$B$12:$B$5011,B3108)&gt;1,"CPF + dia duplicado",IF(OR(AND(E3108&lt;&gt;"",E3108&lt;B3108),AND(F3108&lt;&gt;"",F3108&lt;B3108)),"Evento anterior à entrada",IF(AND(F3108&lt;&gt;"",E3108=""),"Conversa sem agendamento",IF(OR(E3108&gt;TODAY(),F3108&gt;TODAY()),"Verificar evento futuro","OK"))))))</f>
        <v/>
      </c>
    </row>
    <row r="3109" spans="9:12">
      <c r="I3109" s="5">
        <f>IF(OR(A3109="",B3109=""),"",B3109-WEEKDAY(B3109,2)+1)</f>
        <v/>
      </c>
      <c r="J3109" s="5">
        <f>IF(I3109="","",I3109+6)</f>
        <v/>
      </c>
      <c r="K3109" s="6">
        <f>IF(OR(A3109="",B3109=""),"",DATE(YEAR(B3109),MONTH(B3109),1))</f>
        <v/>
      </c>
      <c r="L3109" s="7">
        <f>IF(COUNTA(A3109,B3109)=0,"",IF(OR(A3109="",B3109=""),"Preencher CPF e entrada",IF(COUNTIFS($A$12:$A$5011,A3109,$B$12:$B$5011,B3109)&gt;1,"CPF + dia duplicado",IF(OR(AND(E3109&lt;&gt;"",E3109&lt;B3109),AND(F3109&lt;&gt;"",F3109&lt;B3109)),"Evento anterior à entrada",IF(AND(F3109&lt;&gt;"",E3109=""),"Conversa sem agendamento",IF(OR(E3109&gt;TODAY(),F3109&gt;TODAY()),"Verificar evento futuro","OK"))))))</f>
        <v/>
      </c>
    </row>
    <row r="3110" spans="9:12">
      <c r="I3110" s="5">
        <f>IF(OR(A3110="",B3110=""),"",B3110-WEEKDAY(B3110,2)+1)</f>
        <v/>
      </c>
      <c r="J3110" s="5">
        <f>IF(I3110="","",I3110+6)</f>
        <v/>
      </c>
      <c r="K3110" s="6">
        <f>IF(OR(A3110="",B3110=""),"",DATE(YEAR(B3110),MONTH(B3110),1))</f>
        <v/>
      </c>
      <c r="L3110" s="7">
        <f>IF(COUNTA(A3110,B3110)=0,"",IF(OR(A3110="",B3110=""),"Preencher CPF e entrada",IF(COUNTIFS($A$12:$A$5011,A3110,$B$12:$B$5011,B3110)&gt;1,"CPF + dia duplicado",IF(OR(AND(E3110&lt;&gt;"",E3110&lt;B3110),AND(F3110&lt;&gt;"",F3110&lt;B3110)),"Evento anterior à entrada",IF(AND(F3110&lt;&gt;"",E3110=""),"Conversa sem agendamento",IF(OR(E3110&gt;TODAY(),F3110&gt;TODAY()),"Verificar evento futuro","OK"))))))</f>
        <v/>
      </c>
    </row>
    <row r="3111" spans="9:12">
      <c r="I3111" s="5">
        <f>IF(OR(A3111="",B3111=""),"",B3111-WEEKDAY(B3111,2)+1)</f>
        <v/>
      </c>
      <c r="J3111" s="5">
        <f>IF(I3111="","",I3111+6)</f>
        <v/>
      </c>
      <c r="K3111" s="6">
        <f>IF(OR(A3111="",B3111=""),"",DATE(YEAR(B3111),MONTH(B3111),1))</f>
        <v/>
      </c>
      <c r="L3111" s="7">
        <f>IF(COUNTA(A3111,B3111)=0,"",IF(OR(A3111="",B3111=""),"Preencher CPF e entrada",IF(COUNTIFS($A$12:$A$5011,A3111,$B$12:$B$5011,B3111)&gt;1,"CPF + dia duplicado",IF(OR(AND(E3111&lt;&gt;"",E3111&lt;B3111),AND(F3111&lt;&gt;"",F3111&lt;B3111)),"Evento anterior à entrada",IF(AND(F3111&lt;&gt;"",E3111=""),"Conversa sem agendamento",IF(OR(E3111&gt;TODAY(),F3111&gt;TODAY()),"Verificar evento futuro","OK"))))))</f>
        <v/>
      </c>
    </row>
    <row r="3112" spans="9:12">
      <c r="I3112" s="5">
        <f>IF(OR(A3112="",B3112=""),"",B3112-WEEKDAY(B3112,2)+1)</f>
        <v/>
      </c>
      <c r="J3112" s="5">
        <f>IF(I3112="","",I3112+6)</f>
        <v/>
      </c>
      <c r="K3112" s="6">
        <f>IF(OR(A3112="",B3112=""),"",DATE(YEAR(B3112),MONTH(B3112),1))</f>
        <v/>
      </c>
      <c r="L3112" s="7">
        <f>IF(COUNTA(A3112,B3112)=0,"",IF(OR(A3112="",B3112=""),"Preencher CPF e entrada",IF(COUNTIFS($A$12:$A$5011,A3112,$B$12:$B$5011,B3112)&gt;1,"CPF + dia duplicado",IF(OR(AND(E3112&lt;&gt;"",E3112&lt;B3112),AND(F3112&lt;&gt;"",F3112&lt;B3112)),"Evento anterior à entrada",IF(AND(F3112&lt;&gt;"",E3112=""),"Conversa sem agendamento",IF(OR(E3112&gt;TODAY(),F3112&gt;TODAY()),"Verificar evento futuro","OK"))))))</f>
        <v/>
      </c>
    </row>
    <row r="3113" spans="9:12">
      <c r="I3113" s="5">
        <f>IF(OR(A3113="",B3113=""),"",B3113-WEEKDAY(B3113,2)+1)</f>
        <v/>
      </c>
      <c r="J3113" s="5">
        <f>IF(I3113="","",I3113+6)</f>
        <v/>
      </c>
      <c r="K3113" s="6">
        <f>IF(OR(A3113="",B3113=""),"",DATE(YEAR(B3113),MONTH(B3113),1))</f>
        <v/>
      </c>
      <c r="L3113" s="7">
        <f>IF(COUNTA(A3113,B3113)=0,"",IF(OR(A3113="",B3113=""),"Preencher CPF e entrada",IF(COUNTIFS($A$12:$A$5011,A3113,$B$12:$B$5011,B3113)&gt;1,"CPF + dia duplicado",IF(OR(AND(E3113&lt;&gt;"",E3113&lt;B3113),AND(F3113&lt;&gt;"",F3113&lt;B3113)),"Evento anterior à entrada",IF(AND(F3113&lt;&gt;"",E3113=""),"Conversa sem agendamento",IF(OR(E3113&gt;TODAY(),F3113&gt;TODAY()),"Verificar evento futuro","OK"))))))</f>
        <v/>
      </c>
    </row>
    <row r="3114" spans="9:12">
      <c r="I3114" s="5">
        <f>IF(OR(A3114="",B3114=""),"",B3114-WEEKDAY(B3114,2)+1)</f>
        <v/>
      </c>
      <c r="J3114" s="5">
        <f>IF(I3114="","",I3114+6)</f>
        <v/>
      </c>
      <c r="K3114" s="6">
        <f>IF(OR(A3114="",B3114=""),"",DATE(YEAR(B3114),MONTH(B3114),1))</f>
        <v/>
      </c>
      <c r="L3114" s="7">
        <f>IF(COUNTA(A3114,B3114)=0,"",IF(OR(A3114="",B3114=""),"Preencher CPF e entrada",IF(COUNTIFS($A$12:$A$5011,A3114,$B$12:$B$5011,B3114)&gt;1,"CPF + dia duplicado",IF(OR(AND(E3114&lt;&gt;"",E3114&lt;B3114),AND(F3114&lt;&gt;"",F3114&lt;B3114)),"Evento anterior à entrada",IF(AND(F3114&lt;&gt;"",E3114=""),"Conversa sem agendamento",IF(OR(E3114&gt;TODAY(),F3114&gt;TODAY()),"Verificar evento futuro","OK"))))))</f>
        <v/>
      </c>
    </row>
    <row r="3115" spans="9:12">
      <c r="I3115" s="5">
        <f>IF(OR(A3115="",B3115=""),"",B3115-WEEKDAY(B3115,2)+1)</f>
        <v/>
      </c>
      <c r="J3115" s="5">
        <f>IF(I3115="","",I3115+6)</f>
        <v/>
      </c>
      <c r="K3115" s="6">
        <f>IF(OR(A3115="",B3115=""),"",DATE(YEAR(B3115),MONTH(B3115),1))</f>
        <v/>
      </c>
      <c r="L3115" s="7">
        <f>IF(COUNTA(A3115,B3115)=0,"",IF(OR(A3115="",B3115=""),"Preencher CPF e entrada",IF(COUNTIFS($A$12:$A$5011,A3115,$B$12:$B$5011,B3115)&gt;1,"CPF + dia duplicado",IF(OR(AND(E3115&lt;&gt;"",E3115&lt;B3115),AND(F3115&lt;&gt;"",F3115&lt;B3115)),"Evento anterior à entrada",IF(AND(F3115&lt;&gt;"",E3115=""),"Conversa sem agendamento",IF(OR(E3115&gt;TODAY(),F3115&gt;TODAY()),"Verificar evento futuro","OK"))))))</f>
        <v/>
      </c>
    </row>
    <row r="3116" spans="9:12">
      <c r="I3116" s="5">
        <f>IF(OR(A3116="",B3116=""),"",B3116-WEEKDAY(B3116,2)+1)</f>
        <v/>
      </c>
      <c r="J3116" s="5">
        <f>IF(I3116="","",I3116+6)</f>
        <v/>
      </c>
      <c r="K3116" s="6">
        <f>IF(OR(A3116="",B3116=""),"",DATE(YEAR(B3116),MONTH(B3116),1))</f>
        <v/>
      </c>
      <c r="L3116" s="7">
        <f>IF(COUNTA(A3116,B3116)=0,"",IF(OR(A3116="",B3116=""),"Preencher CPF e entrada",IF(COUNTIFS($A$12:$A$5011,A3116,$B$12:$B$5011,B3116)&gt;1,"CPF + dia duplicado",IF(OR(AND(E3116&lt;&gt;"",E3116&lt;B3116),AND(F3116&lt;&gt;"",F3116&lt;B3116)),"Evento anterior à entrada",IF(AND(F3116&lt;&gt;"",E3116=""),"Conversa sem agendamento",IF(OR(E3116&gt;TODAY(),F3116&gt;TODAY()),"Verificar evento futuro","OK"))))))</f>
        <v/>
      </c>
    </row>
    <row r="3117" spans="9:12">
      <c r="I3117" s="5">
        <f>IF(OR(A3117="",B3117=""),"",B3117-WEEKDAY(B3117,2)+1)</f>
        <v/>
      </c>
      <c r="J3117" s="5">
        <f>IF(I3117="","",I3117+6)</f>
        <v/>
      </c>
      <c r="K3117" s="6">
        <f>IF(OR(A3117="",B3117=""),"",DATE(YEAR(B3117),MONTH(B3117),1))</f>
        <v/>
      </c>
      <c r="L3117" s="7">
        <f>IF(COUNTA(A3117,B3117)=0,"",IF(OR(A3117="",B3117=""),"Preencher CPF e entrada",IF(COUNTIFS($A$12:$A$5011,A3117,$B$12:$B$5011,B3117)&gt;1,"CPF + dia duplicado",IF(OR(AND(E3117&lt;&gt;"",E3117&lt;B3117),AND(F3117&lt;&gt;"",F3117&lt;B3117)),"Evento anterior à entrada",IF(AND(F3117&lt;&gt;"",E3117=""),"Conversa sem agendamento",IF(OR(E3117&gt;TODAY(),F3117&gt;TODAY()),"Verificar evento futuro","OK"))))))</f>
        <v/>
      </c>
    </row>
    <row r="3118" spans="9:12">
      <c r="I3118" s="5">
        <f>IF(OR(A3118="",B3118=""),"",B3118-WEEKDAY(B3118,2)+1)</f>
        <v/>
      </c>
      <c r="J3118" s="5">
        <f>IF(I3118="","",I3118+6)</f>
        <v/>
      </c>
      <c r="K3118" s="6">
        <f>IF(OR(A3118="",B3118=""),"",DATE(YEAR(B3118),MONTH(B3118),1))</f>
        <v/>
      </c>
      <c r="L3118" s="7">
        <f>IF(COUNTA(A3118,B3118)=0,"",IF(OR(A3118="",B3118=""),"Preencher CPF e entrada",IF(COUNTIFS($A$12:$A$5011,A3118,$B$12:$B$5011,B3118)&gt;1,"CPF + dia duplicado",IF(OR(AND(E3118&lt;&gt;"",E3118&lt;B3118),AND(F3118&lt;&gt;"",F3118&lt;B3118)),"Evento anterior à entrada",IF(AND(F3118&lt;&gt;"",E3118=""),"Conversa sem agendamento",IF(OR(E3118&gt;TODAY(),F3118&gt;TODAY()),"Verificar evento futuro","OK"))))))</f>
        <v/>
      </c>
    </row>
    <row r="3119" spans="9:12">
      <c r="I3119" s="5">
        <f>IF(OR(A3119="",B3119=""),"",B3119-WEEKDAY(B3119,2)+1)</f>
        <v/>
      </c>
      <c r="J3119" s="5">
        <f>IF(I3119="","",I3119+6)</f>
        <v/>
      </c>
      <c r="K3119" s="6">
        <f>IF(OR(A3119="",B3119=""),"",DATE(YEAR(B3119),MONTH(B3119),1))</f>
        <v/>
      </c>
      <c r="L3119" s="7">
        <f>IF(COUNTA(A3119,B3119)=0,"",IF(OR(A3119="",B3119=""),"Preencher CPF e entrada",IF(COUNTIFS($A$12:$A$5011,A3119,$B$12:$B$5011,B3119)&gt;1,"CPF + dia duplicado",IF(OR(AND(E3119&lt;&gt;"",E3119&lt;B3119),AND(F3119&lt;&gt;"",F3119&lt;B3119)),"Evento anterior à entrada",IF(AND(F3119&lt;&gt;"",E3119=""),"Conversa sem agendamento",IF(OR(E3119&gt;TODAY(),F3119&gt;TODAY()),"Verificar evento futuro","OK"))))))</f>
        <v/>
      </c>
    </row>
    <row r="3120" spans="9:12">
      <c r="I3120" s="5">
        <f>IF(OR(A3120="",B3120=""),"",B3120-WEEKDAY(B3120,2)+1)</f>
        <v/>
      </c>
      <c r="J3120" s="5">
        <f>IF(I3120="","",I3120+6)</f>
        <v/>
      </c>
      <c r="K3120" s="6">
        <f>IF(OR(A3120="",B3120=""),"",DATE(YEAR(B3120),MONTH(B3120),1))</f>
        <v/>
      </c>
      <c r="L3120" s="7">
        <f>IF(COUNTA(A3120,B3120)=0,"",IF(OR(A3120="",B3120=""),"Preencher CPF e entrada",IF(COUNTIFS($A$12:$A$5011,A3120,$B$12:$B$5011,B3120)&gt;1,"CPF + dia duplicado",IF(OR(AND(E3120&lt;&gt;"",E3120&lt;B3120),AND(F3120&lt;&gt;"",F3120&lt;B3120)),"Evento anterior à entrada",IF(AND(F3120&lt;&gt;"",E3120=""),"Conversa sem agendamento",IF(OR(E3120&gt;TODAY(),F3120&gt;TODAY()),"Verificar evento futuro","OK"))))))</f>
        <v/>
      </c>
    </row>
    <row r="3121" spans="9:12">
      <c r="I3121" s="5">
        <f>IF(OR(A3121="",B3121=""),"",B3121-WEEKDAY(B3121,2)+1)</f>
        <v/>
      </c>
      <c r="J3121" s="5">
        <f>IF(I3121="","",I3121+6)</f>
        <v/>
      </c>
      <c r="K3121" s="6">
        <f>IF(OR(A3121="",B3121=""),"",DATE(YEAR(B3121),MONTH(B3121),1))</f>
        <v/>
      </c>
      <c r="L3121" s="7">
        <f>IF(COUNTA(A3121,B3121)=0,"",IF(OR(A3121="",B3121=""),"Preencher CPF e entrada",IF(COUNTIFS($A$12:$A$5011,A3121,$B$12:$B$5011,B3121)&gt;1,"CPF + dia duplicado",IF(OR(AND(E3121&lt;&gt;"",E3121&lt;B3121),AND(F3121&lt;&gt;"",F3121&lt;B3121)),"Evento anterior à entrada",IF(AND(F3121&lt;&gt;"",E3121=""),"Conversa sem agendamento",IF(OR(E3121&gt;TODAY(),F3121&gt;TODAY()),"Verificar evento futuro","OK"))))))</f>
        <v/>
      </c>
    </row>
    <row r="3122" spans="9:12">
      <c r="I3122" s="5">
        <f>IF(OR(A3122="",B3122=""),"",B3122-WEEKDAY(B3122,2)+1)</f>
        <v/>
      </c>
      <c r="J3122" s="5">
        <f>IF(I3122="","",I3122+6)</f>
        <v/>
      </c>
      <c r="K3122" s="6">
        <f>IF(OR(A3122="",B3122=""),"",DATE(YEAR(B3122),MONTH(B3122),1))</f>
        <v/>
      </c>
      <c r="L3122" s="7">
        <f>IF(COUNTA(A3122,B3122)=0,"",IF(OR(A3122="",B3122=""),"Preencher CPF e entrada",IF(COUNTIFS($A$12:$A$5011,A3122,$B$12:$B$5011,B3122)&gt;1,"CPF + dia duplicado",IF(OR(AND(E3122&lt;&gt;"",E3122&lt;B3122),AND(F3122&lt;&gt;"",F3122&lt;B3122)),"Evento anterior à entrada",IF(AND(F3122&lt;&gt;"",E3122=""),"Conversa sem agendamento",IF(OR(E3122&gt;TODAY(),F3122&gt;TODAY()),"Verificar evento futuro","OK"))))))</f>
        <v/>
      </c>
    </row>
    <row r="3123" spans="9:12">
      <c r="I3123" s="5">
        <f>IF(OR(A3123="",B3123=""),"",B3123-WEEKDAY(B3123,2)+1)</f>
        <v/>
      </c>
      <c r="J3123" s="5">
        <f>IF(I3123="","",I3123+6)</f>
        <v/>
      </c>
      <c r="K3123" s="6">
        <f>IF(OR(A3123="",B3123=""),"",DATE(YEAR(B3123),MONTH(B3123),1))</f>
        <v/>
      </c>
      <c r="L3123" s="7">
        <f>IF(COUNTA(A3123,B3123)=0,"",IF(OR(A3123="",B3123=""),"Preencher CPF e entrada",IF(COUNTIFS($A$12:$A$5011,A3123,$B$12:$B$5011,B3123)&gt;1,"CPF + dia duplicado",IF(OR(AND(E3123&lt;&gt;"",E3123&lt;B3123),AND(F3123&lt;&gt;"",F3123&lt;B3123)),"Evento anterior à entrada",IF(AND(F3123&lt;&gt;"",E3123=""),"Conversa sem agendamento",IF(OR(E3123&gt;TODAY(),F3123&gt;TODAY()),"Verificar evento futuro","OK"))))))</f>
        <v/>
      </c>
    </row>
    <row r="3124" spans="9:12">
      <c r="I3124" s="5">
        <f>IF(OR(A3124="",B3124=""),"",B3124-WEEKDAY(B3124,2)+1)</f>
        <v/>
      </c>
      <c r="J3124" s="5">
        <f>IF(I3124="","",I3124+6)</f>
        <v/>
      </c>
      <c r="K3124" s="6">
        <f>IF(OR(A3124="",B3124=""),"",DATE(YEAR(B3124),MONTH(B3124),1))</f>
        <v/>
      </c>
      <c r="L3124" s="7">
        <f>IF(COUNTA(A3124,B3124)=0,"",IF(OR(A3124="",B3124=""),"Preencher CPF e entrada",IF(COUNTIFS($A$12:$A$5011,A3124,$B$12:$B$5011,B3124)&gt;1,"CPF + dia duplicado",IF(OR(AND(E3124&lt;&gt;"",E3124&lt;B3124),AND(F3124&lt;&gt;"",F3124&lt;B3124)),"Evento anterior à entrada",IF(AND(F3124&lt;&gt;"",E3124=""),"Conversa sem agendamento",IF(OR(E3124&gt;TODAY(),F3124&gt;TODAY()),"Verificar evento futuro","OK"))))))</f>
        <v/>
      </c>
    </row>
    <row r="3125" spans="9:12">
      <c r="I3125" s="5">
        <f>IF(OR(A3125="",B3125=""),"",B3125-WEEKDAY(B3125,2)+1)</f>
        <v/>
      </c>
      <c r="J3125" s="5">
        <f>IF(I3125="","",I3125+6)</f>
        <v/>
      </c>
      <c r="K3125" s="6">
        <f>IF(OR(A3125="",B3125=""),"",DATE(YEAR(B3125),MONTH(B3125),1))</f>
        <v/>
      </c>
      <c r="L3125" s="7">
        <f>IF(COUNTA(A3125,B3125)=0,"",IF(OR(A3125="",B3125=""),"Preencher CPF e entrada",IF(COUNTIFS($A$12:$A$5011,A3125,$B$12:$B$5011,B3125)&gt;1,"CPF + dia duplicado",IF(OR(AND(E3125&lt;&gt;"",E3125&lt;B3125),AND(F3125&lt;&gt;"",F3125&lt;B3125)),"Evento anterior à entrada",IF(AND(F3125&lt;&gt;"",E3125=""),"Conversa sem agendamento",IF(OR(E3125&gt;TODAY(),F3125&gt;TODAY()),"Verificar evento futuro","OK"))))))</f>
        <v/>
      </c>
    </row>
    <row r="3126" spans="9:12">
      <c r="I3126" s="5">
        <f>IF(OR(A3126="",B3126=""),"",B3126-WEEKDAY(B3126,2)+1)</f>
        <v/>
      </c>
      <c r="J3126" s="5">
        <f>IF(I3126="","",I3126+6)</f>
        <v/>
      </c>
      <c r="K3126" s="6">
        <f>IF(OR(A3126="",B3126=""),"",DATE(YEAR(B3126),MONTH(B3126),1))</f>
        <v/>
      </c>
      <c r="L3126" s="7">
        <f>IF(COUNTA(A3126,B3126)=0,"",IF(OR(A3126="",B3126=""),"Preencher CPF e entrada",IF(COUNTIFS($A$12:$A$5011,A3126,$B$12:$B$5011,B3126)&gt;1,"CPF + dia duplicado",IF(OR(AND(E3126&lt;&gt;"",E3126&lt;B3126),AND(F3126&lt;&gt;"",F3126&lt;B3126)),"Evento anterior à entrada",IF(AND(F3126&lt;&gt;"",E3126=""),"Conversa sem agendamento",IF(OR(E3126&gt;TODAY(),F3126&gt;TODAY()),"Verificar evento futuro","OK"))))))</f>
        <v/>
      </c>
    </row>
    <row r="3127" spans="9:12">
      <c r="I3127" s="5">
        <f>IF(OR(A3127="",B3127=""),"",B3127-WEEKDAY(B3127,2)+1)</f>
        <v/>
      </c>
      <c r="J3127" s="5">
        <f>IF(I3127="","",I3127+6)</f>
        <v/>
      </c>
      <c r="K3127" s="6">
        <f>IF(OR(A3127="",B3127=""),"",DATE(YEAR(B3127),MONTH(B3127),1))</f>
        <v/>
      </c>
      <c r="L3127" s="7">
        <f>IF(COUNTA(A3127,B3127)=0,"",IF(OR(A3127="",B3127=""),"Preencher CPF e entrada",IF(COUNTIFS($A$12:$A$5011,A3127,$B$12:$B$5011,B3127)&gt;1,"CPF + dia duplicado",IF(OR(AND(E3127&lt;&gt;"",E3127&lt;B3127),AND(F3127&lt;&gt;"",F3127&lt;B3127)),"Evento anterior à entrada",IF(AND(F3127&lt;&gt;"",E3127=""),"Conversa sem agendamento",IF(OR(E3127&gt;TODAY(),F3127&gt;TODAY()),"Verificar evento futuro","OK"))))))</f>
        <v/>
      </c>
    </row>
    <row r="3128" spans="9:12">
      <c r="I3128" s="5">
        <f>IF(OR(A3128="",B3128=""),"",B3128-WEEKDAY(B3128,2)+1)</f>
        <v/>
      </c>
      <c r="J3128" s="5">
        <f>IF(I3128="","",I3128+6)</f>
        <v/>
      </c>
      <c r="K3128" s="6">
        <f>IF(OR(A3128="",B3128=""),"",DATE(YEAR(B3128),MONTH(B3128),1))</f>
        <v/>
      </c>
      <c r="L3128" s="7">
        <f>IF(COUNTA(A3128,B3128)=0,"",IF(OR(A3128="",B3128=""),"Preencher CPF e entrada",IF(COUNTIFS($A$12:$A$5011,A3128,$B$12:$B$5011,B3128)&gt;1,"CPF + dia duplicado",IF(OR(AND(E3128&lt;&gt;"",E3128&lt;B3128),AND(F3128&lt;&gt;"",F3128&lt;B3128)),"Evento anterior à entrada",IF(AND(F3128&lt;&gt;"",E3128=""),"Conversa sem agendamento",IF(OR(E3128&gt;TODAY(),F3128&gt;TODAY()),"Verificar evento futuro","OK"))))))</f>
        <v/>
      </c>
    </row>
    <row r="3129" spans="9:12">
      <c r="I3129" s="5">
        <f>IF(OR(A3129="",B3129=""),"",B3129-WEEKDAY(B3129,2)+1)</f>
        <v/>
      </c>
      <c r="J3129" s="5">
        <f>IF(I3129="","",I3129+6)</f>
        <v/>
      </c>
      <c r="K3129" s="6">
        <f>IF(OR(A3129="",B3129=""),"",DATE(YEAR(B3129),MONTH(B3129),1))</f>
        <v/>
      </c>
      <c r="L3129" s="7">
        <f>IF(COUNTA(A3129,B3129)=0,"",IF(OR(A3129="",B3129=""),"Preencher CPF e entrada",IF(COUNTIFS($A$12:$A$5011,A3129,$B$12:$B$5011,B3129)&gt;1,"CPF + dia duplicado",IF(OR(AND(E3129&lt;&gt;"",E3129&lt;B3129),AND(F3129&lt;&gt;"",F3129&lt;B3129)),"Evento anterior à entrada",IF(AND(F3129&lt;&gt;"",E3129=""),"Conversa sem agendamento",IF(OR(E3129&gt;TODAY(),F3129&gt;TODAY()),"Verificar evento futuro","OK"))))))</f>
        <v/>
      </c>
    </row>
    <row r="3130" spans="9:12">
      <c r="I3130" s="5">
        <f>IF(OR(A3130="",B3130=""),"",B3130-WEEKDAY(B3130,2)+1)</f>
        <v/>
      </c>
      <c r="J3130" s="5">
        <f>IF(I3130="","",I3130+6)</f>
        <v/>
      </c>
      <c r="K3130" s="6">
        <f>IF(OR(A3130="",B3130=""),"",DATE(YEAR(B3130),MONTH(B3130),1))</f>
        <v/>
      </c>
      <c r="L3130" s="7">
        <f>IF(COUNTA(A3130,B3130)=0,"",IF(OR(A3130="",B3130=""),"Preencher CPF e entrada",IF(COUNTIFS($A$12:$A$5011,A3130,$B$12:$B$5011,B3130)&gt;1,"CPF + dia duplicado",IF(OR(AND(E3130&lt;&gt;"",E3130&lt;B3130),AND(F3130&lt;&gt;"",F3130&lt;B3130)),"Evento anterior à entrada",IF(AND(F3130&lt;&gt;"",E3130=""),"Conversa sem agendamento",IF(OR(E3130&gt;TODAY(),F3130&gt;TODAY()),"Verificar evento futuro","OK"))))))</f>
        <v/>
      </c>
    </row>
    <row r="3131" spans="9:12">
      <c r="I3131" s="5">
        <f>IF(OR(A3131="",B3131=""),"",B3131-WEEKDAY(B3131,2)+1)</f>
        <v/>
      </c>
      <c r="J3131" s="5">
        <f>IF(I3131="","",I3131+6)</f>
        <v/>
      </c>
      <c r="K3131" s="6">
        <f>IF(OR(A3131="",B3131=""),"",DATE(YEAR(B3131),MONTH(B3131),1))</f>
        <v/>
      </c>
      <c r="L3131" s="7">
        <f>IF(COUNTA(A3131,B3131)=0,"",IF(OR(A3131="",B3131=""),"Preencher CPF e entrada",IF(COUNTIFS($A$12:$A$5011,A3131,$B$12:$B$5011,B3131)&gt;1,"CPF + dia duplicado",IF(OR(AND(E3131&lt;&gt;"",E3131&lt;B3131),AND(F3131&lt;&gt;"",F3131&lt;B3131)),"Evento anterior à entrada",IF(AND(F3131&lt;&gt;"",E3131=""),"Conversa sem agendamento",IF(OR(E3131&gt;TODAY(),F3131&gt;TODAY()),"Verificar evento futuro","OK"))))))</f>
        <v/>
      </c>
    </row>
    <row r="3132" spans="9:12">
      <c r="I3132" s="5">
        <f>IF(OR(A3132="",B3132=""),"",B3132-WEEKDAY(B3132,2)+1)</f>
        <v/>
      </c>
      <c r="J3132" s="5">
        <f>IF(I3132="","",I3132+6)</f>
        <v/>
      </c>
      <c r="K3132" s="6">
        <f>IF(OR(A3132="",B3132=""),"",DATE(YEAR(B3132),MONTH(B3132),1))</f>
        <v/>
      </c>
      <c r="L3132" s="7">
        <f>IF(COUNTA(A3132,B3132)=0,"",IF(OR(A3132="",B3132=""),"Preencher CPF e entrada",IF(COUNTIFS($A$12:$A$5011,A3132,$B$12:$B$5011,B3132)&gt;1,"CPF + dia duplicado",IF(OR(AND(E3132&lt;&gt;"",E3132&lt;B3132),AND(F3132&lt;&gt;"",F3132&lt;B3132)),"Evento anterior à entrada",IF(AND(F3132&lt;&gt;"",E3132=""),"Conversa sem agendamento",IF(OR(E3132&gt;TODAY(),F3132&gt;TODAY()),"Verificar evento futuro","OK"))))))</f>
        <v/>
      </c>
    </row>
    <row r="3133" spans="9:12">
      <c r="I3133" s="5">
        <f>IF(OR(A3133="",B3133=""),"",B3133-WEEKDAY(B3133,2)+1)</f>
        <v/>
      </c>
      <c r="J3133" s="5">
        <f>IF(I3133="","",I3133+6)</f>
        <v/>
      </c>
      <c r="K3133" s="6">
        <f>IF(OR(A3133="",B3133=""),"",DATE(YEAR(B3133),MONTH(B3133),1))</f>
        <v/>
      </c>
      <c r="L3133" s="7">
        <f>IF(COUNTA(A3133,B3133)=0,"",IF(OR(A3133="",B3133=""),"Preencher CPF e entrada",IF(COUNTIFS($A$12:$A$5011,A3133,$B$12:$B$5011,B3133)&gt;1,"CPF + dia duplicado",IF(OR(AND(E3133&lt;&gt;"",E3133&lt;B3133),AND(F3133&lt;&gt;"",F3133&lt;B3133)),"Evento anterior à entrada",IF(AND(F3133&lt;&gt;"",E3133=""),"Conversa sem agendamento",IF(OR(E3133&gt;TODAY(),F3133&gt;TODAY()),"Verificar evento futuro","OK"))))))</f>
        <v/>
      </c>
    </row>
    <row r="3134" spans="9:12">
      <c r="I3134" s="5">
        <f>IF(OR(A3134="",B3134=""),"",B3134-WEEKDAY(B3134,2)+1)</f>
        <v/>
      </c>
      <c r="J3134" s="5">
        <f>IF(I3134="","",I3134+6)</f>
        <v/>
      </c>
      <c r="K3134" s="6">
        <f>IF(OR(A3134="",B3134=""),"",DATE(YEAR(B3134),MONTH(B3134),1))</f>
        <v/>
      </c>
      <c r="L3134" s="7">
        <f>IF(COUNTA(A3134,B3134)=0,"",IF(OR(A3134="",B3134=""),"Preencher CPF e entrada",IF(COUNTIFS($A$12:$A$5011,A3134,$B$12:$B$5011,B3134)&gt;1,"CPF + dia duplicado",IF(OR(AND(E3134&lt;&gt;"",E3134&lt;B3134),AND(F3134&lt;&gt;"",F3134&lt;B3134)),"Evento anterior à entrada",IF(AND(F3134&lt;&gt;"",E3134=""),"Conversa sem agendamento",IF(OR(E3134&gt;TODAY(),F3134&gt;TODAY()),"Verificar evento futuro","OK"))))))</f>
        <v/>
      </c>
    </row>
    <row r="3135" spans="9:12">
      <c r="I3135" s="5">
        <f>IF(OR(A3135="",B3135=""),"",B3135-WEEKDAY(B3135,2)+1)</f>
        <v/>
      </c>
      <c r="J3135" s="5">
        <f>IF(I3135="","",I3135+6)</f>
        <v/>
      </c>
      <c r="K3135" s="6">
        <f>IF(OR(A3135="",B3135=""),"",DATE(YEAR(B3135),MONTH(B3135),1))</f>
        <v/>
      </c>
      <c r="L3135" s="7">
        <f>IF(COUNTA(A3135,B3135)=0,"",IF(OR(A3135="",B3135=""),"Preencher CPF e entrada",IF(COUNTIFS($A$12:$A$5011,A3135,$B$12:$B$5011,B3135)&gt;1,"CPF + dia duplicado",IF(OR(AND(E3135&lt;&gt;"",E3135&lt;B3135),AND(F3135&lt;&gt;"",F3135&lt;B3135)),"Evento anterior à entrada",IF(AND(F3135&lt;&gt;"",E3135=""),"Conversa sem agendamento",IF(OR(E3135&gt;TODAY(),F3135&gt;TODAY()),"Verificar evento futuro","OK"))))))</f>
        <v/>
      </c>
    </row>
    <row r="3136" spans="9:12">
      <c r="I3136" s="5">
        <f>IF(OR(A3136="",B3136=""),"",B3136-WEEKDAY(B3136,2)+1)</f>
        <v/>
      </c>
      <c r="J3136" s="5">
        <f>IF(I3136="","",I3136+6)</f>
        <v/>
      </c>
      <c r="K3136" s="6">
        <f>IF(OR(A3136="",B3136=""),"",DATE(YEAR(B3136),MONTH(B3136),1))</f>
        <v/>
      </c>
      <c r="L3136" s="7">
        <f>IF(COUNTA(A3136,B3136)=0,"",IF(OR(A3136="",B3136=""),"Preencher CPF e entrada",IF(COUNTIFS($A$12:$A$5011,A3136,$B$12:$B$5011,B3136)&gt;1,"CPF + dia duplicado",IF(OR(AND(E3136&lt;&gt;"",E3136&lt;B3136),AND(F3136&lt;&gt;"",F3136&lt;B3136)),"Evento anterior à entrada",IF(AND(F3136&lt;&gt;"",E3136=""),"Conversa sem agendamento",IF(OR(E3136&gt;TODAY(),F3136&gt;TODAY()),"Verificar evento futuro","OK"))))))</f>
        <v/>
      </c>
    </row>
    <row r="3137" spans="9:12">
      <c r="I3137" s="5">
        <f>IF(OR(A3137="",B3137=""),"",B3137-WEEKDAY(B3137,2)+1)</f>
        <v/>
      </c>
      <c r="J3137" s="5">
        <f>IF(I3137="","",I3137+6)</f>
        <v/>
      </c>
      <c r="K3137" s="6">
        <f>IF(OR(A3137="",B3137=""),"",DATE(YEAR(B3137),MONTH(B3137),1))</f>
        <v/>
      </c>
      <c r="L3137" s="7">
        <f>IF(COUNTA(A3137,B3137)=0,"",IF(OR(A3137="",B3137=""),"Preencher CPF e entrada",IF(COUNTIFS($A$12:$A$5011,A3137,$B$12:$B$5011,B3137)&gt;1,"CPF + dia duplicado",IF(OR(AND(E3137&lt;&gt;"",E3137&lt;B3137),AND(F3137&lt;&gt;"",F3137&lt;B3137)),"Evento anterior à entrada",IF(AND(F3137&lt;&gt;"",E3137=""),"Conversa sem agendamento",IF(OR(E3137&gt;TODAY(),F3137&gt;TODAY()),"Verificar evento futuro","OK"))))))</f>
        <v/>
      </c>
    </row>
    <row r="3138" spans="9:12">
      <c r="I3138" s="5">
        <f>IF(OR(A3138="",B3138=""),"",B3138-WEEKDAY(B3138,2)+1)</f>
        <v/>
      </c>
      <c r="J3138" s="5">
        <f>IF(I3138="","",I3138+6)</f>
        <v/>
      </c>
      <c r="K3138" s="6">
        <f>IF(OR(A3138="",B3138=""),"",DATE(YEAR(B3138),MONTH(B3138),1))</f>
        <v/>
      </c>
      <c r="L3138" s="7">
        <f>IF(COUNTA(A3138,B3138)=0,"",IF(OR(A3138="",B3138=""),"Preencher CPF e entrada",IF(COUNTIFS($A$12:$A$5011,A3138,$B$12:$B$5011,B3138)&gt;1,"CPF + dia duplicado",IF(OR(AND(E3138&lt;&gt;"",E3138&lt;B3138),AND(F3138&lt;&gt;"",F3138&lt;B3138)),"Evento anterior à entrada",IF(AND(F3138&lt;&gt;"",E3138=""),"Conversa sem agendamento",IF(OR(E3138&gt;TODAY(),F3138&gt;TODAY()),"Verificar evento futuro","OK"))))))</f>
        <v/>
      </c>
    </row>
    <row r="3139" spans="9:12">
      <c r="I3139" s="5">
        <f>IF(OR(A3139="",B3139=""),"",B3139-WEEKDAY(B3139,2)+1)</f>
        <v/>
      </c>
      <c r="J3139" s="5">
        <f>IF(I3139="","",I3139+6)</f>
        <v/>
      </c>
      <c r="K3139" s="6">
        <f>IF(OR(A3139="",B3139=""),"",DATE(YEAR(B3139),MONTH(B3139),1))</f>
        <v/>
      </c>
      <c r="L3139" s="7">
        <f>IF(COUNTA(A3139,B3139)=0,"",IF(OR(A3139="",B3139=""),"Preencher CPF e entrada",IF(COUNTIFS($A$12:$A$5011,A3139,$B$12:$B$5011,B3139)&gt;1,"CPF + dia duplicado",IF(OR(AND(E3139&lt;&gt;"",E3139&lt;B3139),AND(F3139&lt;&gt;"",F3139&lt;B3139)),"Evento anterior à entrada",IF(AND(F3139&lt;&gt;"",E3139=""),"Conversa sem agendamento",IF(OR(E3139&gt;TODAY(),F3139&gt;TODAY()),"Verificar evento futuro","OK"))))))</f>
        <v/>
      </c>
    </row>
    <row r="3140" spans="9:12">
      <c r="I3140" s="5">
        <f>IF(OR(A3140="",B3140=""),"",B3140-WEEKDAY(B3140,2)+1)</f>
        <v/>
      </c>
      <c r="J3140" s="5">
        <f>IF(I3140="","",I3140+6)</f>
        <v/>
      </c>
      <c r="K3140" s="6">
        <f>IF(OR(A3140="",B3140=""),"",DATE(YEAR(B3140),MONTH(B3140),1))</f>
        <v/>
      </c>
      <c r="L3140" s="7">
        <f>IF(COUNTA(A3140,B3140)=0,"",IF(OR(A3140="",B3140=""),"Preencher CPF e entrada",IF(COUNTIFS($A$12:$A$5011,A3140,$B$12:$B$5011,B3140)&gt;1,"CPF + dia duplicado",IF(OR(AND(E3140&lt;&gt;"",E3140&lt;B3140),AND(F3140&lt;&gt;"",F3140&lt;B3140)),"Evento anterior à entrada",IF(AND(F3140&lt;&gt;"",E3140=""),"Conversa sem agendamento",IF(OR(E3140&gt;TODAY(),F3140&gt;TODAY()),"Verificar evento futuro","OK"))))))</f>
        <v/>
      </c>
    </row>
    <row r="3141" spans="9:12">
      <c r="I3141" s="5">
        <f>IF(OR(A3141="",B3141=""),"",B3141-WEEKDAY(B3141,2)+1)</f>
        <v/>
      </c>
      <c r="J3141" s="5">
        <f>IF(I3141="","",I3141+6)</f>
        <v/>
      </c>
      <c r="K3141" s="6">
        <f>IF(OR(A3141="",B3141=""),"",DATE(YEAR(B3141),MONTH(B3141),1))</f>
        <v/>
      </c>
      <c r="L3141" s="7">
        <f>IF(COUNTA(A3141,B3141)=0,"",IF(OR(A3141="",B3141=""),"Preencher CPF e entrada",IF(COUNTIFS($A$12:$A$5011,A3141,$B$12:$B$5011,B3141)&gt;1,"CPF + dia duplicado",IF(OR(AND(E3141&lt;&gt;"",E3141&lt;B3141),AND(F3141&lt;&gt;"",F3141&lt;B3141)),"Evento anterior à entrada",IF(AND(F3141&lt;&gt;"",E3141=""),"Conversa sem agendamento",IF(OR(E3141&gt;TODAY(),F3141&gt;TODAY()),"Verificar evento futuro","OK"))))))</f>
        <v/>
      </c>
    </row>
    <row r="3142" spans="9:12">
      <c r="I3142" s="5">
        <f>IF(OR(A3142="",B3142=""),"",B3142-WEEKDAY(B3142,2)+1)</f>
        <v/>
      </c>
      <c r="J3142" s="5">
        <f>IF(I3142="","",I3142+6)</f>
        <v/>
      </c>
      <c r="K3142" s="6">
        <f>IF(OR(A3142="",B3142=""),"",DATE(YEAR(B3142),MONTH(B3142),1))</f>
        <v/>
      </c>
      <c r="L3142" s="7">
        <f>IF(COUNTA(A3142,B3142)=0,"",IF(OR(A3142="",B3142=""),"Preencher CPF e entrada",IF(COUNTIFS($A$12:$A$5011,A3142,$B$12:$B$5011,B3142)&gt;1,"CPF + dia duplicado",IF(OR(AND(E3142&lt;&gt;"",E3142&lt;B3142),AND(F3142&lt;&gt;"",F3142&lt;B3142)),"Evento anterior à entrada",IF(AND(F3142&lt;&gt;"",E3142=""),"Conversa sem agendamento",IF(OR(E3142&gt;TODAY(),F3142&gt;TODAY()),"Verificar evento futuro","OK"))))))</f>
        <v/>
      </c>
    </row>
    <row r="3143" spans="9:12">
      <c r="I3143" s="5">
        <f>IF(OR(A3143="",B3143=""),"",B3143-WEEKDAY(B3143,2)+1)</f>
        <v/>
      </c>
      <c r="J3143" s="5">
        <f>IF(I3143="","",I3143+6)</f>
        <v/>
      </c>
      <c r="K3143" s="6">
        <f>IF(OR(A3143="",B3143=""),"",DATE(YEAR(B3143),MONTH(B3143),1))</f>
        <v/>
      </c>
      <c r="L3143" s="7">
        <f>IF(COUNTA(A3143,B3143)=0,"",IF(OR(A3143="",B3143=""),"Preencher CPF e entrada",IF(COUNTIFS($A$12:$A$5011,A3143,$B$12:$B$5011,B3143)&gt;1,"CPF + dia duplicado",IF(OR(AND(E3143&lt;&gt;"",E3143&lt;B3143),AND(F3143&lt;&gt;"",F3143&lt;B3143)),"Evento anterior à entrada",IF(AND(F3143&lt;&gt;"",E3143=""),"Conversa sem agendamento",IF(OR(E3143&gt;TODAY(),F3143&gt;TODAY()),"Verificar evento futuro","OK"))))))</f>
        <v/>
      </c>
    </row>
    <row r="3144" spans="9:12">
      <c r="I3144" s="5">
        <f>IF(OR(A3144="",B3144=""),"",B3144-WEEKDAY(B3144,2)+1)</f>
        <v/>
      </c>
      <c r="J3144" s="5">
        <f>IF(I3144="","",I3144+6)</f>
        <v/>
      </c>
      <c r="K3144" s="6">
        <f>IF(OR(A3144="",B3144=""),"",DATE(YEAR(B3144),MONTH(B3144),1))</f>
        <v/>
      </c>
      <c r="L3144" s="7">
        <f>IF(COUNTA(A3144,B3144)=0,"",IF(OR(A3144="",B3144=""),"Preencher CPF e entrada",IF(COUNTIFS($A$12:$A$5011,A3144,$B$12:$B$5011,B3144)&gt;1,"CPF + dia duplicado",IF(OR(AND(E3144&lt;&gt;"",E3144&lt;B3144),AND(F3144&lt;&gt;"",F3144&lt;B3144)),"Evento anterior à entrada",IF(AND(F3144&lt;&gt;"",E3144=""),"Conversa sem agendamento",IF(OR(E3144&gt;TODAY(),F3144&gt;TODAY()),"Verificar evento futuro","OK"))))))</f>
        <v/>
      </c>
    </row>
    <row r="3145" spans="9:12">
      <c r="I3145" s="5">
        <f>IF(OR(A3145="",B3145=""),"",B3145-WEEKDAY(B3145,2)+1)</f>
        <v/>
      </c>
      <c r="J3145" s="5">
        <f>IF(I3145="","",I3145+6)</f>
        <v/>
      </c>
      <c r="K3145" s="6">
        <f>IF(OR(A3145="",B3145=""),"",DATE(YEAR(B3145),MONTH(B3145),1))</f>
        <v/>
      </c>
      <c r="L3145" s="7">
        <f>IF(COUNTA(A3145,B3145)=0,"",IF(OR(A3145="",B3145=""),"Preencher CPF e entrada",IF(COUNTIFS($A$12:$A$5011,A3145,$B$12:$B$5011,B3145)&gt;1,"CPF + dia duplicado",IF(OR(AND(E3145&lt;&gt;"",E3145&lt;B3145),AND(F3145&lt;&gt;"",F3145&lt;B3145)),"Evento anterior à entrada",IF(AND(F3145&lt;&gt;"",E3145=""),"Conversa sem agendamento",IF(OR(E3145&gt;TODAY(),F3145&gt;TODAY()),"Verificar evento futuro","OK"))))))</f>
        <v/>
      </c>
    </row>
    <row r="3146" spans="9:12">
      <c r="I3146" s="5">
        <f>IF(OR(A3146="",B3146=""),"",B3146-WEEKDAY(B3146,2)+1)</f>
        <v/>
      </c>
      <c r="J3146" s="5">
        <f>IF(I3146="","",I3146+6)</f>
        <v/>
      </c>
      <c r="K3146" s="6">
        <f>IF(OR(A3146="",B3146=""),"",DATE(YEAR(B3146),MONTH(B3146),1))</f>
        <v/>
      </c>
      <c r="L3146" s="7">
        <f>IF(COUNTA(A3146,B3146)=0,"",IF(OR(A3146="",B3146=""),"Preencher CPF e entrada",IF(COUNTIFS($A$12:$A$5011,A3146,$B$12:$B$5011,B3146)&gt;1,"CPF + dia duplicado",IF(OR(AND(E3146&lt;&gt;"",E3146&lt;B3146),AND(F3146&lt;&gt;"",F3146&lt;B3146)),"Evento anterior à entrada",IF(AND(F3146&lt;&gt;"",E3146=""),"Conversa sem agendamento",IF(OR(E3146&gt;TODAY(),F3146&gt;TODAY()),"Verificar evento futuro","OK"))))))</f>
        <v/>
      </c>
    </row>
    <row r="3147" spans="9:12">
      <c r="I3147" s="5">
        <f>IF(OR(A3147="",B3147=""),"",B3147-WEEKDAY(B3147,2)+1)</f>
        <v/>
      </c>
      <c r="J3147" s="5">
        <f>IF(I3147="","",I3147+6)</f>
        <v/>
      </c>
      <c r="K3147" s="6">
        <f>IF(OR(A3147="",B3147=""),"",DATE(YEAR(B3147),MONTH(B3147),1))</f>
        <v/>
      </c>
      <c r="L3147" s="7">
        <f>IF(COUNTA(A3147,B3147)=0,"",IF(OR(A3147="",B3147=""),"Preencher CPF e entrada",IF(COUNTIFS($A$12:$A$5011,A3147,$B$12:$B$5011,B3147)&gt;1,"CPF + dia duplicado",IF(OR(AND(E3147&lt;&gt;"",E3147&lt;B3147),AND(F3147&lt;&gt;"",F3147&lt;B3147)),"Evento anterior à entrada",IF(AND(F3147&lt;&gt;"",E3147=""),"Conversa sem agendamento",IF(OR(E3147&gt;TODAY(),F3147&gt;TODAY()),"Verificar evento futuro","OK"))))))</f>
        <v/>
      </c>
    </row>
    <row r="3148" spans="9:12">
      <c r="I3148" s="5">
        <f>IF(OR(A3148="",B3148=""),"",B3148-WEEKDAY(B3148,2)+1)</f>
        <v/>
      </c>
      <c r="J3148" s="5">
        <f>IF(I3148="","",I3148+6)</f>
        <v/>
      </c>
      <c r="K3148" s="6">
        <f>IF(OR(A3148="",B3148=""),"",DATE(YEAR(B3148),MONTH(B3148),1))</f>
        <v/>
      </c>
      <c r="L3148" s="7">
        <f>IF(COUNTA(A3148,B3148)=0,"",IF(OR(A3148="",B3148=""),"Preencher CPF e entrada",IF(COUNTIFS($A$12:$A$5011,A3148,$B$12:$B$5011,B3148)&gt;1,"CPF + dia duplicado",IF(OR(AND(E3148&lt;&gt;"",E3148&lt;B3148),AND(F3148&lt;&gt;"",F3148&lt;B3148)),"Evento anterior à entrada",IF(AND(F3148&lt;&gt;"",E3148=""),"Conversa sem agendamento",IF(OR(E3148&gt;TODAY(),F3148&gt;TODAY()),"Verificar evento futuro","OK"))))))</f>
        <v/>
      </c>
    </row>
    <row r="3149" spans="9:12">
      <c r="I3149" s="5">
        <f>IF(OR(A3149="",B3149=""),"",B3149-WEEKDAY(B3149,2)+1)</f>
        <v/>
      </c>
      <c r="J3149" s="5">
        <f>IF(I3149="","",I3149+6)</f>
        <v/>
      </c>
      <c r="K3149" s="6">
        <f>IF(OR(A3149="",B3149=""),"",DATE(YEAR(B3149),MONTH(B3149),1))</f>
        <v/>
      </c>
      <c r="L3149" s="7">
        <f>IF(COUNTA(A3149,B3149)=0,"",IF(OR(A3149="",B3149=""),"Preencher CPF e entrada",IF(COUNTIFS($A$12:$A$5011,A3149,$B$12:$B$5011,B3149)&gt;1,"CPF + dia duplicado",IF(OR(AND(E3149&lt;&gt;"",E3149&lt;B3149),AND(F3149&lt;&gt;"",F3149&lt;B3149)),"Evento anterior à entrada",IF(AND(F3149&lt;&gt;"",E3149=""),"Conversa sem agendamento",IF(OR(E3149&gt;TODAY(),F3149&gt;TODAY()),"Verificar evento futuro","OK"))))))</f>
        <v/>
      </c>
    </row>
    <row r="3150" spans="9:12">
      <c r="I3150" s="5">
        <f>IF(OR(A3150="",B3150=""),"",B3150-WEEKDAY(B3150,2)+1)</f>
        <v/>
      </c>
      <c r="J3150" s="5">
        <f>IF(I3150="","",I3150+6)</f>
        <v/>
      </c>
      <c r="K3150" s="6">
        <f>IF(OR(A3150="",B3150=""),"",DATE(YEAR(B3150),MONTH(B3150),1))</f>
        <v/>
      </c>
      <c r="L3150" s="7">
        <f>IF(COUNTA(A3150,B3150)=0,"",IF(OR(A3150="",B3150=""),"Preencher CPF e entrada",IF(COUNTIFS($A$12:$A$5011,A3150,$B$12:$B$5011,B3150)&gt;1,"CPF + dia duplicado",IF(OR(AND(E3150&lt;&gt;"",E3150&lt;B3150),AND(F3150&lt;&gt;"",F3150&lt;B3150)),"Evento anterior à entrada",IF(AND(F3150&lt;&gt;"",E3150=""),"Conversa sem agendamento",IF(OR(E3150&gt;TODAY(),F3150&gt;TODAY()),"Verificar evento futuro","OK"))))))</f>
        <v/>
      </c>
    </row>
    <row r="3151" spans="9:12">
      <c r="I3151" s="5">
        <f>IF(OR(A3151="",B3151=""),"",B3151-WEEKDAY(B3151,2)+1)</f>
        <v/>
      </c>
      <c r="J3151" s="5">
        <f>IF(I3151="","",I3151+6)</f>
        <v/>
      </c>
      <c r="K3151" s="6">
        <f>IF(OR(A3151="",B3151=""),"",DATE(YEAR(B3151),MONTH(B3151),1))</f>
        <v/>
      </c>
      <c r="L3151" s="7">
        <f>IF(COUNTA(A3151,B3151)=0,"",IF(OR(A3151="",B3151=""),"Preencher CPF e entrada",IF(COUNTIFS($A$12:$A$5011,A3151,$B$12:$B$5011,B3151)&gt;1,"CPF + dia duplicado",IF(OR(AND(E3151&lt;&gt;"",E3151&lt;B3151),AND(F3151&lt;&gt;"",F3151&lt;B3151)),"Evento anterior à entrada",IF(AND(F3151&lt;&gt;"",E3151=""),"Conversa sem agendamento",IF(OR(E3151&gt;TODAY(),F3151&gt;TODAY()),"Verificar evento futuro","OK"))))))</f>
        <v/>
      </c>
    </row>
    <row r="3152" spans="9:12">
      <c r="I3152" s="5">
        <f>IF(OR(A3152="",B3152=""),"",B3152-WEEKDAY(B3152,2)+1)</f>
        <v/>
      </c>
      <c r="J3152" s="5">
        <f>IF(I3152="","",I3152+6)</f>
        <v/>
      </c>
      <c r="K3152" s="6">
        <f>IF(OR(A3152="",B3152=""),"",DATE(YEAR(B3152),MONTH(B3152),1))</f>
        <v/>
      </c>
      <c r="L3152" s="7">
        <f>IF(COUNTA(A3152,B3152)=0,"",IF(OR(A3152="",B3152=""),"Preencher CPF e entrada",IF(COUNTIFS($A$12:$A$5011,A3152,$B$12:$B$5011,B3152)&gt;1,"CPF + dia duplicado",IF(OR(AND(E3152&lt;&gt;"",E3152&lt;B3152),AND(F3152&lt;&gt;"",F3152&lt;B3152)),"Evento anterior à entrada",IF(AND(F3152&lt;&gt;"",E3152=""),"Conversa sem agendamento",IF(OR(E3152&gt;TODAY(),F3152&gt;TODAY()),"Verificar evento futuro","OK"))))))</f>
        <v/>
      </c>
    </row>
    <row r="3153" spans="9:12">
      <c r="I3153" s="5">
        <f>IF(OR(A3153="",B3153=""),"",B3153-WEEKDAY(B3153,2)+1)</f>
        <v/>
      </c>
      <c r="J3153" s="5">
        <f>IF(I3153="","",I3153+6)</f>
        <v/>
      </c>
      <c r="K3153" s="6">
        <f>IF(OR(A3153="",B3153=""),"",DATE(YEAR(B3153),MONTH(B3153),1))</f>
        <v/>
      </c>
      <c r="L3153" s="7">
        <f>IF(COUNTA(A3153,B3153)=0,"",IF(OR(A3153="",B3153=""),"Preencher CPF e entrada",IF(COUNTIFS($A$12:$A$5011,A3153,$B$12:$B$5011,B3153)&gt;1,"CPF + dia duplicado",IF(OR(AND(E3153&lt;&gt;"",E3153&lt;B3153),AND(F3153&lt;&gt;"",F3153&lt;B3153)),"Evento anterior à entrada",IF(AND(F3153&lt;&gt;"",E3153=""),"Conversa sem agendamento",IF(OR(E3153&gt;TODAY(),F3153&gt;TODAY()),"Verificar evento futuro","OK"))))))</f>
        <v/>
      </c>
    </row>
    <row r="3154" spans="9:12">
      <c r="I3154" s="5">
        <f>IF(OR(A3154="",B3154=""),"",B3154-WEEKDAY(B3154,2)+1)</f>
        <v/>
      </c>
      <c r="J3154" s="5">
        <f>IF(I3154="","",I3154+6)</f>
        <v/>
      </c>
      <c r="K3154" s="6">
        <f>IF(OR(A3154="",B3154=""),"",DATE(YEAR(B3154),MONTH(B3154),1))</f>
        <v/>
      </c>
      <c r="L3154" s="7">
        <f>IF(COUNTA(A3154,B3154)=0,"",IF(OR(A3154="",B3154=""),"Preencher CPF e entrada",IF(COUNTIFS($A$12:$A$5011,A3154,$B$12:$B$5011,B3154)&gt;1,"CPF + dia duplicado",IF(OR(AND(E3154&lt;&gt;"",E3154&lt;B3154),AND(F3154&lt;&gt;"",F3154&lt;B3154)),"Evento anterior à entrada",IF(AND(F3154&lt;&gt;"",E3154=""),"Conversa sem agendamento",IF(OR(E3154&gt;TODAY(),F3154&gt;TODAY()),"Verificar evento futuro","OK"))))))</f>
        <v/>
      </c>
    </row>
    <row r="3155" spans="9:12">
      <c r="I3155" s="5">
        <f>IF(OR(A3155="",B3155=""),"",B3155-WEEKDAY(B3155,2)+1)</f>
        <v/>
      </c>
      <c r="J3155" s="5">
        <f>IF(I3155="","",I3155+6)</f>
        <v/>
      </c>
      <c r="K3155" s="6">
        <f>IF(OR(A3155="",B3155=""),"",DATE(YEAR(B3155),MONTH(B3155),1))</f>
        <v/>
      </c>
      <c r="L3155" s="7">
        <f>IF(COUNTA(A3155,B3155)=0,"",IF(OR(A3155="",B3155=""),"Preencher CPF e entrada",IF(COUNTIFS($A$12:$A$5011,A3155,$B$12:$B$5011,B3155)&gt;1,"CPF + dia duplicado",IF(OR(AND(E3155&lt;&gt;"",E3155&lt;B3155),AND(F3155&lt;&gt;"",F3155&lt;B3155)),"Evento anterior à entrada",IF(AND(F3155&lt;&gt;"",E3155=""),"Conversa sem agendamento",IF(OR(E3155&gt;TODAY(),F3155&gt;TODAY()),"Verificar evento futuro","OK"))))))</f>
        <v/>
      </c>
    </row>
    <row r="3156" spans="9:12">
      <c r="I3156" s="5">
        <f>IF(OR(A3156="",B3156=""),"",B3156-WEEKDAY(B3156,2)+1)</f>
        <v/>
      </c>
      <c r="J3156" s="5">
        <f>IF(I3156="","",I3156+6)</f>
        <v/>
      </c>
      <c r="K3156" s="6">
        <f>IF(OR(A3156="",B3156=""),"",DATE(YEAR(B3156),MONTH(B3156),1))</f>
        <v/>
      </c>
      <c r="L3156" s="7">
        <f>IF(COUNTA(A3156,B3156)=0,"",IF(OR(A3156="",B3156=""),"Preencher CPF e entrada",IF(COUNTIFS($A$12:$A$5011,A3156,$B$12:$B$5011,B3156)&gt;1,"CPF + dia duplicado",IF(OR(AND(E3156&lt;&gt;"",E3156&lt;B3156),AND(F3156&lt;&gt;"",F3156&lt;B3156)),"Evento anterior à entrada",IF(AND(F3156&lt;&gt;"",E3156=""),"Conversa sem agendamento",IF(OR(E3156&gt;TODAY(),F3156&gt;TODAY()),"Verificar evento futuro","OK"))))))</f>
        <v/>
      </c>
    </row>
    <row r="3157" spans="9:12">
      <c r="I3157" s="5">
        <f>IF(OR(A3157="",B3157=""),"",B3157-WEEKDAY(B3157,2)+1)</f>
        <v/>
      </c>
      <c r="J3157" s="5">
        <f>IF(I3157="","",I3157+6)</f>
        <v/>
      </c>
      <c r="K3157" s="6">
        <f>IF(OR(A3157="",B3157=""),"",DATE(YEAR(B3157),MONTH(B3157),1))</f>
        <v/>
      </c>
      <c r="L3157" s="7">
        <f>IF(COUNTA(A3157,B3157)=0,"",IF(OR(A3157="",B3157=""),"Preencher CPF e entrada",IF(COUNTIFS($A$12:$A$5011,A3157,$B$12:$B$5011,B3157)&gt;1,"CPF + dia duplicado",IF(OR(AND(E3157&lt;&gt;"",E3157&lt;B3157),AND(F3157&lt;&gt;"",F3157&lt;B3157)),"Evento anterior à entrada",IF(AND(F3157&lt;&gt;"",E3157=""),"Conversa sem agendamento",IF(OR(E3157&gt;TODAY(),F3157&gt;TODAY()),"Verificar evento futuro","OK"))))))</f>
        <v/>
      </c>
    </row>
    <row r="3158" spans="9:12">
      <c r="I3158" s="5">
        <f>IF(OR(A3158="",B3158=""),"",B3158-WEEKDAY(B3158,2)+1)</f>
        <v/>
      </c>
      <c r="J3158" s="5">
        <f>IF(I3158="","",I3158+6)</f>
        <v/>
      </c>
      <c r="K3158" s="6">
        <f>IF(OR(A3158="",B3158=""),"",DATE(YEAR(B3158),MONTH(B3158),1))</f>
        <v/>
      </c>
      <c r="L3158" s="7">
        <f>IF(COUNTA(A3158,B3158)=0,"",IF(OR(A3158="",B3158=""),"Preencher CPF e entrada",IF(COUNTIFS($A$12:$A$5011,A3158,$B$12:$B$5011,B3158)&gt;1,"CPF + dia duplicado",IF(OR(AND(E3158&lt;&gt;"",E3158&lt;B3158),AND(F3158&lt;&gt;"",F3158&lt;B3158)),"Evento anterior à entrada",IF(AND(F3158&lt;&gt;"",E3158=""),"Conversa sem agendamento",IF(OR(E3158&gt;TODAY(),F3158&gt;TODAY()),"Verificar evento futuro","OK"))))))</f>
        <v/>
      </c>
    </row>
    <row r="3159" spans="9:12">
      <c r="I3159" s="5">
        <f>IF(OR(A3159="",B3159=""),"",B3159-WEEKDAY(B3159,2)+1)</f>
        <v/>
      </c>
      <c r="J3159" s="5">
        <f>IF(I3159="","",I3159+6)</f>
        <v/>
      </c>
      <c r="K3159" s="6">
        <f>IF(OR(A3159="",B3159=""),"",DATE(YEAR(B3159),MONTH(B3159),1))</f>
        <v/>
      </c>
      <c r="L3159" s="7">
        <f>IF(COUNTA(A3159,B3159)=0,"",IF(OR(A3159="",B3159=""),"Preencher CPF e entrada",IF(COUNTIFS($A$12:$A$5011,A3159,$B$12:$B$5011,B3159)&gt;1,"CPF + dia duplicado",IF(OR(AND(E3159&lt;&gt;"",E3159&lt;B3159),AND(F3159&lt;&gt;"",F3159&lt;B3159)),"Evento anterior à entrada",IF(AND(F3159&lt;&gt;"",E3159=""),"Conversa sem agendamento",IF(OR(E3159&gt;TODAY(),F3159&gt;TODAY()),"Verificar evento futuro","OK"))))))</f>
        <v/>
      </c>
    </row>
    <row r="3160" spans="9:12">
      <c r="I3160" s="5">
        <f>IF(OR(A3160="",B3160=""),"",B3160-WEEKDAY(B3160,2)+1)</f>
        <v/>
      </c>
      <c r="J3160" s="5">
        <f>IF(I3160="","",I3160+6)</f>
        <v/>
      </c>
      <c r="K3160" s="6">
        <f>IF(OR(A3160="",B3160=""),"",DATE(YEAR(B3160),MONTH(B3160),1))</f>
        <v/>
      </c>
      <c r="L3160" s="7">
        <f>IF(COUNTA(A3160,B3160)=0,"",IF(OR(A3160="",B3160=""),"Preencher CPF e entrada",IF(COUNTIFS($A$12:$A$5011,A3160,$B$12:$B$5011,B3160)&gt;1,"CPF + dia duplicado",IF(OR(AND(E3160&lt;&gt;"",E3160&lt;B3160),AND(F3160&lt;&gt;"",F3160&lt;B3160)),"Evento anterior à entrada",IF(AND(F3160&lt;&gt;"",E3160=""),"Conversa sem agendamento",IF(OR(E3160&gt;TODAY(),F3160&gt;TODAY()),"Verificar evento futuro","OK"))))))</f>
        <v/>
      </c>
    </row>
    <row r="3161" spans="9:12">
      <c r="I3161" s="5">
        <f>IF(OR(A3161="",B3161=""),"",B3161-WEEKDAY(B3161,2)+1)</f>
        <v/>
      </c>
      <c r="J3161" s="5">
        <f>IF(I3161="","",I3161+6)</f>
        <v/>
      </c>
      <c r="K3161" s="6">
        <f>IF(OR(A3161="",B3161=""),"",DATE(YEAR(B3161),MONTH(B3161),1))</f>
        <v/>
      </c>
      <c r="L3161" s="7">
        <f>IF(COUNTA(A3161,B3161)=0,"",IF(OR(A3161="",B3161=""),"Preencher CPF e entrada",IF(COUNTIFS($A$12:$A$5011,A3161,$B$12:$B$5011,B3161)&gt;1,"CPF + dia duplicado",IF(OR(AND(E3161&lt;&gt;"",E3161&lt;B3161),AND(F3161&lt;&gt;"",F3161&lt;B3161)),"Evento anterior à entrada",IF(AND(F3161&lt;&gt;"",E3161=""),"Conversa sem agendamento",IF(OR(E3161&gt;TODAY(),F3161&gt;TODAY()),"Verificar evento futuro","OK"))))))</f>
        <v/>
      </c>
    </row>
    <row r="3162" spans="9:12">
      <c r="I3162" s="5">
        <f>IF(OR(A3162="",B3162=""),"",B3162-WEEKDAY(B3162,2)+1)</f>
        <v/>
      </c>
      <c r="J3162" s="5">
        <f>IF(I3162="","",I3162+6)</f>
        <v/>
      </c>
      <c r="K3162" s="6">
        <f>IF(OR(A3162="",B3162=""),"",DATE(YEAR(B3162),MONTH(B3162),1))</f>
        <v/>
      </c>
      <c r="L3162" s="7">
        <f>IF(COUNTA(A3162,B3162)=0,"",IF(OR(A3162="",B3162=""),"Preencher CPF e entrada",IF(COUNTIFS($A$12:$A$5011,A3162,$B$12:$B$5011,B3162)&gt;1,"CPF + dia duplicado",IF(OR(AND(E3162&lt;&gt;"",E3162&lt;B3162),AND(F3162&lt;&gt;"",F3162&lt;B3162)),"Evento anterior à entrada",IF(AND(F3162&lt;&gt;"",E3162=""),"Conversa sem agendamento",IF(OR(E3162&gt;TODAY(),F3162&gt;TODAY()),"Verificar evento futuro","OK"))))))</f>
        <v/>
      </c>
    </row>
    <row r="3163" spans="9:12">
      <c r="I3163" s="5">
        <f>IF(OR(A3163="",B3163=""),"",B3163-WEEKDAY(B3163,2)+1)</f>
        <v/>
      </c>
      <c r="J3163" s="5">
        <f>IF(I3163="","",I3163+6)</f>
        <v/>
      </c>
      <c r="K3163" s="6">
        <f>IF(OR(A3163="",B3163=""),"",DATE(YEAR(B3163),MONTH(B3163),1))</f>
        <v/>
      </c>
      <c r="L3163" s="7">
        <f>IF(COUNTA(A3163,B3163)=0,"",IF(OR(A3163="",B3163=""),"Preencher CPF e entrada",IF(COUNTIFS($A$12:$A$5011,A3163,$B$12:$B$5011,B3163)&gt;1,"CPF + dia duplicado",IF(OR(AND(E3163&lt;&gt;"",E3163&lt;B3163),AND(F3163&lt;&gt;"",F3163&lt;B3163)),"Evento anterior à entrada",IF(AND(F3163&lt;&gt;"",E3163=""),"Conversa sem agendamento",IF(OR(E3163&gt;TODAY(),F3163&gt;TODAY()),"Verificar evento futuro","OK"))))))</f>
        <v/>
      </c>
    </row>
    <row r="3164" spans="9:12">
      <c r="I3164" s="5">
        <f>IF(OR(A3164="",B3164=""),"",B3164-WEEKDAY(B3164,2)+1)</f>
        <v/>
      </c>
      <c r="J3164" s="5">
        <f>IF(I3164="","",I3164+6)</f>
        <v/>
      </c>
      <c r="K3164" s="6">
        <f>IF(OR(A3164="",B3164=""),"",DATE(YEAR(B3164),MONTH(B3164),1))</f>
        <v/>
      </c>
      <c r="L3164" s="7">
        <f>IF(COUNTA(A3164,B3164)=0,"",IF(OR(A3164="",B3164=""),"Preencher CPF e entrada",IF(COUNTIFS($A$12:$A$5011,A3164,$B$12:$B$5011,B3164)&gt;1,"CPF + dia duplicado",IF(OR(AND(E3164&lt;&gt;"",E3164&lt;B3164),AND(F3164&lt;&gt;"",F3164&lt;B3164)),"Evento anterior à entrada",IF(AND(F3164&lt;&gt;"",E3164=""),"Conversa sem agendamento",IF(OR(E3164&gt;TODAY(),F3164&gt;TODAY()),"Verificar evento futuro","OK"))))))</f>
        <v/>
      </c>
    </row>
    <row r="3165" spans="9:12">
      <c r="I3165" s="5">
        <f>IF(OR(A3165="",B3165=""),"",B3165-WEEKDAY(B3165,2)+1)</f>
        <v/>
      </c>
      <c r="J3165" s="5">
        <f>IF(I3165="","",I3165+6)</f>
        <v/>
      </c>
      <c r="K3165" s="6">
        <f>IF(OR(A3165="",B3165=""),"",DATE(YEAR(B3165),MONTH(B3165),1))</f>
        <v/>
      </c>
      <c r="L3165" s="7">
        <f>IF(COUNTA(A3165,B3165)=0,"",IF(OR(A3165="",B3165=""),"Preencher CPF e entrada",IF(COUNTIFS($A$12:$A$5011,A3165,$B$12:$B$5011,B3165)&gt;1,"CPF + dia duplicado",IF(OR(AND(E3165&lt;&gt;"",E3165&lt;B3165),AND(F3165&lt;&gt;"",F3165&lt;B3165)),"Evento anterior à entrada",IF(AND(F3165&lt;&gt;"",E3165=""),"Conversa sem agendamento",IF(OR(E3165&gt;TODAY(),F3165&gt;TODAY()),"Verificar evento futuro","OK"))))))</f>
        <v/>
      </c>
    </row>
    <row r="3166" spans="9:12">
      <c r="I3166" s="5">
        <f>IF(OR(A3166="",B3166=""),"",B3166-WEEKDAY(B3166,2)+1)</f>
        <v/>
      </c>
      <c r="J3166" s="5">
        <f>IF(I3166="","",I3166+6)</f>
        <v/>
      </c>
      <c r="K3166" s="6">
        <f>IF(OR(A3166="",B3166=""),"",DATE(YEAR(B3166),MONTH(B3166),1))</f>
        <v/>
      </c>
      <c r="L3166" s="7">
        <f>IF(COUNTA(A3166,B3166)=0,"",IF(OR(A3166="",B3166=""),"Preencher CPF e entrada",IF(COUNTIFS($A$12:$A$5011,A3166,$B$12:$B$5011,B3166)&gt;1,"CPF + dia duplicado",IF(OR(AND(E3166&lt;&gt;"",E3166&lt;B3166),AND(F3166&lt;&gt;"",F3166&lt;B3166)),"Evento anterior à entrada",IF(AND(F3166&lt;&gt;"",E3166=""),"Conversa sem agendamento",IF(OR(E3166&gt;TODAY(),F3166&gt;TODAY()),"Verificar evento futuro","OK"))))))</f>
        <v/>
      </c>
    </row>
    <row r="3167" spans="9:12">
      <c r="I3167" s="5">
        <f>IF(OR(A3167="",B3167=""),"",B3167-WEEKDAY(B3167,2)+1)</f>
        <v/>
      </c>
      <c r="J3167" s="5">
        <f>IF(I3167="","",I3167+6)</f>
        <v/>
      </c>
      <c r="K3167" s="6">
        <f>IF(OR(A3167="",B3167=""),"",DATE(YEAR(B3167),MONTH(B3167),1))</f>
        <v/>
      </c>
      <c r="L3167" s="7">
        <f>IF(COUNTA(A3167,B3167)=0,"",IF(OR(A3167="",B3167=""),"Preencher CPF e entrada",IF(COUNTIFS($A$12:$A$5011,A3167,$B$12:$B$5011,B3167)&gt;1,"CPF + dia duplicado",IF(OR(AND(E3167&lt;&gt;"",E3167&lt;B3167),AND(F3167&lt;&gt;"",F3167&lt;B3167)),"Evento anterior à entrada",IF(AND(F3167&lt;&gt;"",E3167=""),"Conversa sem agendamento",IF(OR(E3167&gt;TODAY(),F3167&gt;TODAY()),"Verificar evento futuro","OK"))))))</f>
        <v/>
      </c>
    </row>
    <row r="3168" spans="9:12">
      <c r="I3168" s="5">
        <f>IF(OR(A3168="",B3168=""),"",B3168-WEEKDAY(B3168,2)+1)</f>
        <v/>
      </c>
      <c r="J3168" s="5">
        <f>IF(I3168="","",I3168+6)</f>
        <v/>
      </c>
      <c r="K3168" s="6">
        <f>IF(OR(A3168="",B3168=""),"",DATE(YEAR(B3168),MONTH(B3168),1))</f>
        <v/>
      </c>
      <c r="L3168" s="7">
        <f>IF(COUNTA(A3168,B3168)=0,"",IF(OR(A3168="",B3168=""),"Preencher CPF e entrada",IF(COUNTIFS($A$12:$A$5011,A3168,$B$12:$B$5011,B3168)&gt;1,"CPF + dia duplicado",IF(OR(AND(E3168&lt;&gt;"",E3168&lt;B3168),AND(F3168&lt;&gt;"",F3168&lt;B3168)),"Evento anterior à entrada",IF(AND(F3168&lt;&gt;"",E3168=""),"Conversa sem agendamento",IF(OR(E3168&gt;TODAY(),F3168&gt;TODAY()),"Verificar evento futuro","OK"))))))</f>
        <v/>
      </c>
    </row>
    <row r="3169" spans="9:12">
      <c r="I3169" s="5">
        <f>IF(OR(A3169="",B3169=""),"",B3169-WEEKDAY(B3169,2)+1)</f>
        <v/>
      </c>
      <c r="J3169" s="5">
        <f>IF(I3169="","",I3169+6)</f>
        <v/>
      </c>
      <c r="K3169" s="6">
        <f>IF(OR(A3169="",B3169=""),"",DATE(YEAR(B3169),MONTH(B3169),1))</f>
        <v/>
      </c>
      <c r="L3169" s="7">
        <f>IF(COUNTA(A3169,B3169)=0,"",IF(OR(A3169="",B3169=""),"Preencher CPF e entrada",IF(COUNTIFS($A$12:$A$5011,A3169,$B$12:$B$5011,B3169)&gt;1,"CPF + dia duplicado",IF(OR(AND(E3169&lt;&gt;"",E3169&lt;B3169),AND(F3169&lt;&gt;"",F3169&lt;B3169)),"Evento anterior à entrada",IF(AND(F3169&lt;&gt;"",E3169=""),"Conversa sem agendamento",IF(OR(E3169&gt;TODAY(),F3169&gt;TODAY()),"Verificar evento futuro","OK"))))))</f>
        <v/>
      </c>
    </row>
    <row r="3170" spans="9:12">
      <c r="I3170" s="5">
        <f>IF(OR(A3170="",B3170=""),"",B3170-WEEKDAY(B3170,2)+1)</f>
        <v/>
      </c>
      <c r="J3170" s="5">
        <f>IF(I3170="","",I3170+6)</f>
        <v/>
      </c>
      <c r="K3170" s="6">
        <f>IF(OR(A3170="",B3170=""),"",DATE(YEAR(B3170),MONTH(B3170),1))</f>
        <v/>
      </c>
      <c r="L3170" s="7">
        <f>IF(COUNTA(A3170,B3170)=0,"",IF(OR(A3170="",B3170=""),"Preencher CPF e entrada",IF(COUNTIFS($A$12:$A$5011,A3170,$B$12:$B$5011,B3170)&gt;1,"CPF + dia duplicado",IF(OR(AND(E3170&lt;&gt;"",E3170&lt;B3170),AND(F3170&lt;&gt;"",F3170&lt;B3170)),"Evento anterior à entrada",IF(AND(F3170&lt;&gt;"",E3170=""),"Conversa sem agendamento",IF(OR(E3170&gt;TODAY(),F3170&gt;TODAY()),"Verificar evento futuro","OK"))))))</f>
        <v/>
      </c>
    </row>
    <row r="3171" spans="9:12">
      <c r="I3171" s="5">
        <f>IF(OR(A3171="",B3171=""),"",B3171-WEEKDAY(B3171,2)+1)</f>
        <v/>
      </c>
      <c r="J3171" s="5">
        <f>IF(I3171="","",I3171+6)</f>
        <v/>
      </c>
      <c r="K3171" s="6">
        <f>IF(OR(A3171="",B3171=""),"",DATE(YEAR(B3171),MONTH(B3171),1))</f>
        <v/>
      </c>
      <c r="L3171" s="7">
        <f>IF(COUNTA(A3171,B3171)=0,"",IF(OR(A3171="",B3171=""),"Preencher CPF e entrada",IF(COUNTIFS($A$12:$A$5011,A3171,$B$12:$B$5011,B3171)&gt;1,"CPF + dia duplicado",IF(OR(AND(E3171&lt;&gt;"",E3171&lt;B3171),AND(F3171&lt;&gt;"",F3171&lt;B3171)),"Evento anterior à entrada",IF(AND(F3171&lt;&gt;"",E3171=""),"Conversa sem agendamento",IF(OR(E3171&gt;TODAY(),F3171&gt;TODAY()),"Verificar evento futuro","OK"))))))</f>
        <v/>
      </c>
    </row>
    <row r="3172" spans="9:12">
      <c r="I3172" s="5">
        <f>IF(OR(A3172="",B3172=""),"",B3172-WEEKDAY(B3172,2)+1)</f>
        <v/>
      </c>
      <c r="J3172" s="5">
        <f>IF(I3172="","",I3172+6)</f>
        <v/>
      </c>
      <c r="K3172" s="6">
        <f>IF(OR(A3172="",B3172=""),"",DATE(YEAR(B3172),MONTH(B3172),1))</f>
        <v/>
      </c>
      <c r="L3172" s="7">
        <f>IF(COUNTA(A3172,B3172)=0,"",IF(OR(A3172="",B3172=""),"Preencher CPF e entrada",IF(COUNTIFS($A$12:$A$5011,A3172,$B$12:$B$5011,B3172)&gt;1,"CPF + dia duplicado",IF(OR(AND(E3172&lt;&gt;"",E3172&lt;B3172),AND(F3172&lt;&gt;"",F3172&lt;B3172)),"Evento anterior à entrada",IF(AND(F3172&lt;&gt;"",E3172=""),"Conversa sem agendamento",IF(OR(E3172&gt;TODAY(),F3172&gt;TODAY()),"Verificar evento futuro","OK"))))))</f>
        <v/>
      </c>
    </row>
    <row r="3173" spans="9:12">
      <c r="I3173" s="5">
        <f>IF(OR(A3173="",B3173=""),"",B3173-WEEKDAY(B3173,2)+1)</f>
        <v/>
      </c>
      <c r="J3173" s="5">
        <f>IF(I3173="","",I3173+6)</f>
        <v/>
      </c>
      <c r="K3173" s="6">
        <f>IF(OR(A3173="",B3173=""),"",DATE(YEAR(B3173),MONTH(B3173),1))</f>
        <v/>
      </c>
      <c r="L3173" s="7">
        <f>IF(COUNTA(A3173,B3173)=0,"",IF(OR(A3173="",B3173=""),"Preencher CPF e entrada",IF(COUNTIFS($A$12:$A$5011,A3173,$B$12:$B$5011,B3173)&gt;1,"CPF + dia duplicado",IF(OR(AND(E3173&lt;&gt;"",E3173&lt;B3173),AND(F3173&lt;&gt;"",F3173&lt;B3173)),"Evento anterior à entrada",IF(AND(F3173&lt;&gt;"",E3173=""),"Conversa sem agendamento",IF(OR(E3173&gt;TODAY(),F3173&gt;TODAY()),"Verificar evento futuro","OK"))))))</f>
        <v/>
      </c>
    </row>
    <row r="3174" spans="9:12">
      <c r="I3174" s="5">
        <f>IF(OR(A3174="",B3174=""),"",B3174-WEEKDAY(B3174,2)+1)</f>
        <v/>
      </c>
      <c r="J3174" s="5">
        <f>IF(I3174="","",I3174+6)</f>
        <v/>
      </c>
      <c r="K3174" s="6">
        <f>IF(OR(A3174="",B3174=""),"",DATE(YEAR(B3174),MONTH(B3174),1))</f>
        <v/>
      </c>
      <c r="L3174" s="7">
        <f>IF(COUNTA(A3174,B3174)=0,"",IF(OR(A3174="",B3174=""),"Preencher CPF e entrada",IF(COUNTIFS($A$12:$A$5011,A3174,$B$12:$B$5011,B3174)&gt;1,"CPF + dia duplicado",IF(OR(AND(E3174&lt;&gt;"",E3174&lt;B3174),AND(F3174&lt;&gt;"",F3174&lt;B3174)),"Evento anterior à entrada",IF(AND(F3174&lt;&gt;"",E3174=""),"Conversa sem agendamento",IF(OR(E3174&gt;TODAY(),F3174&gt;TODAY()),"Verificar evento futuro","OK"))))))</f>
        <v/>
      </c>
    </row>
    <row r="3175" spans="9:12">
      <c r="I3175" s="5">
        <f>IF(OR(A3175="",B3175=""),"",B3175-WEEKDAY(B3175,2)+1)</f>
        <v/>
      </c>
      <c r="J3175" s="5">
        <f>IF(I3175="","",I3175+6)</f>
        <v/>
      </c>
      <c r="K3175" s="6">
        <f>IF(OR(A3175="",B3175=""),"",DATE(YEAR(B3175),MONTH(B3175),1))</f>
        <v/>
      </c>
      <c r="L3175" s="7">
        <f>IF(COUNTA(A3175,B3175)=0,"",IF(OR(A3175="",B3175=""),"Preencher CPF e entrada",IF(COUNTIFS($A$12:$A$5011,A3175,$B$12:$B$5011,B3175)&gt;1,"CPF + dia duplicado",IF(OR(AND(E3175&lt;&gt;"",E3175&lt;B3175),AND(F3175&lt;&gt;"",F3175&lt;B3175)),"Evento anterior à entrada",IF(AND(F3175&lt;&gt;"",E3175=""),"Conversa sem agendamento",IF(OR(E3175&gt;TODAY(),F3175&gt;TODAY()),"Verificar evento futuro","OK"))))))</f>
        <v/>
      </c>
    </row>
    <row r="3176" spans="9:12">
      <c r="I3176" s="5">
        <f>IF(OR(A3176="",B3176=""),"",B3176-WEEKDAY(B3176,2)+1)</f>
        <v/>
      </c>
      <c r="J3176" s="5">
        <f>IF(I3176="","",I3176+6)</f>
        <v/>
      </c>
      <c r="K3176" s="6">
        <f>IF(OR(A3176="",B3176=""),"",DATE(YEAR(B3176),MONTH(B3176),1))</f>
        <v/>
      </c>
      <c r="L3176" s="7">
        <f>IF(COUNTA(A3176,B3176)=0,"",IF(OR(A3176="",B3176=""),"Preencher CPF e entrada",IF(COUNTIFS($A$12:$A$5011,A3176,$B$12:$B$5011,B3176)&gt;1,"CPF + dia duplicado",IF(OR(AND(E3176&lt;&gt;"",E3176&lt;B3176),AND(F3176&lt;&gt;"",F3176&lt;B3176)),"Evento anterior à entrada",IF(AND(F3176&lt;&gt;"",E3176=""),"Conversa sem agendamento",IF(OR(E3176&gt;TODAY(),F3176&gt;TODAY()),"Verificar evento futuro","OK"))))))</f>
        <v/>
      </c>
    </row>
    <row r="3177" spans="9:12">
      <c r="I3177" s="5">
        <f>IF(OR(A3177="",B3177=""),"",B3177-WEEKDAY(B3177,2)+1)</f>
        <v/>
      </c>
      <c r="J3177" s="5">
        <f>IF(I3177="","",I3177+6)</f>
        <v/>
      </c>
      <c r="K3177" s="6">
        <f>IF(OR(A3177="",B3177=""),"",DATE(YEAR(B3177),MONTH(B3177),1))</f>
        <v/>
      </c>
      <c r="L3177" s="7">
        <f>IF(COUNTA(A3177,B3177)=0,"",IF(OR(A3177="",B3177=""),"Preencher CPF e entrada",IF(COUNTIFS($A$12:$A$5011,A3177,$B$12:$B$5011,B3177)&gt;1,"CPF + dia duplicado",IF(OR(AND(E3177&lt;&gt;"",E3177&lt;B3177),AND(F3177&lt;&gt;"",F3177&lt;B3177)),"Evento anterior à entrada",IF(AND(F3177&lt;&gt;"",E3177=""),"Conversa sem agendamento",IF(OR(E3177&gt;TODAY(),F3177&gt;TODAY()),"Verificar evento futuro","OK"))))))</f>
        <v/>
      </c>
    </row>
    <row r="3178" spans="9:12">
      <c r="I3178" s="5">
        <f>IF(OR(A3178="",B3178=""),"",B3178-WEEKDAY(B3178,2)+1)</f>
        <v/>
      </c>
      <c r="J3178" s="5">
        <f>IF(I3178="","",I3178+6)</f>
        <v/>
      </c>
      <c r="K3178" s="6">
        <f>IF(OR(A3178="",B3178=""),"",DATE(YEAR(B3178),MONTH(B3178),1))</f>
        <v/>
      </c>
      <c r="L3178" s="7">
        <f>IF(COUNTA(A3178,B3178)=0,"",IF(OR(A3178="",B3178=""),"Preencher CPF e entrada",IF(COUNTIFS($A$12:$A$5011,A3178,$B$12:$B$5011,B3178)&gt;1,"CPF + dia duplicado",IF(OR(AND(E3178&lt;&gt;"",E3178&lt;B3178),AND(F3178&lt;&gt;"",F3178&lt;B3178)),"Evento anterior à entrada",IF(AND(F3178&lt;&gt;"",E3178=""),"Conversa sem agendamento",IF(OR(E3178&gt;TODAY(),F3178&gt;TODAY()),"Verificar evento futuro","OK"))))))</f>
        <v/>
      </c>
    </row>
    <row r="3179" spans="9:12">
      <c r="I3179" s="5">
        <f>IF(OR(A3179="",B3179=""),"",B3179-WEEKDAY(B3179,2)+1)</f>
        <v/>
      </c>
      <c r="J3179" s="5">
        <f>IF(I3179="","",I3179+6)</f>
        <v/>
      </c>
      <c r="K3179" s="6">
        <f>IF(OR(A3179="",B3179=""),"",DATE(YEAR(B3179),MONTH(B3179),1))</f>
        <v/>
      </c>
      <c r="L3179" s="7">
        <f>IF(COUNTA(A3179,B3179)=0,"",IF(OR(A3179="",B3179=""),"Preencher CPF e entrada",IF(COUNTIFS($A$12:$A$5011,A3179,$B$12:$B$5011,B3179)&gt;1,"CPF + dia duplicado",IF(OR(AND(E3179&lt;&gt;"",E3179&lt;B3179),AND(F3179&lt;&gt;"",F3179&lt;B3179)),"Evento anterior à entrada",IF(AND(F3179&lt;&gt;"",E3179=""),"Conversa sem agendamento",IF(OR(E3179&gt;TODAY(),F3179&gt;TODAY()),"Verificar evento futuro","OK"))))))</f>
        <v/>
      </c>
    </row>
    <row r="3180" spans="9:12">
      <c r="I3180" s="5">
        <f>IF(OR(A3180="",B3180=""),"",B3180-WEEKDAY(B3180,2)+1)</f>
        <v/>
      </c>
      <c r="J3180" s="5">
        <f>IF(I3180="","",I3180+6)</f>
        <v/>
      </c>
      <c r="K3180" s="6">
        <f>IF(OR(A3180="",B3180=""),"",DATE(YEAR(B3180),MONTH(B3180),1))</f>
        <v/>
      </c>
      <c r="L3180" s="7">
        <f>IF(COUNTA(A3180,B3180)=0,"",IF(OR(A3180="",B3180=""),"Preencher CPF e entrada",IF(COUNTIFS($A$12:$A$5011,A3180,$B$12:$B$5011,B3180)&gt;1,"CPF + dia duplicado",IF(OR(AND(E3180&lt;&gt;"",E3180&lt;B3180),AND(F3180&lt;&gt;"",F3180&lt;B3180)),"Evento anterior à entrada",IF(AND(F3180&lt;&gt;"",E3180=""),"Conversa sem agendamento",IF(OR(E3180&gt;TODAY(),F3180&gt;TODAY()),"Verificar evento futuro","OK"))))))</f>
        <v/>
      </c>
    </row>
    <row r="3181" spans="9:12">
      <c r="I3181" s="5">
        <f>IF(OR(A3181="",B3181=""),"",B3181-WEEKDAY(B3181,2)+1)</f>
        <v/>
      </c>
      <c r="J3181" s="5">
        <f>IF(I3181="","",I3181+6)</f>
        <v/>
      </c>
      <c r="K3181" s="6">
        <f>IF(OR(A3181="",B3181=""),"",DATE(YEAR(B3181),MONTH(B3181),1))</f>
        <v/>
      </c>
      <c r="L3181" s="7">
        <f>IF(COUNTA(A3181,B3181)=0,"",IF(OR(A3181="",B3181=""),"Preencher CPF e entrada",IF(COUNTIFS($A$12:$A$5011,A3181,$B$12:$B$5011,B3181)&gt;1,"CPF + dia duplicado",IF(OR(AND(E3181&lt;&gt;"",E3181&lt;B3181),AND(F3181&lt;&gt;"",F3181&lt;B3181)),"Evento anterior à entrada",IF(AND(F3181&lt;&gt;"",E3181=""),"Conversa sem agendamento",IF(OR(E3181&gt;TODAY(),F3181&gt;TODAY()),"Verificar evento futuro","OK"))))))</f>
        <v/>
      </c>
    </row>
    <row r="3182" spans="9:12">
      <c r="I3182" s="5">
        <f>IF(OR(A3182="",B3182=""),"",B3182-WEEKDAY(B3182,2)+1)</f>
        <v/>
      </c>
      <c r="J3182" s="5">
        <f>IF(I3182="","",I3182+6)</f>
        <v/>
      </c>
      <c r="K3182" s="6">
        <f>IF(OR(A3182="",B3182=""),"",DATE(YEAR(B3182),MONTH(B3182),1))</f>
        <v/>
      </c>
      <c r="L3182" s="7">
        <f>IF(COUNTA(A3182,B3182)=0,"",IF(OR(A3182="",B3182=""),"Preencher CPF e entrada",IF(COUNTIFS($A$12:$A$5011,A3182,$B$12:$B$5011,B3182)&gt;1,"CPF + dia duplicado",IF(OR(AND(E3182&lt;&gt;"",E3182&lt;B3182),AND(F3182&lt;&gt;"",F3182&lt;B3182)),"Evento anterior à entrada",IF(AND(F3182&lt;&gt;"",E3182=""),"Conversa sem agendamento",IF(OR(E3182&gt;TODAY(),F3182&gt;TODAY()),"Verificar evento futuro","OK"))))))</f>
        <v/>
      </c>
    </row>
    <row r="3183" spans="9:12">
      <c r="I3183" s="5">
        <f>IF(OR(A3183="",B3183=""),"",B3183-WEEKDAY(B3183,2)+1)</f>
        <v/>
      </c>
      <c r="J3183" s="5">
        <f>IF(I3183="","",I3183+6)</f>
        <v/>
      </c>
      <c r="K3183" s="6">
        <f>IF(OR(A3183="",B3183=""),"",DATE(YEAR(B3183),MONTH(B3183),1))</f>
        <v/>
      </c>
      <c r="L3183" s="7">
        <f>IF(COUNTA(A3183,B3183)=0,"",IF(OR(A3183="",B3183=""),"Preencher CPF e entrada",IF(COUNTIFS($A$12:$A$5011,A3183,$B$12:$B$5011,B3183)&gt;1,"CPF + dia duplicado",IF(OR(AND(E3183&lt;&gt;"",E3183&lt;B3183),AND(F3183&lt;&gt;"",F3183&lt;B3183)),"Evento anterior à entrada",IF(AND(F3183&lt;&gt;"",E3183=""),"Conversa sem agendamento",IF(OR(E3183&gt;TODAY(),F3183&gt;TODAY()),"Verificar evento futuro","OK"))))))</f>
        <v/>
      </c>
    </row>
    <row r="3184" spans="9:12">
      <c r="I3184" s="5">
        <f>IF(OR(A3184="",B3184=""),"",B3184-WEEKDAY(B3184,2)+1)</f>
        <v/>
      </c>
      <c r="J3184" s="5">
        <f>IF(I3184="","",I3184+6)</f>
        <v/>
      </c>
      <c r="K3184" s="6">
        <f>IF(OR(A3184="",B3184=""),"",DATE(YEAR(B3184),MONTH(B3184),1))</f>
        <v/>
      </c>
      <c r="L3184" s="7">
        <f>IF(COUNTA(A3184,B3184)=0,"",IF(OR(A3184="",B3184=""),"Preencher CPF e entrada",IF(COUNTIFS($A$12:$A$5011,A3184,$B$12:$B$5011,B3184)&gt;1,"CPF + dia duplicado",IF(OR(AND(E3184&lt;&gt;"",E3184&lt;B3184),AND(F3184&lt;&gt;"",F3184&lt;B3184)),"Evento anterior à entrada",IF(AND(F3184&lt;&gt;"",E3184=""),"Conversa sem agendamento",IF(OR(E3184&gt;TODAY(),F3184&gt;TODAY()),"Verificar evento futuro","OK"))))))</f>
        <v/>
      </c>
    </row>
    <row r="3185" spans="9:12">
      <c r="I3185" s="5">
        <f>IF(OR(A3185="",B3185=""),"",B3185-WEEKDAY(B3185,2)+1)</f>
        <v/>
      </c>
      <c r="J3185" s="5">
        <f>IF(I3185="","",I3185+6)</f>
        <v/>
      </c>
      <c r="K3185" s="6">
        <f>IF(OR(A3185="",B3185=""),"",DATE(YEAR(B3185),MONTH(B3185),1))</f>
        <v/>
      </c>
      <c r="L3185" s="7">
        <f>IF(COUNTA(A3185,B3185)=0,"",IF(OR(A3185="",B3185=""),"Preencher CPF e entrada",IF(COUNTIFS($A$12:$A$5011,A3185,$B$12:$B$5011,B3185)&gt;1,"CPF + dia duplicado",IF(OR(AND(E3185&lt;&gt;"",E3185&lt;B3185),AND(F3185&lt;&gt;"",F3185&lt;B3185)),"Evento anterior à entrada",IF(AND(F3185&lt;&gt;"",E3185=""),"Conversa sem agendamento",IF(OR(E3185&gt;TODAY(),F3185&gt;TODAY()),"Verificar evento futuro","OK"))))))</f>
        <v/>
      </c>
    </row>
    <row r="3186" spans="9:12">
      <c r="I3186" s="5">
        <f>IF(OR(A3186="",B3186=""),"",B3186-WEEKDAY(B3186,2)+1)</f>
        <v/>
      </c>
      <c r="J3186" s="5">
        <f>IF(I3186="","",I3186+6)</f>
        <v/>
      </c>
      <c r="K3186" s="6">
        <f>IF(OR(A3186="",B3186=""),"",DATE(YEAR(B3186),MONTH(B3186),1))</f>
        <v/>
      </c>
      <c r="L3186" s="7">
        <f>IF(COUNTA(A3186,B3186)=0,"",IF(OR(A3186="",B3186=""),"Preencher CPF e entrada",IF(COUNTIFS($A$12:$A$5011,A3186,$B$12:$B$5011,B3186)&gt;1,"CPF + dia duplicado",IF(OR(AND(E3186&lt;&gt;"",E3186&lt;B3186),AND(F3186&lt;&gt;"",F3186&lt;B3186)),"Evento anterior à entrada",IF(AND(F3186&lt;&gt;"",E3186=""),"Conversa sem agendamento",IF(OR(E3186&gt;TODAY(),F3186&gt;TODAY()),"Verificar evento futuro","OK"))))))</f>
        <v/>
      </c>
    </row>
    <row r="3187" spans="9:12">
      <c r="I3187" s="5">
        <f>IF(OR(A3187="",B3187=""),"",B3187-WEEKDAY(B3187,2)+1)</f>
        <v/>
      </c>
      <c r="J3187" s="5">
        <f>IF(I3187="","",I3187+6)</f>
        <v/>
      </c>
      <c r="K3187" s="6">
        <f>IF(OR(A3187="",B3187=""),"",DATE(YEAR(B3187),MONTH(B3187),1))</f>
        <v/>
      </c>
      <c r="L3187" s="7">
        <f>IF(COUNTA(A3187,B3187)=0,"",IF(OR(A3187="",B3187=""),"Preencher CPF e entrada",IF(COUNTIFS($A$12:$A$5011,A3187,$B$12:$B$5011,B3187)&gt;1,"CPF + dia duplicado",IF(OR(AND(E3187&lt;&gt;"",E3187&lt;B3187),AND(F3187&lt;&gt;"",F3187&lt;B3187)),"Evento anterior à entrada",IF(AND(F3187&lt;&gt;"",E3187=""),"Conversa sem agendamento",IF(OR(E3187&gt;TODAY(),F3187&gt;TODAY()),"Verificar evento futuro","OK"))))))</f>
        <v/>
      </c>
    </row>
    <row r="3188" spans="9:12">
      <c r="I3188" s="5">
        <f>IF(OR(A3188="",B3188=""),"",B3188-WEEKDAY(B3188,2)+1)</f>
        <v/>
      </c>
      <c r="J3188" s="5">
        <f>IF(I3188="","",I3188+6)</f>
        <v/>
      </c>
      <c r="K3188" s="6">
        <f>IF(OR(A3188="",B3188=""),"",DATE(YEAR(B3188),MONTH(B3188),1))</f>
        <v/>
      </c>
      <c r="L3188" s="7">
        <f>IF(COUNTA(A3188,B3188)=0,"",IF(OR(A3188="",B3188=""),"Preencher CPF e entrada",IF(COUNTIFS($A$12:$A$5011,A3188,$B$12:$B$5011,B3188)&gt;1,"CPF + dia duplicado",IF(OR(AND(E3188&lt;&gt;"",E3188&lt;B3188),AND(F3188&lt;&gt;"",F3188&lt;B3188)),"Evento anterior à entrada",IF(AND(F3188&lt;&gt;"",E3188=""),"Conversa sem agendamento",IF(OR(E3188&gt;TODAY(),F3188&gt;TODAY()),"Verificar evento futuro","OK"))))))</f>
        <v/>
      </c>
    </row>
    <row r="3189" spans="9:12">
      <c r="I3189" s="5">
        <f>IF(OR(A3189="",B3189=""),"",B3189-WEEKDAY(B3189,2)+1)</f>
        <v/>
      </c>
      <c r="J3189" s="5">
        <f>IF(I3189="","",I3189+6)</f>
        <v/>
      </c>
      <c r="K3189" s="6">
        <f>IF(OR(A3189="",B3189=""),"",DATE(YEAR(B3189),MONTH(B3189),1))</f>
        <v/>
      </c>
      <c r="L3189" s="7">
        <f>IF(COUNTA(A3189,B3189)=0,"",IF(OR(A3189="",B3189=""),"Preencher CPF e entrada",IF(COUNTIFS($A$12:$A$5011,A3189,$B$12:$B$5011,B3189)&gt;1,"CPF + dia duplicado",IF(OR(AND(E3189&lt;&gt;"",E3189&lt;B3189),AND(F3189&lt;&gt;"",F3189&lt;B3189)),"Evento anterior à entrada",IF(AND(F3189&lt;&gt;"",E3189=""),"Conversa sem agendamento",IF(OR(E3189&gt;TODAY(),F3189&gt;TODAY()),"Verificar evento futuro","OK"))))))</f>
        <v/>
      </c>
    </row>
    <row r="3190" spans="9:12">
      <c r="I3190" s="5">
        <f>IF(OR(A3190="",B3190=""),"",B3190-WEEKDAY(B3190,2)+1)</f>
        <v/>
      </c>
      <c r="J3190" s="5">
        <f>IF(I3190="","",I3190+6)</f>
        <v/>
      </c>
      <c r="K3190" s="6">
        <f>IF(OR(A3190="",B3190=""),"",DATE(YEAR(B3190),MONTH(B3190),1))</f>
        <v/>
      </c>
      <c r="L3190" s="7">
        <f>IF(COUNTA(A3190,B3190)=0,"",IF(OR(A3190="",B3190=""),"Preencher CPF e entrada",IF(COUNTIFS($A$12:$A$5011,A3190,$B$12:$B$5011,B3190)&gt;1,"CPF + dia duplicado",IF(OR(AND(E3190&lt;&gt;"",E3190&lt;B3190),AND(F3190&lt;&gt;"",F3190&lt;B3190)),"Evento anterior à entrada",IF(AND(F3190&lt;&gt;"",E3190=""),"Conversa sem agendamento",IF(OR(E3190&gt;TODAY(),F3190&gt;TODAY()),"Verificar evento futuro","OK"))))))</f>
        <v/>
      </c>
    </row>
    <row r="3191" spans="9:12">
      <c r="I3191" s="5">
        <f>IF(OR(A3191="",B3191=""),"",B3191-WEEKDAY(B3191,2)+1)</f>
        <v/>
      </c>
      <c r="J3191" s="5">
        <f>IF(I3191="","",I3191+6)</f>
        <v/>
      </c>
      <c r="K3191" s="6">
        <f>IF(OR(A3191="",B3191=""),"",DATE(YEAR(B3191),MONTH(B3191),1))</f>
        <v/>
      </c>
      <c r="L3191" s="7">
        <f>IF(COUNTA(A3191,B3191)=0,"",IF(OR(A3191="",B3191=""),"Preencher CPF e entrada",IF(COUNTIFS($A$12:$A$5011,A3191,$B$12:$B$5011,B3191)&gt;1,"CPF + dia duplicado",IF(OR(AND(E3191&lt;&gt;"",E3191&lt;B3191),AND(F3191&lt;&gt;"",F3191&lt;B3191)),"Evento anterior à entrada",IF(AND(F3191&lt;&gt;"",E3191=""),"Conversa sem agendamento",IF(OR(E3191&gt;TODAY(),F3191&gt;TODAY()),"Verificar evento futuro","OK"))))))</f>
        <v/>
      </c>
    </row>
    <row r="3192" spans="9:12">
      <c r="I3192" s="5">
        <f>IF(OR(A3192="",B3192=""),"",B3192-WEEKDAY(B3192,2)+1)</f>
        <v/>
      </c>
      <c r="J3192" s="5">
        <f>IF(I3192="","",I3192+6)</f>
        <v/>
      </c>
      <c r="K3192" s="6">
        <f>IF(OR(A3192="",B3192=""),"",DATE(YEAR(B3192),MONTH(B3192),1))</f>
        <v/>
      </c>
      <c r="L3192" s="7">
        <f>IF(COUNTA(A3192,B3192)=0,"",IF(OR(A3192="",B3192=""),"Preencher CPF e entrada",IF(COUNTIFS($A$12:$A$5011,A3192,$B$12:$B$5011,B3192)&gt;1,"CPF + dia duplicado",IF(OR(AND(E3192&lt;&gt;"",E3192&lt;B3192),AND(F3192&lt;&gt;"",F3192&lt;B3192)),"Evento anterior à entrada",IF(AND(F3192&lt;&gt;"",E3192=""),"Conversa sem agendamento",IF(OR(E3192&gt;TODAY(),F3192&gt;TODAY()),"Verificar evento futuro","OK"))))))</f>
        <v/>
      </c>
    </row>
    <row r="3193" spans="9:12">
      <c r="I3193" s="5">
        <f>IF(OR(A3193="",B3193=""),"",B3193-WEEKDAY(B3193,2)+1)</f>
        <v/>
      </c>
      <c r="J3193" s="5">
        <f>IF(I3193="","",I3193+6)</f>
        <v/>
      </c>
      <c r="K3193" s="6">
        <f>IF(OR(A3193="",B3193=""),"",DATE(YEAR(B3193),MONTH(B3193),1))</f>
        <v/>
      </c>
      <c r="L3193" s="7">
        <f>IF(COUNTA(A3193,B3193)=0,"",IF(OR(A3193="",B3193=""),"Preencher CPF e entrada",IF(COUNTIFS($A$12:$A$5011,A3193,$B$12:$B$5011,B3193)&gt;1,"CPF + dia duplicado",IF(OR(AND(E3193&lt;&gt;"",E3193&lt;B3193),AND(F3193&lt;&gt;"",F3193&lt;B3193)),"Evento anterior à entrada",IF(AND(F3193&lt;&gt;"",E3193=""),"Conversa sem agendamento",IF(OR(E3193&gt;TODAY(),F3193&gt;TODAY()),"Verificar evento futuro","OK"))))))</f>
        <v/>
      </c>
    </row>
    <row r="3194" spans="9:12">
      <c r="I3194" s="5">
        <f>IF(OR(A3194="",B3194=""),"",B3194-WEEKDAY(B3194,2)+1)</f>
        <v/>
      </c>
      <c r="J3194" s="5">
        <f>IF(I3194="","",I3194+6)</f>
        <v/>
      </c>
      <c r="K3194" s="6">
        <f>IF(OR(A3194="",B3194=""),"",DATE(YEAR(B3194),MONTH(B3194),1))</f>
        <v/>
      </c>
      <c r="L3194" s="7">
        <f>IF(COUNTA(A3194,B3194)=0,"",IF(OR(A3194="",B3194=""),"Preencher CPF e entrada",IF(COUNTIFS($A$12:$A$5011,A3194,$B$12:$B$5011,B3194)&gt;1,"CPF + dia duplicado",IF(OR(AND(E3194&lt;&gt;"",E3194&lt;B3194),AND(F3194&lt;&gt;"",F3194&lt;B3194)),"Evento anterior à entrada",IF(AND(F3194&lt;&gt;"",E3194=""),"Conversa sem agendamento",IF(OR(E3194&gt;TODAY(),F3194&gt;TODAY()),"Verificar evento futuro","OK"))))))</f>
        <v/>
      </c>
    </row>
    <row r="3195" spans="9:12">
      <c r="I3195" s="5">
        <f>IF(OR(A3195="",B3195=""),"",B3195-WEEKDAY(B3195,2)+1)</f>
        <v/>
      </c>
      <c r="J3195" s="5">
        <f>IF(I3195="","",I3195+6)</f>
        <v/>
      </c>
      <c r="K3195" s="6">
        <f>IF(OR(A3195="",B3195=""),"",DATE(YEAR(B3195),MONTH(B3195),1))</f>
        <v/>
      </c>
      <c r="L3195" s="7">
        <f>IF(COUNTA(A3195,B3195)=0,"",IF(OR(A3195="",B3195=""),"Preencher CPF e entrada",IF(COUNTIFS($A$12:$A$5011,A3195,$B$12:$B$5011,B3195)&gt;1,"CPF + dia duplicado",IF(OR(AND(E3195&lt;&gt;"",E3195&lt;B3195),AND(F3195&lt;&gt;"",F3195&lt;B3195)),"Evento anterior à entrada",IF(AND(F3195&lt;&gt;"",E3195=""),"Conversa sem agendamento",IF(OR(E3195&gt;TODAY(),F3195&gt;TODAY()),"Verificar evento futuro","OK"))))))</f>
        <v/>
      </c>
    </row>
    <row r="3196" spans="9:12">
      <c r="I3196" s="5">
        <f>IF(OR(A3196="",B3196=""),"",B3196-WEEKDAY(B3196,2)+1)</f>
        <v/>
      </c>
      <c r="J3196" s="5">
        <f>IF(I3196="","",I3196+6)</f>
        <v/>
      </c>
      <c r="K3196" s="6">
        <f>IF(OR(A3196="",B3196=""),"",DATE(YEAR(B3196),MONTH(B3196),1))</f>
        <v/>
      </c>
      <c r="L3196" s="7">
        <f>IF(COUNTA(A3196,B3196)=0,"",IF(OR(A3196="",B3196=""),"Preencher CPF e entrada",IF(COUNTIFS($A$12:$A$5011,A3196,$B$12:$B$5011,B3196)&gt;1,"CPF + dia duplicado",IF(OR(AND(E3196&lt;&gt;"",E3196&lt;B3196),AND(F3196&lt;&gt;"",F3196&lt;B3196)),"Evento anterior à entrada",IF(AND(F3196&lt;&gt;"",E3196=""),"Conversa sem agendamento",IF(OR(E3196&gt;TODAY(),F3196&gt;TODAY()),"Verificar evento futuro","OK"))))))</f>
        <v/>
      </c>
    </row>
    <row r="3197" spans="9:12">
      <c r="I3197" s="5">
        <f>IF(OR(A3197="",B3197=""),"",B3197-WEEKDAY(B3197,2)+1)</f>
        <v/>
      </c>
      <c r="J3197" s="5">
        <f>IF(I3197="","",I3197+6)</f>
        <v/>
      </c>
      <c r="K3197" s="6">
        <f>IF(OR(A3197="",B3197=""),"",DATE(YEAR(B3197),MONTH(B3197),1))</f>
        <v/>
      </c>
      <c r="L3197" s="7">
        <f>IF(COUNTA(A3197,B3197)=0,"",IF(OR(A3197="",B3197=""),"Preencher CPF e entrada",IF(COUNTIFS($A$12:$A$5011,A3197,$B$12:$B$5011,B3197)&gt;1,"CPF + dia duplicado",IF(OR(AND(E3197&lt;&gt;"",E3197&lt;B3197),AND(F3197&lt;&gt;"",F3197&lt;B3197)),"Evento anterior à entrada",IF(AND(F3197&lt;&gt;"",E3197=""),"Conversa sem agendamento",IF(OR(E3197&gt;TODAY(),F3197&gt;TODAY()),"Verificar evento futuro","OK"))))))</f>
        <v/>
      </c>
    </row>
    <row r="3198" spans="9:12">
      <c r="I3198" s="5">
        <f>IF(OR(A3198="",B3198=""),"",B3198-WEEKDAY(B3198,2)+1)</f>
        <v/>
      </c>
      <c r="J3198" s="5">
        <f>IF(I3198="","",I3198+6)</f>
        <v/>
      </c>
      <c r="K3198" s="6">
        <f>IF(OR(A3198="",B3198=""),"",DATE(YEAR(B3198),MONTH(B3198),1))</f>
        <v/>
      </c>
      <c r="L3198" s="7">
        <f>IF(COUNTA(A3198,B3198)=0,"",IF(OR(A3198="",B3198=""),"Preencher CPF e entrada",IF(COUNTIFS($A$12:$A$5011,A3198,$B$12:$B$5011,B3198)&gt;1,"CPF + dia duplicado",IF(OR(AND(E3198&lt;&gt;"",E3198&lt;B3198),AND(F3198&lt;&gt;"",F3198&lt;B3198)),"Evento anterior à entrada",IF(AND(F3198&lt;&gt;"",E3198=""),"Conversa sem agendamento",IF(OR(E3198&gt;TODAY(),F3198&gt;TODAY()),"Verificar evento futuro","OK"))))))</f>
        <v/>
      </c>
    </row>
    <row r="3199" spans="9:12">
      <c r="I3199" s="5">
        <f>IF(OR(A3199="",B3199=""),"",B3199-WEEKDAY(B3199,2)+1)</f>
        <v/>
      </c>
      <c r="J3199" s="5">
        <f>IF(I3199="","",I3199+6)</f>
        <v/>
      </c>
      <c r="K3199" s="6">
        <f>IF(OR(A3199="",B3199=""),"",DATE(YEAR(B3199),MONTH(B3199),1))</f>
        <v/>
      </c>
      <c r="L3199" s="7">
        <f>IF(COUNTA(A3199,B3199)=0,"",IF(OR(A3199="",B3199=""),"Preencher CPF e entrada",IF(COUNTIFS($A$12:$A$5011,A3199,$B$12:$B$5011,B3199)&gt;1,"CPF + dia duplicado",IF(OR(AND(E3199&lt;&gt;"",E3199&lt;B3199),AND(F3199&lt;&gt;"",F3199&lt;B3199)),"Evento anterior à entrada",IF(AND(F3199&lt;&gt;"",E3199=""),"Conversa sem agendamento",IF(OR(E3199&gt;TODAY(),F3199&gt;TODAY()),"Verificar evento futuro","OK"))))))</f>
        <v/>
      </c>
    </row>
    <row r="3200" spans="9:12">
      <c r="I3200" s="5">
        <f>IF(OR(A3200="",B3200=""),"",B3200-WEEKDAY(B3200,2)+1)</f>
        <v/>
      </c>
      <c r="J3200" s="5">
        <f>IF(I3200="","",I3200+6)</f>
        <v/>
      </c>
      <c r="K3200" s="6">
        <f>IF(OR(A3200="",B3200=""),"",DATE(YEAR(B3200),MONTH(B3200),1))</f>
        <v/>
      </c>
      <c r="L3200" s="7">
        <f>IF(COUNTA(A3200,B3200)=0,"",IF(OR(A3200="",B3200=""),"Preencher CPF e entrada",IF(COUNTIFS($A$12:$A$5011,A3200,$B$12:$B$5011,B3200)&gt;1,"CPF + dia duplicado",IF(OR(AND(E3200&lt;&gt;"",E3200&lt;B3200),AND(F3200&lt;&gt;"",F3200&lt;B3200)),"Evento anterior à entrada",IF(AND(F3200&lt;&gt;"",E3200=""),"Conversa sem agendamento",IF(OR(E3200&gt;TODAY(),F3200&gt;TODAY()),"Verificar evento futuro","OK"))))))</f>
        <v/>
      </c>
    </row>
    <row r="3201" spans="9:12">
      <c r="I3201" s="5">
        <f>IF(OR(A3201="",B3201=""),"",B3201-WEEKDAY(B3201,2)+1)</f>
        <v/>
      </c>
      <c r="J3201" s="5">
        <f>IF(I3201="","",I3201+6)</f>
        <v/>
      </c>
      <c r="K3201" s="6">
        <f>IF(OR(A3201="",B3201=""),"",DATE(YEAR(B3201),MONTH(B3201),1))</f>
        <v/>
      </c>
      <c r="L3201" s="7">
        <f>IF(COUNTA(A3201,B3201)=0,"",IF(OR(A3201="",B3201=""),"Preencher CPF e entrada",IF(COUNTIFS($A$12:$A$5011,A3201,$B$12:$B$5011,B3201)&gt;1,"CPF + dia duplicado",IF(OR(AND(E3201&lt;&gt;"",E3201&lt;B3201),AND(F3201&lt;&gt;"",F3201&lt;B3201)),"Evento anterior à entrada",IF(AND(F3201&lt;&gt;"",E3201=""),"Conversa sem agendamento",IF(OR(E3201&gt;TODAY(),F3201&gt;TODAY()),"Verificar evento futuro","OK"))))))</f>
        <v/>
      </c>
    </row>
    <row r="3202" spans="9:12">
      <c r="I3202" s="5">
        <f>IF(OR(A3202="",B3202=""),"",B3202-WEEKDAY(B3202,2)+1)</f>
        <v/>
      </c>
      <c r="J3202" s="5">
        <f>IF(I3202="","",I3202+6)</f>
        <v/>
      </c>
      <c r="K3202" s="6">
        <f>IF(OR(A3202="",B3202=""),"",DATE(YEAR(B3202),MONTH(B3202),1))</f>
        <v/>
      </c>
      <c r="L3202" s="7">
        <f>IF(COUNTA(A3202,B3202)=0,"",IF(OR(A3202="",B3202=""),"Preencher CPF e entrada",IF(COUNTIFS($A$12:$A$5011,A3202,$B$12:$B$5011,B3202)&gt;1,"CPF + dia duplicado",IF(OR(AND(E3202&lt;&gt;"",E3202&lt;B3202),AND(F3202&lt;&gt;"",F3202&lt;B3202)),"Evento anterior à entrada",IF(AND(F3202&lt;&gt;"",E3202=""),"Conversa sem agendamento",IF(OR(E3202&gt;TODAY(),F3202&gt;TODAY()),"Verificar evento futuro","OK"))))))</f>
        <v/>
      </c>
    </row>
    <row r="3203" spans="9:12">
      <c r="I3203" s="5">
        <f>IF(OR(A3203="",B3203=""),"",B3203-WEEKDAY(B3203,2)+1)</f>
        <v/>
      </c>
      <c r="J3203" s="5">
        <f>IF(I3203="","",I3203+6)</f>
        <v/>
      </c>
      <c r="K3203" s="6">
        <f>IF(OR(A3203="",B3203=""),"",DATE(YEAR(B3203),MONTH(B3203),1))</f>
        <v/>
      </c>
      <c r="L3203" s="7">
        <f>IF(COUNTA(A3203,B3203)=0,"",IF(OR(A3203="",B3203=""),"Preencher CPF e entrada",IF(COUNTIFS($A$12:$A$5011,A3203,$B$12:$B$5011,B3203)&gt;1,"CPF + dia duplicado",IF(OR(AND(E3203&lt;&gt;"",E3203&lt;B3203),AND(F3203&lt;&gt;"",F3203&lt;B3203)),"Evento anterior à entrada",IF(AND(F3203&lt;&gt;"",E3203=""),"Conversa sem agendamento",IF(OR(E3203&gt;TODAY(),F3203&gt;TODAY()),"Verificar evento futuro","OK"))))))</f>
        <v/>
      </c>
    </row>
    <row r="3204" spans="9:12">
      <c r="I3204" s="5">
        <f>IF(OR(A3204="",B3204=""),"",B3204-WEEKDAY(B3204,2)+1)</f>
        <v/>
      </c>
      <c r="J3204" s="5">
        <f>IF(I3204="","",I3204+6)</f>
        <v/>
      </c>
      <c r="K3204" s="6">
        <f>IF(OR(A3204="",B3204=""),"",DATE(YEAR(B3204),MONTH(B3204),1))</f>
        <v/>
      </c>
      <c r="L3204" s="7">
        <f>IF(COUNTA(A3204,B3204)=0,"",IF(OR(A3204="",B3204=""),"Preencher CPF e entrada",IF(COUNTIFS($A$12:$A$5011,A3204,$B$12:$B$5011,B3204)&gt;1,"CPF + dia duplicado",IF(OR(AND(E3204&lt;&gt;"",E3204&lt;B3204),AND(F3204&lt;&gt;"",F3204&lt;B3204)),"Evento anterior à entrada",IF(AND(F3204&lt;&gt;"",E3204=""),"Conversa sem agendamento",IF(OR(E3204&gt;TODAY(),F3204&gt;TODAY()),"Verificar evento futuro","OK"))))))</f>
        <v/>
      </c>
    </row>
    <row r="3205" spans="9:12">
      <c r="I3205" s="5">
        <f>IF(OR(A3205="",B3205=""),"",B3205-WEEKDAY(B3205,2)+1)</f>
        <v/>
      </c>
      <c r="J3205" s="5">
        <f>IF(I3205="","",I3205+6)</f>
        <v/>
      </c>
      <c r="K3205" s="6">
        <f>IF(OR(A3205="",B3205=""),"",DATE(YEAR(B3205),MONTH(B3205),1))</f>
        <v/>
      </c>
      <c r="L3205" s="7">
        <f>IF(COUNTA(A3205,B3205)=0,"",IF(OR(A3205="",B3205=""),"Preencher CPF e entrada",IF(COUNTIFS($A$12:$A$5011,A3205,$B$12:$B$5011,B3205)&gt;1,"CPF + dia duplicado",IF(OR(AND(E3205&lt;&gt;"",E3205&lt;B3205),AND(F3205&lt;&gt;"",F3205&lt;B3205)),"Evento anterior à entrada",IF(AND(F3205&lt;&gt;"",E3205=""),"Conversa sem agendamento",IF(OR(E3205&gt;TODAY(),F3205&gt;TODAY()),"Verificar evento futuro","OK"))))))</f>
        <v/>
      </c>
    </row>
    <row r="3206" spans="9:12">
      <c r="I3206" s="5">
        <f>IF(OR(A3206="",B3206=""),"",B3206-WEEKDAY(B3206,2)+1)</f>
        <v/>
      </c>
      <c r="J3206" s="5">
        <f>IF(I3206="","",I3206+6)</f>
        <v/>
      </c>
      <c r="K3206" s="6">
        <f>IF(OR(A3206="",B3206=""),"",DATE(YEAR(B3206),MONTH(B3206),1))</f>
        <v/>
      </c>
      <c r="L3206" s="7">
        <f>IF(COUNTA(A3206,B3206)=0,"",IF(OR(A3206="",B3206=""),"Preencher CPF e entrada",IF(COUNTIFS($A$12:$A$5011,A3206,$B$12:$B$5011,B3206)&gt;1,"CPF + dia duplicado",IF(OR(AND(E3206&lt;&gt;"",E3206&lt;B3206),AND(F3206&lt;&gt;"",F3206&lt;B3206)),"Evento anterior à entrada",IF(AND(F3206&lt;&gt;"",E3206=""),"Conversa sem agendamento",IF(OR(E3206&gt;TODAY(),F3206&gt;TODAY()),"Verificar evento futuro","OK"))))))</f>
        <v/>
      </c>
    </row>
    <row r="3207" spans="9:12">
      <c r="I3207" s="5">
        <f>IF(OR(A3207="",B3207=""),"",B3207-WEEKDAY(B3207,2)+1)</f>
        <v/>
      </c>
      <c r="J3207" s="5">
        <f>IF(I3207="","",I3207+6)</f>
        <v/>
      </c>
      <c r="K3207" s="6">
        <f>IF(OR(A3207="",B3207=""),"",DATE(YEAR(B3207),MONTH(B3207),1))</f>
        <v/>
      </c>
      <c r="L3207" s="7">
        <f>IF(COUNTA(A3207,B3207)=0,"",IF(OR(A3207="",B3207=""),"Preencher CPF e entrada",IF(COUNTIFS($A$12:$A$5011,A3207,$B$12:$B$5011,B3207)&gt;1,"CPF + dia duplicado",IF(OR(AND(E3207&lt;&gt;"",E3207&lt;B3207),AND(F3207&lt;&gt;"",F3207&lt;B3207)),"Evento anterior à entrada",IF(AND(F3207&lt;&gt;"",E3207=""),"Conversa sem agendamento",IF(OR(E3207&gt;TODAY(),F3207&gt;TODAY()),"Verificar evento futuro","OK"))))))</f>
        <v/>
      </c>
    </row>
    <row r="3208" spans="9:12">
      <c r="I3208" s="5">
        <f>IF(OR(A3208="",B3208=""),"",B3208-WEEKDAY(B3208,2)+1)</f>
        <v/>
      </c>
      <c r="J3208" s="5">
        <f>IF(I3208="","",I3208+6)</f>
        <v/>
      </c>
      <c r="K3208" s="6">
        <f>IF(OR(A3208="",B3208=""),"",DATE(YEAR(B3208),MONTH(B3208),1))</f>
        <v/>
      </c>
      <c r="L3208" s="7">
        <f>IF(COUNTA(A3208,B3208)=0,"",IF(OR(A3208="",B3208=""),"Preencher CPF e entrada",IF(COUNTIFS($A$12:$A$5011,A3208,$B$12:$B$5011,B3208)&gt;1,"CPF + dia duplicado",IF(OR(AND(E3208&lt;&gt;"",E3208&lt;B3208),AND(F3208&lt;&gt;"",F3208&lt;B3208)),"Evento anterior à entrada",IF(AND(F3208&lt;&gt;"",E3208=""),"Conversa sem agendamento",IF(OR(E3208&gt;TODAY(),F3208&gt;TODAY()),"Verificar evento futuro","OK"))))))</f>
        <v/>
      </c>
    </row>
    <row r="3209" spans="9:12">
      <c r="I3209" s="5">
        <f>IF(OR(A3209="",B3209=""),"",B3209-WEEKDAY(B3209,2)+1)</f>
        <v/>
      </c>
      <c r="J3209" s="5">
        <f>IF(I3209="","",I3209+6)</f>
        <v/>
      </c>
      <c r="K3209" s="6">
        <f>IF(OR(A3209="",B3209=""),"",DATE(YEAR(B3209),MONTH(B3209),1))</f>
        <v/>
      </c>
      <c r="L3209" s="7">
        <f>IF(COUNTA(A3209,B3209)=0,"",IF(OR(A3209="",B3209=""),"Preencher CPF e entrada",IF(COUNTIFS($A$12:$A$5011,A3209,$B$12:$B$5011,B3209)&gt;1,"CPF + dia duplicado",IF(OR(AND(E3209&lt;&gt;"",E3209&lt;B3209),AND(F3209&lt;&gt;"",F3209&lt;B3209)),"Evento anterior à entrada",IF(AND(F3209&lt;&gt;"",E3209=""),"Conversa sem agendamento",IF(OR(E3209&gt;TODAY(),F3209&gt;TODAY()),"Verificar evento futuro","OK"))))))</f>
        <v/>
      </c>
    </row>
    <row r="3210" spans="9:12">
      <c r="I3210" s="5">
        <f>IF(OR(A3210="",B3210=""),"",B3210-WEEKDAY(B3210,2)+1)</f>
        <v/>
      </c>
      <c r="J3210" s="5">
        <f>IF(I3210="","",I3210+6)</f>
        <v/>
      </c>
      <c r="K3210" s="6">
        <f>IF(OR(A3210="",B3210=""),"",DATE(YEAR(B3210),MONTH(B3210),1))</f>
        <v/>
      </c>
      <c r="L3210" s="7">
        <f>IF(COUNTA(A3210,B3210)=0,"",IF(OR(A3210="",B3210=""),"Preencher CPF e entrada",IF(COUNTIFS($A$12:$A$5011,A3210,$B$12:$B$5011,B3210)&gt;1,"CPF + dia duplicado",IF(OR(AND(E3210&lt;&gt;"",E3210&lt;B3210),AND(F3210&lt;&gt;"",F3210&lt;B3210)),"Evento anterior à entrada",IF(AND(F3210&lt;&gt;"",E3210=""),"Conversa sem agendamento",IF(OR(E3210&gt;TODAY(),F3210&gt;TODAY()),"Verificar evento futuro","OK"))))))</f>
        <v/>
      </c>
    </row>
    <row r="3211" spans="9:12">
      <c r="I3211" s="5">
        <f>IF(OR(A3211="",B3211=""),"",B3211-WEEKDAY(B3211,2)+1)</f>
        <v/>
      </c>
      <c r="J3211" s="5">
        <f>IF(I3211="","",I3211+6)</f>
        <v/>
      </c>
      <c r="K3211" s="6">
        <f>IF(OR(A3211="",B3211=""),"",DATE(YEAR(B3211),MONTH(B3211),1))</f>
        <v/>
      </c>
      <c r="L3211" s="7">
        <f>IF(COUNTA(A3211,B3211)=0,"",IF(OR(A3211="",B3211=""),"Preencher CPF e entrada",IF(COUNTIFS($A$12:$A$5011,A3211,$B$12:$B$5011,B3211)&gt;1,"CPF + dia duplicado",IF(OR(AND(E3211&lt;&gt;"",E3211&lt;B3211),AND(F3211&lt;&gt;"",F3211&lt;B3211)),"Evento anterior à entrada",IF(AND(F3211&lt;&gt;"",E3211=""),"Conversa sem agendamento",IF(OR(E3211&gt;TODAY(),F3211&gt;TODAY()),"Verificar evento futuro","OK"))))))</f>
        <v/>
      </c>
    </row>
    <row r="3212" spans="9:12">
      <c r="I3212" s="5">
        <f>IF(OR(A3212="",B3212=""),"",B3212-WEEKDAY(B3212,2)+1)</f>
        <v/>
      </c>
      <c r="J3212" s="5">
        <f>IF(I3212="","",I3212+6)</f>
        <v/>
      </c>
      <c r="K3212" s="6">
        <f>IF(OR(A3212="",B3212=""),"",DATE(YEAR(B3212),MONTH(B3212),1))</f>
        <v/>
      </c>
      <c r="L3212" s="7">
        <f>IF(COUNTA(A3212,B3212)=0,"",IF(OR(A3212="",B3212=""),"Preencher CPF e entrada",IF(COUNTIFS($A$12:$A$5011,A3212,$B$12:$B$5011,B3212)&gt;1,"CPF + dia duplicado",IF(OR(AND(E3212&lt;&gt;"",E3212&lt;B3212),AND(F3212&lt;&gt;"",F3212&lt;B3212)),"Evento anterior à entrada",IF(AND(F3212&lt;&gt;"",E3212=""),"Conversa sem agendamento",IF(OR(E3212&gt;TODAY(),F3212&gt;TODAY()),"Verificar evento futuro","OK"))))))</f>
        <v/>
      </c>
    </row>
    <row r="3213" spans="9:12">
      <c r="I3213" s="5">
        <f>IF(OR(A3213="",B3213=""),"",B3213-WEEKDAY(B3213,2)+1)</f>
        <v/>
      </c>
      <c r="J3213" s="5">
        <f>IF(I3213="","",I3213+6)</f>
        <v/>
      </c>
      <c r="K3213" s="6">
        <f>IF(OR(A3213="",B3213=""),"",DATE(YEAR(B3213),MONTH(B3213),1))</f>
        <v/>
      </c>
      <c r="L3213" s="7">
        <f>IF(COUNTA(A3213,B3213)=0,"",IF(OR(A3213="",B3213=""),"Preencher CPF e entrada",IF(COUNTIFS($A$12:$A$5011,A3213,$B$12:$B$5011,B3213)&gt;1,"CPF + dia duplicado",IF(OR(AND(E3213&lt;&gt;"",E3213&lt;B3213),AND(F3213&lt;&gt;"",F3213&lt;B3213)),"Evento anterior à entrada",IF(AND(F3213&lt;&gt;"",E3213=""),"Conversa sem agendamento",IF(OR(E3213&gt;TODAY(),F3213&gt;TODAY()),"Verificar evento futuro","OK"))))))</f>
        <v/>
      </c>
    </row>
    <row r="3214" spans="9:12">
      <c r="I3214" s="5">
        <f>IF(OR(A3214="",B3214=""),"",B3214-WEEKDAY(B3214,2)+1)</f>
        <v/>
      </c>
      <c r="J3214" s="5">
        <f>IF(I3214="","",I3214+6)</f>
        <v/>
      </c>
      <c r="K3214" s="6">
        <f>IF(OR(A3214="",B3214=""),"",DATE(YEAR(B3214),MONTH(B3214),1))</f>
        <v/>
      </c>
      <c r="L3214" s="7">
        <f>IF(COUNTA(A3214,B3214)=0,"",IF(OR(A3214="",B3214=""),"Preencher CPF e entrada",IF(COUNTIFS($A$12:$A$5011,A3214,$B$12:$B$5011,B3214)&gt;1,"CPF + dia duplicado",IF(OR(AND(E3214&lt;&gt;"",E3214&lt;B3214),AND(F3214&lt;&gt;"",F3214&lt;B3214)),"Evento anterior à entrada",IF(AND(F3214&lt;&gt;"",E3214=""),"Conversa sem agendamento",IF(OR(E3214&gt;TODAY(),F3214&gt;TODAY()),"Verificar evento futuro","OK"))))))</f>
        <v/>
      </c>
    </row>
    <row r="3215" spans="9:12">
      <c r="I3215" s="5">
        <f>IF(OR(A3215="",B3215=""),"",B3215-WEEKDAY(B3215,2)+1)</f>
        <v/>
      </c>
      <c r="J3215" s="5">
        <f>IF(I3215="","",I3215+6)</f>
        <v/>
      </c>
      <c r="K3215" s="6">
        <f>IF(OR(A3215="",B3215=""),"",DATE(YEAR(B3215),MONTH(B3215),1))</f>
        <v/>
      </c>
      <c r="L3215" s="7">
        <f>IF(COUNTA(A3215,B3215)=0,"",IF(OR(A3215="",B3215=""),"Preencher CPF e entrada",IF(COUNTIFS($A$12:$A$5011,A3215,$B$12:$B$5011,B3215)&gt;1,"CPF + dia duplicado",IF(OR(AND(E3215&lt;&gt;"",E3215&lt;B3215),AND(F3215&lt;&gt;"",F3215&lt;B3215)),"Evento anterior à entrada",IF(AND(F3215&lt;&gt;"",E3215=""),"Conversa sem agendamento",IF(OR(E3215&gt;TODAY(),F3215&gt;TODAY()),"Verificar evento futuro","OK"))))))</f>
        <v/>
      </c>
    </row>
    <row r="3216" spans="9:12">
      <c r="I3216" s="5">
        <f>IF(OR(A3216="",B3216=""),"",B3216-WEEKDAY(B3216,2)+1)</f>
        <v/>
      </c>
      <c r="J3216" s="5">
        <f>IF(I3216="","",I3216+6)</f>
        <v/>
      </c>
      <c r="K3216" s="6">
        <f>IF(OR(A3216="",B3216=""),"",DATE(YEAR(B3216),MONTH(B3216),1))</f>
        <v/>
      </c>
      <c r="L3216" s="7">
        <f>IF(COUNTA(A3216,B3216)=0,"",IF(OR(A3216="",B3216=""),"Preencher CPF e entrada",IF(COUNTIFS($A$12:$A$5011,A3216,$B$12:$B$5011,B3216)&gt;1,"CPF + dia duplicado",IF(OR(AND(E3216&lt;&gt;"",E3216&lt;B3216),AND(F3216&lt;&gt;"",F3216&lt;B3216)),"Evento anterior à entrada",IF(AND(F3216&lt;&gt;"",E3216=""),"Conversa sem agendamento",IF(OR(E3216&gt;TODAY(),F3216&gt;TODAY()),"Verificar evento futuro","OK"))))))</f>
        <v/>
      </c>
    </row>
    <row r="3217" spans="9:12">
      <c r="I3217" s="5">
        <f>IF(OR(A3217="",B3217=""),"",B3217-WEEKDAY(B3217,2)+1)</f>
        <v/>
      </c>
      <c r="J3217" s="5">
        <f>IF(I3217="","",I3217+6)</f>
        <v/>
      </c>
      <c r="K3217" s="6">
        <f>IF(OR(A3217="",B3217=""),"",DATE(YEAR(B3217),MONTH(B3217),1))</f>
        <v/>
      </c>
      <c r="L3217" s="7">
        <f>IF(COUNTA(A3217,B3217)=0,"",IF(OR(A3217="",B3217=""),"Preencher CPF e entrada",IF(COUNTIFS($A$12:$A$5011,A3217,$B$12:$B$5011,B3217)&gt;1,"CPF + dia duplicado",IF(OR(AND(E3217&lt;&gt;"",E3217&lt;B3217),AND(F3217&lt;&gt;"",F3217&lt;B3217)),"Evento anterior à entrada",IF(AND(F3217&lt;&gt;"",E3217=""),"Conversa sem agendamento",IF(OR(E3217&gt;TODAY(),F3217&gt;TODAY()),"Verificar evento futuro","OK"))))))</f>
        <v/>
      </c>
    </row>
    <row r="3218" spans="9:12">
      <c r="I3218" s="5">
        <f>IF(OR(A3218="",B3218=""),"",B3218-WEEKDAY(B3218,2)+1)</f>
        <v/>
      </c>
      <c r="J3218" s="5">
        <f>IF(I3218="","",I3218+6)</f>
        <v/>
      </c>
      <c r="K3218" s="6">
        <f>IF(OR(A3218="",B3218=""),"",DATE(YEAR(B3218),MONTH(B3218),1))</f>
        <v/>
      </c>
      <c r="L3218" s="7">
        <f>IF(COUNTA(A3218,B3218)=0,"",IF(OR(A3218="",B3218=""),"Preencher CPF e entrada",IF(COUNTIFS($A$12:$A$5011,A3218,$B$12:$B$5011,B3218)&gt;1,"CPF + dia duplicado",IF(OR(AND(E3218&lt;&gt;"",E3218&lt;B3218),AND(F3218&lt;&gt;"",F3218&lt;B3218)),"Evento anterior à entrada",IF(AND(F3218&lt;&gt;"",E3218=""),"Conversa sem agendamento",IF(OR(E3218&gt;TODAY(),F3218&gt;TODAY()),"Verificar evento futuro","OK"))))))</f>
        <v/>
      </c>
    </row>
    <row r="3219" spans="9:12">
      <c r="I3219" s="5">
        <f>IF(OR(A3219="",B3219=""),"",B3219-WEEKDAY(B3219,2)+1)</f>
        <v/>
      </c>
      <c r="J3219" s="5">
        <f>IF(I3219="","",I3219+6)</f>
        <v/>
      </c>
      <c r="K3219" s="6">
        <f>IF(OR(A3219="",B3219=""),"",DATE(YEAR(B3219),MONTH(B3219),1))</f>
        <v/>
      </c>
      <c r="L3219" s="7">
        <f>IF(COUNTA(A3219,B3219)=0,"",IF(OR(A3219="",B3219=""),"Preencher CPF e entrada",IF(COUNTIFS($A$12:$A$5011,A3219,$B$12:$B$5011,B3219)&gt;1,"CPF + dia duplicado",IF(OR(AND(E3219&lt;&gt;"",E3219&lt;B3219),AND(F3219&lt;&gt;"",F3219&lt;B3219)),"Evento anterior à entrada",IF(AND(F3219&lt;&gt;"",E3219=""),"Conversa sem agendamento",IF(OR(E3219&gt;TODAY(),F3219&gt;TODAY()),"Verificar evento futuro","OK"))))))</f>
        <v/>
      </c>
    </row>
    <row r="3220" spans="9:12">
      <c r="I3220" s="5">
        <f>IF(OR(A3220="",B3220=""),"",B3220-WEEKDAY(B3220,2)+1)</f>
        <v/>
      </c>
      <c r="J3220" s="5">
        <f>IF(I3220="","",I3220+6)</f>
        <v/>
      </c>
      <c r="K3220" s="6">
        <f>IF(OR(A3220="",B3220=""),"",DATE(YEAR(B3220),MONTH(B3220),1))</f>
        <v/>
      </c>
      <c r="L3220" s="7">
        <f>IF(COUNTA(A3220,B3220)=0,"",IF(OR(A3220="",B3220=""),"Preencher CPF e entrada",IF(COUNTIFS($A$12:$A$5011,A3220,$B$12:$B$5011,B3220)&gt;1,"CPF + dia duplicado",IF(OR(AND(E3220&lt;&gt;"",E3220&lt;B3220),AND(F3220&lt;&gt;"",F3220&lt;B3220)),"Evento anterior à entrada",IF(AND(F3220&lt;&gt;"",E3220=""),"Conversa sem agendamento",IF(OR(E3220&gt;TODAY(),F3220&gt;TODAY()),"Verificar evento futuro","OK"))))))</f>
        <v/>
      </c>
    </row>
    <row r="3221" spans="9:12">
      <c r="I3221" s="5">
        <f>IF(OR(A3221="",B3221=""),"",B3221-WEEKDAY(B3221,2)+1)</f>
        <v/>
      </c>
      <c r="J3221" s="5">
        <f>IF(I3221="","",I3221+6)</f>
        <v/>
      </c>
      <c r="K3221" s="6">
        <f>IF(OR(A3221="",B3221=""),"",DATE(YEAR(B3221),MONTH(B3221),1))</f>
        <v/>
      </c>
      <c r="L3221" s="7">
        <f>IF(COUNTA(A3221,B3221)=0,"",IF(OR(A3221="",B3221=""),"Preencher CPF e entrada",IF(COUNTIFS($A$12:$A$5011,A3221,$B$12:$B$5011,B3221)&gt;1,"CPF + dia duplicado",IF(OR(AND(E3221&lt;&gt;"",E3221&lt;B3221),AND(F3221&lt;&gt;"",F3221&lt;B3221)),"Evento anterior à entrada",IF(AND(F3221&lt;&gt;"",E3221=""),"Conversa sem agendamento",IF(OR(E3221&gt;TODAY(),F3221&gt;TODAY()),"Verificar evento futuro","OK"))))))</f>
        <v/>
      </c>
    </row>
    <row r="3222" spans="9:12">
      <c r="I3222" s="5">
        <f>IF(OR(A3222="",B3222=""),"",B3222-WEEKDAY(B3222,2)+1)</f>
        <v/>
      </c>
      <c r="J3222" s="5">
        <f>IF(I3222="","",I3222+6)</f>
        <v/>
      </c>
      <c r="K3222" s="6">
        <f>IF(OR(A3222="",B3222=""),"",DATE(YEAR(B3222),MONTH(B3222),1))</f>
        <v/>
      </c>
      <c r="L3222" s="7">
        <f>IF(COUNTA(A3222,B3222)=0,"",IF(OR(A3222="",B3222=""),"Preencher CPF e entrada",IF(COUNTIFS($A$12:$A$5011,A3222,$B$12:$B$5011,B3222)&gt;1,"CPF + dia duplicado",IF(OR(AND(E3222&lt;&gt;"",E3222&lt;B3222),AND(F3222&lt;&gt;"",F3222&lt;B3222)),"Evento anterior à entrada",IF(AND(F3222&lt;&gt;"",E3222=""),"Conversa sem agendamento",IF(OR(E3222&gt;TODAY(),F3222&gt;TODAY()),"Verificar evento futuro","OK"))))))</f>
        <v/>
      </c>
    </row>
    <row r="3223" spans="9:12">
      <c r="I3223" s="5">
        <f>IF(OR(A3223="",B3223=""),"",B3223-WEEKDAY(B3223,2)+1)</f>
        <v/>
      </c>
      <c r="J3223" s="5">
        <f>IF(I3223="","",I3223+6)</f>
        <v/>
      </c>
      <c r="K3223" s="6">
        <f>IF(OR(A3223="",B3223=""),"",DATE(YEAR(B3223),MONTH(B3223),1))</f>
        <v/>
      </c>
      <c r="L3223" s="7">
        <f>IF(COUNTA(A3223,B3223)=0,"",IF(OR(A3223="",B3223=""),"Preencher CPF e entrada",IF(COUNTIFS($A$12:$A$5011,A3223,$B$12:$B$5011,B3223)&gt;1,"CPF + dia duplicado",IF(OR(AND(E3223&lt;&gt;"",E3223&lt;B3223),AND(F3223&lt;&gt;"",F3223&lt;B3223)),"Evento anterior à entrada",IF(AND(F3223&lt;&gt;"",E3223=""),"Conversa sem agendamento",IF(OR(E3223&gt;TODAY(),F3223&gt;TODAY()),"Verificar evento futuro","OK"))))))</f>
        <v/>
      </c>
    </row>
    <row r="3224" spans="9:12">
      <c r="I3224" s="5">
        <f>IF(OR(A3224="",B3224=""),"",B3224-WEEKDAY(B3224,2)+1)</f>
        <v/>
      </c>
      <c r="J3224" s="5">
        <f>IF(I3224="","",I3224+6)</f>
        <v/>
      </c>
      <c r="K3224" s="6">
        <f>IF(OR(A3224="",B3224=""),"",DATE(YEAR(B3224),MONTH(B3224),1))</f>
        <v/>
      </c>
      <c r="L3224" s="7">
        <f>IF(COUNTA(A3224,B3224)=0,"",IF(OR(A3224="",B3224=""),"Preencher CPF e entrada",IF(COUNTIFS($A$12:$A$5011,A3224,$B$12:$B$5011,B3224)&gt;1,"CPF + dia duplicado",IF(OR(AND(E3224&lt;&gt;"",E3224&lt;B3224),AND(F3224&lt;&gt;"",F3224&lt;B3224)),"Evento anterior à entrada",IF(AND(F3224&lt;&gt;"",E3224=""),"Conversa sem agendamento",IF(OR(E3224&gt;TODAY(),F3224&gt;TODAY()),"Verificar evento futuro","OK"))))))</f>
        <v/>
      </c>
    </row>
    <row r="3225" spans="9:12">
      <c r="I3225" s="5">
        <f>IF(OR(A3225="",B3225=""),"",B3225-WEEKDAY(B3225,2)+1)</f>
        <v/>
      </c>
      <c r="J3225" s="5">
        <f>IF(I3225="","",I3225+6)</f>
        <v/>
      </c>
      <c r="K3225" s="6">
        <f>IF(OR(A3225="",B3225=""),"",DATE(YEAR(B3225),MONTH(B3225),1))</f>
        <v/>
      </c>
      <c r="L3225" s="7">
        <f>IF(COUNTA(A3225,B3225)=0,"",IF(OR(A3225="",B3225=""),"Preencher CPF e entrada",IF(COUNTIFS($A$12:$A$5011,A3225,$B$12:$B$5011,B3225)&gt;1,"CPF + dia duplicado",IF(OR(AND(E3225&lt;&gt;"",E3225&lt;B3225),AND(F3225&lt;&gt;"",F3225&lt;B3225)),"Evento anterior à entrada",IF(AND(F3225&lt;&gt;"",E3225=""),"Conversa sem agendamento",IF(OR(E3225&gt;TODAY(),F3225&gt;TODAY()),"Verificar evento futuro","OK"))))))</f>
        <v/>
      </c>
    </row>
    <row r="3226" spans="9:12">
      <c r="I3226" s="5">
        <f>IF(OR(A3226="",B3226=""),"",B3226-WEEKDAY(B3226,2)+1)</f>
        <v/>
      </c>
      <c r="J3226" s="5">
        <f>IF(I3226="","",I3226+6)</f>
        <v/>
      </c>
      <c r="K3226" s="6">
        <f>IF(OR(A3226="",B3226=""),"",DATE(YEAR(B3226),MONTH(B3226),1))</f>
        <v/>
      </c>
      <c r="L3226" s="7">
        <f>IF(COUNTA(A3226,B3226)=0,"",IF(OR(A3226="",B3226=""),"Preencher CPF e entrada",IF(COUNTIFS($A$12:$A$5011,A3226,$B$12:$B$5011,B3226)&gt;1,"CPF + dia duplicado",IF(OR(AND(E3226&lt;&gt;"",E3226&lt;B3226),AND(F3226&lt;&gt;"",F3226&lt;B3226)),"Evento anterior à entrada",IF(AND(F3226&lt;&gt;"",E3226=""),"Conversa sem agendamento",IF(OR(E3226&gt;TODAY(),F3226&gt;TODAY()),"Verificar evento futuro","OK"))))))</f>
        <v/>
      </c>
    </row>
    <row r="3227" spans="9:12">
      <c r="I3227" s="5">
        <f>IF(OR(A3227="",B3227=""),"",B3227-WEEKDAY(B3227,2)+1)</f>
        <v/>
      </c>
      <c r="J3227" s="5">
        <f>IF(I3227="","",I3227+6)</f>
        <v/>
      </c>
      <c r="K3227" s="6">
        <f>IF(OR(A3227="",B3227=""),"",DATE(YEAR(B3227),MONTH(B3227),1))</f>
        <v/>
      </c>
      <c r="L3227" s="7">
        <f>IF(COUNTA(A3227,B3227)=0,"",IF(OR(A3227="",B3227=""),"Preencher CPF e entrada",IF(COUNTIFS($A$12:$A$5011,A3227,$B$12:$B$5011,B3227)&gt;1,"CPF + dia duplicado",IF(OR(AND(E3227&lt;&gt;"",E3227&lt;B3227),AND(F3227&lt;&gt;"",F3227&lt;B3227)),"Evento anterior à entrada",IF(AND(F3227&lt;&gt;"",E3227=""),"Conversa sem agendamento",IF(OR(E3227&gt;TODAY(),F3227&gt;TODAY()),"Verificar evento futuro","OK"))))))</f>
        <v/>
      </c>
    </row>
    <row r="3228" spans="9:12">
      <c r="I3228" s="5">
        <f>IF(OR(A3228="",B3228=""),"",B3228-WEEKDAY(B3228,2)+1)</f>
        <v/>
      </c>
      <c r="J3228" s="5">
        <f>IF(I3228="","",I3228+6)</f>
        <v/>
      </c>
      <c r="K3228" s="6">
        <f>IF(OR(A3228="",B3228=""),"",DATE(YEAR(B3228),MONTH(B3228),1))</f>
        <v/>
      </c>
      <c r="L3228" s="7">
        <f>IF(COUNTA(A3228,B3228)=0,"",IF(OR(A3228="",B3228=""),"Preencher CPF e entrada",IF(COUNTIFS($A$12:$A$5011,A3228,$B$12:$B$5011,B3228)&gt;1,"CPF + dia duplicado",IF(OR(AND(E3228&lt;&gt;"",E3228&lt;B3228),AND(F3228&lt;&gt;"",F3228&lt;B3228)),"Evento anterior à entrada",IF(AND(F3228&lt;&gt;"",E3228=""),"Conversa sem agendamento",IF(OR(E3228&gt;TODAY(),F3228&gt;TODAY()),"Verificar evento futuro","OK"))))))</f>
        <v/>
      </c>
    </row>
    <row r="3229" spans="9:12">
      <c r="I3229" s="5">
        <f>IF(OR(A3229="",B3229=""),"",B3229-WEEKDAY(B3229,2)+1)</f>
        <v/>
      </c>
      <c r="J3229" s="5">
        <f>IF(I3229="","",I3229+6)</f>
        <v/>
      </c>
      <c r="K3229" s="6">
        <f>IF(OR(A3229="",B3229=""),"",DATE(YEAR(B3229),MONTH(B3229),1))</f>
        <v/>
      </c>
      <c r="L3229" s="7">
        <f>IF(COUNTA(A3229,B3229)=0,"",IF(OR(A3229="",B3229=""),"Preencher CPF e entrada",IF(COUNTIFS($A$12:$A$5011,A3229,$B$12:$B$5011,B3229)&gt;1,"CPF + dia duplicado",IF(OR(AND(E3229&lt;&gt;"",E3229&lt;B3229),AND(F3229&lt;&gt;"",F3229&lt;B3229)),"Evento anterior à entrada",IF(AND(F3229&lt;&gt;"",E3229=""),"Conversa sem agendamento",IF(OR(E3229&gt;TODAY(),F3229&gt;TODAY()),"Verificar evento futuro","OK"))))))</f>
        <v/>
      </c>
    </row>
    <row r="3230" spans="9:12">
      <c r="I3230" s="5">
        <f>IF(OR(A3230="",B3230=""),"",B3230-WEEKDAY(B3230,2)+1)</f>
        <v/>
      </c>
      <c r="J3230" s="5">
        <f>IF(I3230="","",I3230+6)</f>
        <v/>
      </c>
      <c r="K3230" s="6">
        <f>IF(OR(A3230="",B3230=""),"",DATE(YEAR(B3230),MONTH(B3230),1))</f>
        <v/>
      </c>
      <c r="L3230" s="7">
        <f>IF(COUNTA(A3230,B3230)=0,"",IF(OR(A3230="",B3230=""),"Preencher CPF e entrada",IF(COUNTIFS($A$12:$A$5011,A3230,$B$12:$B$5011,B3230)&gt;1,"CPF + dia duplicado",IF(OR(AND(E3230&lt;&gt;"",E3230&lt;B3230),AND(F3230&lt;&gt;"",F3230&lt;B3230)),"Evento anterior à entrada",IF(AND(F3230&lt;&gt;"",E3230=""),"Conversa sem agendamento",IF(OR(E3230&gt;TODAY(),F3230&gt;TODAY()),"Verificar evento futuro","OK"))))))</f>
        <v/>
      </c>
    </row>
    <row r="3231" spans="9:12">
      <c r="I3231" s="5">
        <f>IF(OR(A3231="",B3231=""),"",B3231-WEEKDAY(B3231,2)+1)</f>
        <v/>
      </c>
      <c r="J3231" s="5">
        <f>IF(I3231="","",I3231+6)</f>
        <v/>
      </c>
      <c r="K3231" s="6">
        <f>IF(OR(A3231="",B3231=""),"",DATE(YEAR(B3231),MONTH(B3231),1))</f>
        <v/>
      </c>
      <c r="L3231" s="7">
        <f>IF(COUNTA(A3231,B3231)=0,"",IF(OR(A3231="",B3231=""),"Preencher CPF e entrada",IF(COUNTIFS($A$12:$A$5011,A3231,$B$12:$B$5011,B3231)&gt;1,"CPF + dia duplicado",IF(OR(AND(E3231&lt;&gt;"",E3231&lt;B3231),AND(F3231&lt;&gt;"",F3231&lt;B3231)),"Evento anterior à entrada",IF(AND(F3231&lt;&gt;"",E3231=""),"Conversa sem agendamento",IF(OR(E3231&gt;TODAY(),F3231&gt;TODAY()),"Verificar evento futuro","OK"))))))</f>
        <v/>
      </c>
    </row>
    <row r="3232" spans="9:12">
      <c r="I3232" s="5">
        <f>IF(OR(A3232="",B3232=""),"",B3232-WEEKDAY(B3232,2)+1)</f>
        <v/>
      </c>
      <c r="J3232" s="5">
        <f>IF(I3232="","",I3232+6)</f>
        <v/>
      </c>
      <c r="K3232" s="6">
        <f>IF(OR(A3232="",B3232=""),"",DATE(YEAR(B3232),MONTH(B3232),1))</f>
        <v/>
      </c>
      <c r="L3232" s="7">
        <f>IF(COUNTA(A3232,B3232)=0,"",IF(OR(A3232="",B3232=""),"Preencher CPF e entrada",IF(COUNTIFS($A$12:$A$5011,A3232,$B$12:$B$5011,B3232)&gt;1,"CPF + dia duplicado",IF(OR(AND(E3232&lt;&gt;"",E3232&lt;B3232),AND(F3232&lt;&gt;"",F3232&lt;B3232)),"Evento anterior à entrada",IF(AND(F3232&lt;&gt;"",E3232=""),"Conversa sem agendamento",IF(OR(E3232&gt;TODAY(),F3232&gt;TODAY()),"Verificar evento futuro","OK"))))))</f>
        <v/>
      </c>
    </row>
    <row r="3233" spans="9:12">
      <c r="I3233" s="5">
        <f>IF(OR(A3233="",B3233=""),"",B3233-WEEKDAY(B3233,2)+1)</f>
        <v/>
      </c>
      <c r="J3233" s="5">
        <f>IF(I3233="","",I3233+6)</f>
        <v/>
      </c>
      <c r="K3233" s="6">
        <f>IF(OR(A3233="",B3233=""),"",DATE(YEAR(B3233),MONTH(B3233),1))</f>
        <v/>
      </c>
      <c r="L3233" s="7">
        <f>IF(COUNTA(A3233,B3233)=0,"",IF(OR(A3233="",B3233=""),"Preencher CPF e entrada",IF(COUNTIFS($A$12:$A$5011,A3233,$B$12:$B$5011,B3233)&gt;1,"CPF + dia duplicado",IF(OR(AND(E3233&lt;&gt;"",E3233&lt;B3233),AND(F3233&lt;&gt;"",F3233&lt;B3233)),"Evento anterior à entrada",IF(AND(F3233&lt;&gt;"",E3233=""),"Conversa sem agendamento",IF(OR(E3233&gt;TODAY(),F3233&gt;TODAY()),"Verificar evento futuro","OK"))))))</f>
        <v/>
      </c>
    </row>
    <row r="3234" spans="9:12">
      <c r="I3234" s="5">
        <f>IF(OR(A3234="",B3234=""),"",B3234-WEEKDAY(B3234,2)+1)</f>
        <v/>
      </c>
      <c r="J3234" s="5">
        <f>IF(I3234="","",I3234+6)</f>
        <v/>
      </c>
      <c r="K3234" s="6">
        <f>IF(OR(A3234="",B3234=""),"",DATE(YEAR(B3234),MONTH(B3234),1))</f>
        <v/>
      </c>
      <c r="L3234" s="7">
        <f>IF(COUNTA(A3234,B3234)=0,"",IF(OR(A3234="",B3234=""),"Preencher CPF e entrada",IF(COUNTIFS($A$12:$A$5011,A3234,$B$12:$B$5011,B3234)&gt;1,"CPF + dia duplicado",IF(OR(AND(E3234&lt;&gt;"",E3234&lt;B3234),AND(F3234&lt;&gt;"",F3234&lt;B3234)),"Evento anterior à entrada",IF(AND(F3234&lt;&gt;"",E3234=""),"Conversa sem agendamento",IF(OR(E3234&gt;TODAY(),F3234&gt;TODAY()),"Verificar evento futuro","OK"))))))</f>
        <v/>
      </c>
    </row>
    <row r="3235" spans="9:12">
      <c r="I3235" s="5">
        <f>IF(OR(A3235="",B3235=""),"",B3235-WEEKDAY(B3235,2)+1)</f>
        <v/>
      </c>
      <c r="J3235" s="5">
        <f>IF(I3235="","",I3235+6)</f>
        <v/>
      </c>
      <c r="K3235" s="6">
        <f>IF(OR(A3235="",B3235=""),"",DATE(YEAR(B3235),MONTH(B3235),1))</f>
        <v/>
      </c>
      <c r="L3235" s="7">
        <f>IF(COUNTA(A3235,B3235)=0,"",IF(OR(A3235="",B3235=""),"Preencher CPF e entrada",IF(COUNTIFS($A$12:$A$5011,A3235,$B$12:$B$5011,B3235)&gt;1,"CPF + dia duplicado",IF(OR(AND(E3235&lt;&gt;"",E3235&lt;B3235),AND(F3235&lt;&gt;"",F3235&lt;B3235)),"Evento anterior à entrada",IF(AND(F3235&lt;&gt;"",E3235=""),"Conversa sem agendamento",IF(OR(E3235&gt;TODAY(),F3235&gt;TODAY()),"Verificar evento futuro","OK"))))))</f>
        <v/>
      </c>
    </row>
    <row r="3236" spans="9:12">
      <c r="I3236" s="5">
        <f>IF(OR(A3236="",B3236=""),"",B3236-WEEKDAY(B3236,2)+1)</f>
        <v/>
      </c>
      <c r="J3236" s="5">
        <f>IF(I3236="","",I3236+6)</f>
        <v/>
      </c>
      <c r="K3236" s="6">
        <f>IF(OR(A3236="",B3236=""),"",DATE(YEAR(B3236),MONTH(B3236),1))</f>
        <v/>
      </c>
      <c r="L3236" s="7">
        <f>IF(COUNTA(A3236,B3236)=0,"",IF(OR(A3236="",B3236=""),"Preencher CPF e entrada",IF(COUNTIFS($A$12:$A$5011,A3236,$B$12:$B$5011,B3236)&gt;1,"CPF + dia duplicado",IF(OR(AND(E3236&lt;&gt;"",E3236&lt;B3236),AND(F3236&lt;&gt;"",F3236&lt;B3236)),"Evento anterior à entrada",IF(AND(F3236&lt;&gt;"",E3236=""),"Conversa sem agendamento",IF(OR(E3236&gt;TODAY(),F3236&gt;TODAY()),"Verificar evento futuro","OK"))))))</f>
        <v/>
      </c>
    </row>
    <row r="3237" spans="9:12">
      <c r="I3237" s="5">
        <f>IF(OR(A3237="",B3237=""),"",B3237-WEEKDAY(B3237,2)+1)</f>
        <v/>
      </c>
      <c r="J3237" s="5">
        <f>IF(I3237="","",I3237+6)</f>
        <v/>
      </c>
      <c r="K3237" s="6">
        <f>IF(OR(A3237="",B3237=""),"",DATE(YEAR(B3237),MONTH(B3237),1))</f>
        <v/>
      </c>
      <c r="L3237" s="7">
        <f>IF(COUNTA(A3237,B3237)=0,"",IF(OR(A3237="",B3237=""),"Preencher CPF e entrada",IF(COUNTIFS($A$12:$A$5011,A3237,$B$12:$B$5011,B3237)&gt;1,"CPF + dia duplicado",IF(OR(AND(E3237&lt;&gt;"",E3237&lt;B3237),AND(F3237&lt;&gt;"",F3237&lt;B3237)),"Evento anterior à entrada",IF(AND(F3237&lt;&gt;"",E3237=""),"Conversa sem agendamento",IF(OR(E3237&gt;TODAY(),F3237&gt;TODAY()),"Verificar evento futuro","OK"))))))</f>
        <v/>
      </c>
    </row>
    <row r="3238" spans="9:12">
      <c r="I3238" s="5">
        <f>IF(OR(A3238="",B3238=""),"",B3238-WEEKDAY(B3238,2)+1)</f>
        <v/>
      </c>
      <c r="J3238" s="5">
        <f>IF(I3238="","",I3238+6)</f>
        <v/>
      </c>
      <c r="K3238" s="6">
        <f>IF(OR(A3238="",B3238=""),"",DATE(YEAR(B3238),MONTH(B3238),1))</f>
        <v/>
      </c>
      <c r="L3238" s="7">
        <f>IF(COUNTA(A3238,B3238)=0,"",IF(OR(A3238="",B3238=""),"Preencher CPF e entrada",IF(COUNTIFS($A$12:$A$5011,A3238,$B$12:$B$5011,B3238)&gt;1,"CPF + dia duplicado",IF(OR(AND(E3238&lt;&gt;"",E3238&lt;B3238),AND(F3238&lt;&gt;"",F3238&lt;B3238)),"Evento anterior à entrada",IF(AND(F3238&lt;&gt;"",E3238=""),"Conversa sem agendamento",IF(OR(E3238&gt;TODAY(),F3238&gt;TODAY()),"Verificar evento futuro","OK"))))))</f>
        <v/>
      </c>
    </row>
    <row r="3239" spans="9:12">
      <c r="I3239" s="5">
        <f>IF(OR(A3239="",B3239=""),"",B3239-WEEKDAY(B3239,2)+1)</f>
        <v/>
      </c>
      <c r="J3239" s="5">
        <f>IF(I3239="","",I3239+6)</f>
        <v/>
      </c>
      <c r="K3239" s="6">
        <f>IF(OR(A3239="",B3239=""),"",DATE(YEAR(B3239),MONTH(B3239),1))</f>
        <v/>
      </c>
      <c r="L3239" s="7">
        <f>IF(COUNTA(A3239,B3239)=0,"",IF(OR(A3239="",B3239=""),"Preencher CPF e entrada",IF(COUNTIFS($A$12:$A$5011,A3239,$B$12:$B$5011,B3239)&gt;1,"CPF + dia duplicado",IF(OR(AND(E3239&lt;&gt;"",E3239&lt;B3239),AND(F3239&lt;&gt;"",F3239&lt;B3239)),"Evento anterior à entrada",IF(AND(F3239&lt;&gt;"",E3239=""),"Conversa sem agendamento",IF(OR(E3239&gt;TODAY(),F3239&gt;TODAY()),"Verificar evento futuro","OK"))))))</f>
        <v/>
      </c>
    </row>
    <row r="3240" spans="9:12">
      <c r="I3240" s="5">
        <f>IF(OR(A3240="",B3240=""),"",B3240-WEEKDAY(B3240,2)+1)</f>
        <v/>
      </c>
      <c r="J3240" s="5">
        <f>IF(I3240="","",I3240+6)</f>
        <v/>
      </c>
      <c r="K3240" s="6">
        <f>IF(OR(A3240="",B3240=""),"",DATE(YEAR(B3240),MONTH(B3240),1))</f>
        <v/>
      </c>
      <c r="L3240" s="7">
        <f>IF(COUNTA(A3240,B3240)=0,"",IF(OR(A3240="",B3240=""),"Preencher CPF e entrada",IF(COUNTIFS($A$12:$A$5011,A3240,$B$12:$B$5011,B3240)&gt;1,"CPF + dia duplicado",IF(OR(AND(E3240&lt;&gt;"",E3240&lt;B3240),AND(F3240&lt;&gt;"",F3240&lt;B3240)),"Evento anterior à entrada",IF(AND(F3240&lt;&gt;"",E3240=""),"Conversa sem agendamento",IF(OR(E3240&gt;TODAY(),F3240&gt;TODAY()),"Verificar evento futuro","OK"))))))</f>
        <v/>
      </c>
    </row>
    <row r="3241" spans="9:12">
      <c r="I3241" s="5">
        <f>IF(OR(A3241="",B3241=""),"",B3241-WEEKDAY(B3241,2)+1)</f>
        <v/>
      </c>
      <c r="J3241" s="5">
        <f>IF(I3241="","",I3241+6)</f>
        <v/>
      </c>
      <c r="K3241" s="6">
        <f>IF(OR(A3241="",B3241=""),"",DATE(YEAR(B3241),MONTH(B3241),1))</f>
        <v/>
      </c>
      <c r="L3241" s="7">
        <f>IF(COUNTA(A3241,B3241)=0,"",IF(OR(A3241="",B3241=""),"Preencher CPF e entrada",IF(COUNTIFS($A$12:$A$5011,A3241,$B$12:$B$5011,B3241)&gt;1,"CPF + dia duplicado",IF(OR(AND(E3241&lt;&gt;"",E3241&lt;B3241),AND(F3241&lt;&gt;"",F3241&lt;B3241)),"Evento anterior à entrada",IF(AND(F3241&lt;&gt;"",E3241=""),"Conversa sem agendamento",IF(OR(E3241&gt;TODAY(),F3241&gt;TODAY()),"Verificar evento futuro","OK"))))))</f>
        <v/>
      </c>
    </row>
    <row r="3242" spans="9:12">
      <c r="I3242" s="5">
        <f>IF(OR(A3242="",B3242=""),"",B3242-WEEKDAY(B3242,2)+1)</f>
        <v/>
      </c>
      <c r="J3242" s="5">
        <f>IF(I3242="","",I3242+6)</f>
        <v/>
      </c>
      <c r="K3242" s="6">
        <f>IF(OR(A3242="",B3242=""),"",DATE(YEAR(B3242),MONTH(B3242),1))</f>
        <v/>
      </c>
      <c r="L3242" s="7">
        <f>IF(COUNTA(A3242,B3242)=0,"",IF(OR(A3242="",B3242=""),"Preencher CPF e entrada",IF(COUNTIFS($A$12:$A$5011,A3242,$B$12:$B$5011,B3242)&gt;1,"CPF + dia duplicado",IF(OR(AND(E3242&lt;&gt;"",E3242&lt;B3242),AND(F3242&lt;&gt;"",F3242&lt;B3242)),"Evento anterior à entrada",IF(AND(F3242&lt;&gt;"",E3242=""),"Conversa sem agendamento",IF(OR(E3242&gt;TODAY(),F3242&gt;TODAY()),"Verificar evento futuro","OK"))))))</f>
        <v/>
      </c>
    </row>
    <row r="3243" spans="9:12">
      <c r="I3243" s="5">
        <f>IF(OR(A3243="",B3243=""),"",B3243-WEEKDAY(B3243,2)+1)</f>
        <v/>
      </c>
      <c r="J3243" s="5">
        <f>IF(I3243="","",I3243+6)</f>
        <v/>
      </c>
      <c r="K3243" s="6">
        <f>IF(OR(A3243="",B3243=""),"",DATE(YEAR(B3243),MONTH(B3243),1))</f>
        <v/>
      </c>
      <c r="L3243" s="7">
        <f>IF(COUNTA(A3243,B3243)=0,"",IF(OR(A3243="",B3243=""),"Preencher CPF e entrada",IF(COUNTIFS($A$12:$A$5011,A3243,$B$12:$B$5011,B3243)&gt;1,"CPF + dia duplicado",IF(OR(AND(E3243&lt;&gt;"",E3243&lt;B3243),AND(F3243&lt;&gt;"",F3243&lt;B3243)),"Evento anterior à entrada",IF(AND(F3243&lt;&gt;"",E3243=""),"Conversa sem agendamento",IF(OR(E3243&gt;TODAY(),F3243&gt;TODAY()),"Verificar evento futuro","OK"))))))</f>
        <v/>
      </c>
    </row>
    <row r="3244" spans="9:12">
      <c r="I3244" s="5">
        <f>IF(OR(A3244="",B3244=""),"",B3244-WEEKDAY(B3244,2)+1)</f>
        <v/>
      </c>
      <c r="J3244" s="5">
        <f>IF(I3244="","",I3244+6)</f>
        <v/>
      </c>
      <c r="K3244" s="6">
        <f>IF(OR(A3244="",B3244=""),"",DATE(YEAR(B3244),MONTH(B3244),1))</f>
        <v/>
      </c>
      <c r="L3244" s="7">
        <f>IF(COUNTA(A3244,B3244)=0,"",IF(OR(A3244="",B3244=""),"Preencher CPF e entrada",IF(COUNTIFS($A$12:$A$5011,A3244,$B$12:$B$5011,B3244)&gt;1,"CPF + dia duplicado",IF(OR(AND(E3244&lt;&gt;"",E3244&lt;B3244),AND(F3244&lt;&gt;"",F3244&lt;B3244)),"Evento anterior à entrada",IF(AND(F3244&lt;&gt;"",E3244=""),"Conversa sem agendamento",IF(OR(E3244&gt;TODAY(),F3244&gt;TODAY()),"Verificar evento futuro","OK"))))))</f>
        <v/>
      </c>
    </row>
    <row r="3245" spans="9:12">
      <c r="I3245" s="5">
        <f>IF(OR(A3245="",B3245=""),"",B3245-WEEKDAY(B3245,2)+1)</f>
        <v/>
      </c>
      <c r="J3245" s="5">
        <f>IF(I3245="","",I3245+6)</f>
        <v/>
      </c>
      <c r="K3245" s="6">
        <f>IF(OR(A3245="",B3245=""),"",DATE(YEAR(B3245),MONTH(B3245),1))</f>
        <v/>
      </c>
      <c r="L3245" s="7">
        <f>IF(COUNTA(A3245,B3245)=0,"",IF(OR(A3245="",B3245=""),"Preencher CPF e entrada",IF(COUNTIFS($A$12:$A$5011,A3245,$B$12:$B$5011,B3245)&gt;1,"CPF + dia duplicado",IF(OR(AND(E3245&lt;&gt;"",E3245&lt;B3245),AND(F3245&lt;&gt;"",F3245&lt;B3245)),"Evento anterior à entrada",IF(AND(F3245&lt;&gt;"",E3245=""),"Conversa sem agendamento",IF(OR(E3245&gt;TODAY(),F3245&gt;TODAY()),"Verificar evento futuro","OK"))))))</f>
        <v/>
      </c>
    </row>
    <row r="3246" spans="9:12">
      <c r="I3246" s="5">
        <f>IF(OR(A3246="",B3246=""),"",B3246-WEEKDAY(B3246,2)+1)</f>
        <v/>
      </c>
      <c r="J3246" s="5">
        <f>IF(I3246="","",I3246+6)</f>
        <v/>
      </c>
      <c r="K3246" s="6">
        <f>IF(OR(A3246="",B3246=""),"",DATE(YEAR(B3246),MONTH(B3246),1))</f>
        <v/>
      </c>
      <c r="L3246" s="7">
        <f>IF(COUNTA(A3246,B3246)=0,"",IF(OR(A3246="",B3246=""),"Preencher CPF e entrada",IF(COUNTIFS($A$12:$A$5011,A3246,$B$12:$B$5011,B3246)&gt;1,"CPF + dia duplicado",IF(OR(AND(E3246&lt;&gt;"",E3246&lt;B3246),AND(F3246&lt;&gt;"",F3246&lt;B3246)),"Evento anterior à entrada",IF(AND(F3246&lt;&gt;"",E3246=""),"Conversa sem agendamento",IF(OR(E3246&gt;TODAY(),F3246&gt;TODAY()),"Verificar evento futuro","OK"))))))</f>
        <v/>
      </c>
    </row>
    <row r="3247" spans="9:12">
      <c r="I3247" s="5">
        <f>IF(OR(A3247="",B3247=""),"",B3247-WEEKDAY(B3247,2)+1)</f>
        <v/>
      </c>
      <c r="J3247" s="5">
        <f>IF(I3247="","",I3247+6)</f>
        <v/>
      </c>
      <c r="K3247" s="6">
        <f>IF(OR(A3247="",B3247=""),"",DATE(YEAR(B3247),MONTH(B3247),1))</f>
        <v/>
      </c>
      <c r="L3247" s="7">
        <f>IF(COUNTA(A3247,B3247)=0,"",IF(OR(A3247="",B3247=""),"Preencher CPF e entrada",IF(COUNTIFS($A$12:$A$5011,A3247,$B$12:$B$5011,B3247)&gt;1,"CPF + dia duplicado",IF(OR(AND(E3247&lt;&gt;"",E3247&lt;B3247),AND(F3247&lt;&gt;"",F3247&lt;B3247)),"Evento anterior à entrada",IF(AND(F3247&lt;&gt;"",E3247=""),"Conversa sem agendamento",IF(OR(E3247&gt;TODAY(),F3247&gt;TODAY()),"Verificar evento futuro","OK"))))))</f>
        <v/>
      </c>
    </row>
    <row r="3248" spans="9:12">
      <c r="I3248" s="5">
        <f>IF(OR(A3248="",B3248=""),"",B3248-WEEKDAY(B3248,2)+1)</f>
        <v/>
      </c>
      <c r="J3248" s="5">
        <f>IF(I3248="","",I3248+6)</f>
        <v/>
      </c>
      <c r="K3248" s="6">
        <f>IF(OR(A3248="",B3248=""),"",DATE(YEAR(B3248),MONTH(B3248),1))</f>
        <v/>
      </c>
      <c r="L3248" s="7">
        <f>IF(COUNTA(A3248,B3248)=0,"",IF(OR(A3248="",B3248=""),"Preencher CPF e entrada",IF(COUNTIFS($A$12:$A$5011,A3248,$B$12:$B$5011,B3248)&gt;1,"CPF + dia duplicado",IF(OR(AND(E3248&lt;&gt;"",E3248&lt;B3248),AND(F3248&lt;&gt;"",F3248&lt;B3248)),"Evento anterior à entrada",IF(AND(F3248&lt;&gt;"",E3248=""),"Conversa sem agendamento",IF(OR(E3248&gt;TODAY(),F3248&gt;TODAY()),"Verificar evento futuro","OK"))))))</f>
        <v/>
      </c>
    </row>
    <row r="3249" spans="9:12">
      <c r="I3249" s="5">
        <f>IF(OR(A3249="",B3249=""),"",B3249-WEEKDAY(B3249,2)+1)</f>
        <v/>
      </c>
      <c r="J3249" s="5">
        <f>IF(I3249="","",I3249+6)</f>
        <v/>
      </c>
      <c r="K3249" s="6">
        <f>IF(OR(A3249="",B3249=""),"",DATE(YEAR(B3249),MONTH(B3249),1))</f>
        <v/>
      </c>
      <c r="L3249" s="7">
        <f>IF(COUNTA(A3249,B3249)=0,"",IF(OR(A3249="",B3249=""),"Preencher CPF e entrada",IF(COUNTIFS($A$12:$A$5011,A3249,$B$12:$B$5011,B3249)&gt;1,"CPF + dia duplicado",IF(OR(AND(E3249&lt;&gt;"",E3249&lt;B3249),AND(F3249&lt;&gt;"",F3249&lt;B3249)),"Evento anterior à entrada",IF(AND(F3249&lt;&gt;"",E3249=""),"Conversa sem agendamento",IF(OR(E3249&gt;TODAY(),F3249&gt;TODAY()),"Verificar evento futuro","OK"))))))</f>
        <v/>
      </c>
    </row>
    <row r="3250" spans="9:12">
      <c r="I3250" s="5">
        <f>IF(OR(A3250="",B3250=""),"",B3250-WEEKDAY(B3250,2)+1)</f>
        <v/>
      </c>
      <c r="J3250" s="5">
        <f>IF(I3250="","",I3250+6)</f>
        <v/>
      </c>
      <c r="K3250" s="6">
        <f>IF(OR(A3250="",B3250=""),"",DATE(YEAR(B3250),MONTH(B3250),1))</f>
        <v/>
      </c>
      <c r="L3250" s="7">
        <f>IF(COUNTA(A3250,B3250)=0,"",IF(OR(A3250="",B3250=""),"Preencher CPF e entrada",IF(COUNTIFS($A$12:$A$5011,A3250,$B$12:$B$5011,B3250)&gt;1,"CPF + dia duplicado",IF(OR(AND(E3250&lt;&gt;"",E3250&lt;B3250),AND(F3250&lt;&gt;"",F3250&lt;B3250)),"Evento anterior à entrada",IF(AND(F3250&lt;&gt;"",E3250=""),"Conversa sem agendamento",IF(OR(E3250&gt;TODAY(),F3250&gt;TODAY()),"Verificar evento futuro","OK"))))))</f>
        <v/>
      </c>
    </row>
    <row r="3251" spans="9:12">
      <c r="I3251" s="5">
        <f>IF(OR(A3251="",B3251=""),"",B3251-WEEKDAY(B3251,2)+1)</f>
        <v/>
      </c>
      <c r="J3251" s="5">
        <f>IF(I3251="","",I3251+6)</f>
        <v/>
      </c>
      <c r="K3251" s="6">
        <f>IF(OR(A3251="",B3251=""),"",DATE(YEAR(B3251),MONTH(B3251),1))</f>
        <v/>
      </c>
      <c r="L3251" s="7">
        <f>IF(COUNTA(A3251,B3251)=0,"",IF(OR(A3251="",B3251=""),"Preencher CPF e entrada",IF(COUNTIFS($A$12:$A$5011,A3251,$B$12:$B$5011,B3251)&gt;1,"CPF + dia duplicado",IF(OR(AND(E3251&lt;&gt;"",E3251&lt;B3251),AND(F3251&lt;&gt;"",F3251&lt;B3251)),"Evento anterior à entrada",IF(AND(F3251&lt;&gt;"",E3251=""),"Conversa sem agendamento",IF(OR(E3251&gt;TODAY(),F3251&gt;TODAY()),"Verificar evento futuro","OK"))))))</f>
        <v/>
      </c>
    </row>
    <row r="3252" spans="9:12">
      <c r="I3252" s="5">
        <f>IF(OR(A3252="",B3252=""),"",B3252-WEEKDAY(B3252,2)+1)</f>
        <v/>
      </c>
      <c r="J3252" s="5">
        <f>IF(I3252="","",I3252+6)</f>
        <v/>
      </c>
      <c r="K3252" s="6">
        <f>IF(OR(A3252="",B3252=""),"",DATE(YEAR(B3252),MONTH(B3252),1))</f>
        <v/>
      </c>
      <c r="L3252" s="7">
        <f>IF(COUNTA(A3252,B3252)=0,"",IF(OR(A3252="",B3252=""),"Preencher CPF e entrada",IF(COUNTIFS($A$12:$A$5011,A3252,$B$12:$B$5011,B3252)&gt;1,"CPF + dia duplicado",IF(OR(AND(E3252&lt;&gt;"",E3252&lt;B3252),AND(F3252&lt;&gt;"",F3252&lt;B3252)),"Evento anterior à entrada",IF(AND(F3252&lt;&gt;"",E3252=""),"Conversa sem agendamento",IF(OR(E3252&gt;TODAY(),F3252&gt;TODAY()),"Verificar evento futuro","OK"))))))</f>
        <v/>
      </c>
    </row>
    <row r="3253" spans="9:12">
      <c r="I3253" s="5">
        <f>IF(OR(A3253="",B3253=""),"",B3253-WEEKDAY(B3253,2)+1)</f>
        <v/>
      </c>
      <c r="J3253" s="5">
        <f>IF(I3253="","",I3253+6)</f>
        <v/>
      </c>
      <c r="K3253" s="6">
        <f>IF(OR(A3253="",B3253=""),"",DATE(YEAR(B3253),MONTH(B3253),1))</f>
        <v/>
      </c>
      <c r="L3253" s="7">
        <f>IF(COUNTA(A3253,B3253)=0,"",IF(OR(A3253="",B3253=""),"Preencher CPF e entrada",IF(COUNTIFS($A$12:$A$5011,A3253,$B$12:$B$5011,B3253)&gt;1,"CPF + dia duplicado",IF(OR(AND(E3253&lt;&gt;"",E3253&lt;B3253),AND(F3253&lt;&gt;"",F3253&lt;B3253)),"Evento anterior à entrada",IF(AND(F3253&lt;&gt;"",E3253=""),"Conversa sem agendamento",IF(OR(E3253&gt;TODAY(),F3253&gt;TODAY()),"Verificar evento futuro","OK"))))))</f>
        <v/>
      </c>
    </row>
    <row r="3254" spans="9:12">
      <c r="I3254" s="5">
        <f>IF(OR(A3254="",B3254=""),"",B3254-WEEKDAY(B3254,2)+1)</f>
        <v/>
      </c>
      <c r="J3254" s="5">
        <f>IF(I3254="","",I3254+6)</f>
        <v/>
      </c>
      <c r="K3254" s="6">
        <f>IF(OR(A3254="",B3254=""),"",DATE(YEAR(B3254),MONTH(B3254),1))</f>
        <v/>
      </c>
      <c r="L3254" s="7">
        <f>IF(COUNTA(A3254,B3254)=0,"",IF(OR(A3254="",B3254=""),"Preencher CPF e entrada",IF(COUNTIFS($A$12:$A$5011,A3254,$B$12:$B$5011,B3254)&gt;1,"CPF + dia duplicado",IF(OR(AND(E3254&lt;&gt;"",E3254&lt;B3254),AND(F3254&lt;&gt;"",F3254&lt;B3254)),"Evento anterior à entrada",IF(AND(F3254&lt;&gt;"",E3254=""),"Conversa sem agendamento",IF(OR(E3254&gt;TODAY(),F3254&gt;TODAY()),"Verificar evento futuro","OK"))))))</f>
        <v/>
      </c>
    </row>
    <row r="3255" spans="9:12">
      <c r="I3255" s="5">
        <f>IF(OR(A3255="",B3255=""),"",B3255-WEEKDAY(B3255,2)+1)</f>
        <v/>
      </c>
      <c r="J3255" s="5">
        <f>IF(I3255="","",I3255+6)</f>
        <v/>
      </c>
      <c r="K3255" s="6">
        <f>IF(OR(A3255="",B3255=""),"",DATE(YEAR(B3255),MONTH(B3255),1))</f>
        <v/>
      </c>
      <c r="L3255" s="7">
        <f>IF(COUNTA(A3255,B3255)=0,"",IF(OR(A3255="",B3255=""),"Preencher CPF e entrada",IF(COUNTIFS($A$12:$A$5011,A3255,$B$12:$B$5011,B3255)&gt;1,"CPF + dia duplicado",IF(OR(AND(E3255&lt;&gt;"",E3255&lt;B3255),AND(F3255&lt;&gt;"",F3255&lt;B3255)),"Evento anterior à entrada",IF(AND(F3255&lt;&gt;"",E3255=""),"Conversa sem agendamento",IF(OR(E3255&gt;TODAY(),F3255&gt;TODAY()),"Verificar evento futuro","OK"))))))</f>
        <v/>
      </c>
    </row>
    <row r="3256" spans="9:12">
      <c r="I3256" s="5">
        <f>IF(OR(A3256="",B3256=""),"",B3256-WEEKDAY(B3256,2)+1)</f>
        <v/>
      </c>
      <c r="J3256" s="5">
        <f>IF(I3256="","",I3256+6)</f>
        <v/>
      </c>
      <c r="K3256" s="6">
        <f>IF(OR(A3256="",B3256=""),"",DATE(YEAR(B3256),MONTH(B3256),1))</f>
        <v/>
      </c>
      <c r="L3256" s="7">
        <f>IF(COUNTA(A3256,B3256)=0,"",IF(OR(A3256="",B3256=""),"Preencher CPF e entrada",IF(COUNTIFS($A$12:$A$5011,A3256,$B$12:$B$5011,B3256)&gt;1,"CPF + dia duplicado",IF(OR(AND(E3256&lt;&gt;"",E3256&lt;B3256),AND(F3256&lt;&gt;"",F3256&lt;B3256)),"Evento anterior à entrada",IF(AND(F3256&lt;&gt;"",E3256=""),"Conversa sem agendamento",IF(OR(E3256&gt;TODAY(),F3256&gt;TODAY()),"Verificar evento futuro","OK"))))))</f>
        <v/>
      </c>
    </row>
    <row r="3257" spans="9:12">
      <c r="I3257" s="5">
        <f>IF(OR(A3257="",B3257=""),"",B3257-WEEKDAY(B3257,2)+1)</f>
        <v/>
      </c>
      <c r="J3257" s="5">
        <f>IF(I3257="","",I3257+6)</f>
        <v/>
      </c>
      <c r="K3257" s="6">
        <f>IF(OR(A3257="",B3257=""),"",DATE(YEAR(B3257),MONTH(B3257),1))</f>
        <v/>
      </c>
      <c r="L3257" s="7">
        <f>IF(COUNTA(A3257,B3257)=0,"",IF(OR(A3257="",B3257=""),"Preencher CPF e entrada",IF(COUNTIFS($A$12:$A$5011,A3257,$B$12:$B$5011,B3257)&gt;1,"CPF + dia duplicado",IF(OR(AND(E3257&lt;&gt;"",E3257&lt;B3257),AND(F3257&lt;&gt;"",F3257&lt;B3257)),"Evento anterior à entrada",IF(AND(F3257&lt;&gt;"",E3257=""),"Conversa sem agendamento",IF(OR(E3257&gt;TODAY(),F3257&gt;TODAY()),"Verificar evento futuro","OK"))))))</f>
        <v/>
      </c>
    </row>
    <row r="3258" spans="9:12">
      <c r="I3258" s="5">
        <f>IF(OR(A3258="",B3258=""),"",B3258-WEEKDAY(B3258,2)+1)</f>
        <v/>
      </c>
      <c r="J3258" s="5">
        <f>IF(I3258="","",I3258+6)</f>
        <v/>
      </c>
      <c r="K3258" s="6">
        <f>IF(OR(A3258="",B3258=""),"",DATE(YEAR(B3258),MONTH(B3258),1))</f>
        <v/>
      </c>
      <c r="L3258" s="7">
        <f>IF(COUNTA(A3258,B3258)=0,"",IF(OR(A3258="",B3258=""),"Preencher CPF e entrada",IF(COUNTIFS($A$12:$A$5011,A3258,$B$12:$B$5011,B3258)&gt;1,"CPF + dia duplicado",IF(OR(AND(E3258&lt;&gt;"",E3258&lt;B3258),AND(F3258&lt;&gt;"",F3258&lt;B3258)),"Evento anterior à entrada",IF(AND(F3258&lt;&gt;"",E3258=""),"Conversa sem agendamento",IF(OR(E3258&gt;TODAY(),F3258&gt;TODAY()),"Verificar evento futuro","OK"))))))</f>
        <v/>
      </c>
    </row>
    <row r="3259" spans="9:12">
      <c r="I3259" s="5">
        <f>IF(OR(A3259="",B3259=""),"",B3259-WEEKDAY(B3259,2)+1)</f>
        <v/>
      </c>
      <c r="J3259" s="5">
        <f>IF(I3259="","",I3259+6)</f>
        <v/>
      </c>
      <c r="K3259" s="6">
        <f>IF(OR(A3259="",B3259=""),"",DATE(YEAR(B3259),MONTH(B3259),1))</f>
        <v/>
      </c>
      <c r="L3259" s="7">
        <f>IF(COUNTA(A3259,B3259)=0,"",IF(OR(A3259="",B3259=""),"Preencher CPF e entrada",IF(COUNTIFS($A$12:$A$5011,A3259,$B$12:$B$5011,B3259)&gt;1,"CPF + dia duplicado",IF(OR(AND(E3259&lt;&gt;"",E3259&lt;B3259),AND(F3259&lt;&gt;"",F3259&lt;B3259)),"Evento anterior à entrada",IF(AND(F3259&lt;&gt;"",E3259=""),"Conversa sem agendamento",IF(OR(E3259&gt;TODAY(),F3259&gt;TODAY()),"Verificar evento futuro","OK"))))))</f>
        <v/>
      </c>
    </row>
    <row r="3260" spans="9:12">
      <c r="I3260" s="5">
        <f>IF(OR(A3260="",B3260=""),"",B3260-WEEKDAY(B3260,2)+1)</f>
        <v/>
      </c>
      <c r="J3260" s="5">
        <f>IF(I3260="","",I3260+6)</f>
        <v/>
      </c>
      <c r="K3260" s="6">
        <f>IF(OR(A3260="",B3260=""),"",DATE(YEAR(B3260),MONTH(B3260),1))</f>
        <v/>
      </c>
      <c r="L3260" s="7">
        <f>IF(COUNTA(A3260,B3260)=0,"",IF(OR(A3260="",B3260=""),"Preencher CPF e entrada",IF(COUNTIFS($A$12:$A$5011,A3260,$B$12:$B$5011,B3260)&gt;1,"CPF + dia duplicado",IF(OR(AND(E3260&lt;&gt;"",E3260&lt;B3260),AND(F3260&lt;&gt;"",F3260&lt;B3260)),"Evento anterior à entrada",IF(AND(F3260&lt;&gt;"",E3260=""),"Conversa sem agendamento",IF(OR(E3260&gt;TODAY(),F3260&gt;TODAY()),"Verificar evento futuro","OK"))))))</f>
        <v/>
      </c>
    </row>
    <row r="3261" spans="9:12">
      <c r="I3261" s="5">
        <f>IF(OR(A3261="",B3261=""),"",B3261-WEEKDAY(B3261,2)+1)</f>
        <v/>
      </c>
      <c r="J3261" s="5">
        <f>IF(I3261="","",I3261+6)</f>
        <v/>
      </c>
      <c r="K3261" s="6">
        <f>IF(OR(A3261="",B3261=""),"",DATE(YEAR(B3261),MONTH(B3261),1))</f>
        <v/>
      </c>
      <c r="L3261" s="7">
        <f>IF(COUNTA(A3261,B3261)=0,"",IF(OR(A3261="",B3261=""),"Preencher CPF e entrada",IF(COUNTIFS($A$12:$A$5011,A3261,$B$12:$B$5011,B3261)&gt;1,"CPF + dia duplicado",IF(OR(AND(E3261&lt;&gt;"",E3261&lt;B3261),AND(F3261&lt;&gt;"",F3261&lt;B3261)),"Evento anterior à entrada",IF(AND(F3261&lt;&gt;"",E3261=""),"Conversa sem agendamento",IF(OR(E3261&gt;TODAY(),F3261&gt;TODAY()),"Verificar evento futuro","OK"))))))</f>
        <v/>
      </c>
    </row>
    <row r="3262" spans="9:12">
      <c r="I3262" s="5">
        <f>IF(OR(A3262="",B3262=""),"",B3262-WEEKDAY(B3262,2)+1)</f>
        <v/>
      </c>
      <c r="J3262" s="5">
        <f>IF(I3262="","",I3262+6)</f>
        <v/>
      </c>
      <c r="K3262" s="6">
        <f>IF(OR(A3262="",B3262=""),"",DATE(YEAR(B3262),MONTH(B3262),1))</f>
        <v/>
      </c>
      <c r="L3262" s="7">
        <f>IF(COUNTA(A3262,B3262)=0,"",IF(OR(A3262="",B3262=""),"Preencher CPF e entrada",IF(COUNTIFS($A$12:$A$5011,A3262,$B$12:$B$5011,B3262)&gt;1,"CPF + dia duplicado",IF(OR(AND(E3262&lt;&gt;"",E3262&lt;B3262),AND(F3262&lt;&gt;"",F3262&lt;B3262)),"Evento anterior à entrada",IF(AND(F3262&lt;&gt;"",E3262=""),"Conversa sem agendamento",IF(OR(E3262&gt;TODAY(),F3262&gt;TODAY()),"Verificar evento futuro","OK"))))))</f>
        <v/>
      </c>
    </row>
    <row r="3263" spans="9:12">
      <c r="I3263" s="5">
        <f>IF(OR(A3263="",B3263=""),"",B3263-WEEKDAY(B3263,2)+1)</f>
        <v/>
      </c>
      <c r="J3263" s="5">
        <f>IF(I3263="","",I3263+6)</f>
        <v/>
      </c>
      <c r="K3263" s="6">
        <f>IF(OR(A3263="",B3263=""),"",DATE(YEAR(B3263),MONTH(B3263),1))</f>
        <v/>
      </c>
      <c r="L3263" s="7">
        <f>IF(COUNTA(A3263,B3263)=0,"",IF(OR(A3263="",B3263=""),"Preencher CPF e entrada",IF(COUNTIFS($A$12:$A$5011,A3263,$B$12:$B$5011,B3263)&gt;1,"CPF + dia duplicado",IF(OR(AND(E3263&lt;&gt;"",E3263&lt;B3263),AND(F3263&lt;&gt;"",F3263&lt;B3263)),"Evento anterior à entrada",IF(AND(F3263&lt;&gt;"",E3263=""),"Conversa sem agendamento",IF(OR(E3263&gt;TODAY(),F3263&gt;TODAY()),"Verificar evento futuro","OK"))))))</f>
        <v/>
      </c>
    </row>
    <row r="3264" spans="9:12">
      <c r="I3264" s="5">
        <f>IF(OR(A3264="",B3264=""),"",B3264-WEEKDAY(B3264,2)+1)</f>
        <v/>
      </c>
      <c r="J3264" s="5">
        <f>IF(I3264="","",I3264+6)</f>
        <v/>
      </c>
      <c r="K3264" s="6">
        <f>IF(OR(A3264="",B3264=""),"",DATE(YEAR(B3264),MONTH(B3264),1))</f>
        <v/>
      </c>
      <c r="L3264" s="7">
        <f>IF(COUNTA(A3264,B3264)=0,"",IF(OR(A3264="",B3264=""),"Preencher CPF e entrada",IF(COUNTIFS($A$12:$A$5011,A3264,$B$12:$B$5011,B3264)&gt;1,"CPF + dia duplicado",IF(OR(AND(E3264&lt;&gt;"",E3264&lt;B3264),AND(F3264&lt;&gt;"",F3264&lt;B3264)),"Evento anterior à entrada",IF(AND(F3264&lt;&gt;"",E3264=""),"Conversa sem agendamento",IF(OR(E3264&gt;TODAY(),F3264&gt;TODAY()),"Verificar evento futuro","OK"))))))</f>
        <v/>
      </c>
    </row>
    <row r="3265" spans="9:12">
      <c r="I3265" s="5">
        <f>IF(OR(A3265="",B3265=""),"",B3265-WEEKDAY(B3265,2)+1)</f>
        <v/>
      </c>
      <c r="J3265" s="5">
        <f>IF(I3265="","",I3265+6)</f>
        <v/>
      </c>
      <c r="K3265" s="6">
        <f>IF(OR(A3265="",B3265=""),"",DATE(YEAR(B3265),MONTH(B3265),1))</f>
        <v/>
      </c>
      <c r="L3265" s="7">
        <f>IF(COUNTA(A3265,B3265)=0,"",IF(OR(A3265="",B3265=""),"Preencher CPF e entrada",IF(COUNTIFS($A$12:$A$5011,A3265,$B$12:$B$5011,B3265)&gt;1,"CPF + dia duplicado",IF(OR(AND(E3265&lt;&gt;"",E3265&lt;B3265),AND(F3265&lt;&gt;"",F3265&lt;B3265)),"Evento anterior à entrada",IF(AND(F3265&lt;&gt;"",E3265=""),"Conversa sem agendamento",IF(OR(E3265&gt;TODAY(),F3265&gt;TODAY()),"Verificar evento futuro","OK"))))))</f>
        <v/>
      </c>
    </row>
    <row r="3266" spans="9:12">
      <c r="I3266" s="5">
        <f>IF(OR(A3266="",B3266=""),"",B3266-WEEKDAY(B3266,2)+1)</f>
        <v/>
      </c>
      <c r="J3266" s="5">
        <f>IF(I3266="","",I3266+6)</f>
        <v/>
      </c>
      <c r="K3266" s="6">
        <f>IF(OR(A3266="",B3266=""),"",DATE(YEAR(B3266),MONTH(B3266),1))</f>
        <v/>
      </c>
      <c r="L3266" s="7">
        <f>IF(COUNTA(A3266,B3266)=0,"",IF(OR(A3266="",B3266=""),"Preencher CPF e entrada",IF(COUNTIFS($A$12:$A$5011,A3266,$B$12:$B$5011,B3266)&gt;1,"CPF + dia duplicado",IF(OR(AND(E3266&lt;&gt;"",E3266&lt;B3266),AND(F3266&lt;&gt;"",F3266&lt;B3266)),"Evento anterior à entrada",IF(AND(F3266&lt;&gt;"",E3266=""),"Conversa sem agendamento",IF(OR(E3266&gt;TODAY(),F3266&gt;TODAY()),"Verificar evento futuro","OK"))))))</f>
        <v/>
      </c>
    </row>
    <row r="3267" spans="9:12">
      <c r="I3267" s="5">
        <f>IF(OR(A3267="",B3267=""),"",B3267-WEEKDAY(B3267,2)+1)</f>
        <v/>
      </c>
      <c r="J3267" s="5">
        <f>IF(I3267="","",I3267+6)</f>
        <v/>
      </c>
      <c r="K3267" s="6">
        <f>IF(OR(A3267="",B3267=""),"",DATE(YEAR(B3267),MONTH(B3267),1))</f>
        <v/>
      </c>
      <c r="L3267" s="7">
        <f>IF(COUNTA(A3267,B3267)=0,"",IF(OR(A3267="",B3267=""),"Preencher CPF e entrada",IF(COUNTIFS($A$12:$A$5011,A3267,$B$12:$B$5011,B3267)&gt;1,"CPF + dia duplicado",IF(OR(AND(E3267&lt;&gt;"",E3267&lt;B3267),AND(F3267&lt;&gt;"",F3267&lt;B3267)),"Evento anterior à entrada",IF(AND(F3267&lt;&gt;"",E3267=""),"Conversa sem agendamento",IF(OR(E3267&gt;TODAY(),F3267&gt;TODAY()),"Verificar evento futuro","OK"))))))</f>
        <v/>
      </c>
    </row>
    <row r="3268" spans="9:12">
      <c r="I3268" s="5">
        <f>IF(OR(A3268="",B3268=""),"",B3268-WEEKDAY(B3268,2)+1)</f>
        <v/>
      </c>
      <c r="J3268" s="5">
        <f>IF(I3268="","",I3268+6)</f>
        <v/>
      </c>
      <c r="K3268" s="6">
        <f>IF(OR(A3268="",B3268=""),"",DATE(YEAR(B3268),MONTH(B3268),1))</f>
        <v/>
      </c>
      <c r="L3268" s="7">
        <f>IF(COUNTA(A3268,B3268)=0,"",IF(OR(A3268="",B3268=""),"Preencher CPF e entrada",IF(COUNTIFS($A$12:$A$5011,A3268,$B$12:$B$5011,B3268)&gt;1,"CPF + dia duplicado",IF(OR(AND(E3268&lt;&gt;"",E3268&lt;B3268),AND(F3268&lt;&gt;"",F3268&lt;B3268)),"Evento anterior à entrada",IF(AND(F3268&lt;&gt;"",E3268=""),"Conversa sem agendamento",IF(OR(E3268&gt;TODAY(),F3268&gt;TODAY()),"Verificar evento futuro","OK"))))))</f>
        <v/>
      </c>
    </row>
    <row r="3269" spans="9:12">
      <c r="I3269" s="5">
        <f>IF(OR(A3269="",B3269=""),"",B3269-WEEKDAY(B3269,2)+1)</f>
        <v/>
      </c>
      <c r="J3269" s="5">
        <f>IF(I3269="","",I3269+6)</f>
        <v/>
      </c>
      <c r="K3269" s="6">
        <f>IF(OR(A3269="",B3269=""),"",DATE(YEAR(B3269),MONTH(B3269),1))</f>
        <v/>
      </c>
      <c r="L3269" s="7">
        <f>IF(COUNTA(A3269,B3269)=0,"",IF(OR(A3269="",B3269=""),"Preencher CPF e entrada",IF(COUNTIFS($A$12:$A$5011,A3269,$B$12:$B$5011,B3269)&gt;1,"CPF + dia duplicado",IF(OR(AND(E3269&lt;&gt;"",E3269&lt;B3269),AND(F3269&lt;&gt;"",F3269&lt;B3269)),"Evento anterior à entrada",IF(AND(F3269&lt;&gt;"",E3269=""),"Conversa sem agendamento",IF(OR(E3269&gt;TODAY(),F3269&gt;TODAY()),"Verificar evento futuro","OK"))))))</f>
        <v/>
      </c>
    </row>
    <row r="3270" spans="9:12">
      <c r="I3270" s="5">
        <f>IF(OR(A3270="",B3270=""),"",B3270-WEEKDAY(B3270,2)+1)</f>
        <v/>
      </c>
      <c r="J3270" s="5">
        <f>IF(I3270="","",I3270+6)</f>
        <v/>
      </c>
      <c r="K3270" s="6">
        <f>IF(OR(A3270="",B3270=""),"",DATE(YEAR(B3270),MONTH(B3270),1))</f>
        <v/>
      </c>
      <c r="L3270" s="7">
        <f>IF(COUNTA(A3270,B3270)=0,"",IF(OR(A3270="",B3270=""),"Preencher CPF e entrada",IF(COUNTIFS($A$12:$A$5011,A3270,$B$12:$B$5011,B3270)&gt;1,"CPF + dia duplicado",IF(OR(AND(E3270&lt;&gt;"",E3270&lt;B3270),AND(F3270&lt;&gt;"",F3270&lt;B3270)),"Evento anterior à entrada",IF(AND(F3270&lt;&gt;"",E3270=""),"Conversa sem agendamento",IF(OR(E3270&gt;TODAY(),F3270&gt;TODAY()),"Verificar evento futuro","OK"))))))</f>
        <v/>
      </c>
    </row>
    <row r="3271" spans="9:12">
      <c r="I3271" s="5">
        <f>IF(OR(A3271="",B3271=""),"",B3271-WEEKDAY(B3271,2)+1)</f>
        <v/>
      </c>
      <c r="J3271" s="5">
        <f>IF(I3271="","",I3271+6)</f>
        <v/>
      </c>
      <c r="K3271" s="6">
        <f>IF(OR(A3271="",B3271=""),"",DATE(YEAR(B3271),MONTH(B3271),1))</f>
        <v/>
      </c>
      <c r="L3271" s="7">
        <f>IF(COUNTA(A3271,B3271)=0,"",IF(OR(A3271="",B3271=""),"Preencher CPF e entrada",IF(COUNTIFS($A$12:$A$5011,A3271,$B$12:$B$5011,B3271)&gt;1,"CPF + dia duplicado",IF(OR(AND(E3271&lt;&gt;"",E3271&lt;B3271),AND(F3271&lt;&gt;"",F3271&lt;B3271)),"Evento anterior à entrada",IF(AND(F3271&lt;&gt;"",E3271=""),"Conversa sem agendamento",IF(OR(E3271&gt;TODAY(),F3271&gt;TODAY()),"Verificar evento futuro","OK"))))))</f>
        <v/>
      </c>
    </row>
    <row r="3272" spans="9:12">
      <c r="I3272" s="5">
        <f>IF(OR(A3272="",B3272=""),"",B3272-WEEKDAY(B3272,2)+1)</f>
        <v/>
      </c>
      <c r="J3272" s="5">
        <f>IF(I3272="","",I3272+6)</f>
        <v/>
      </c>
      <c r="K3272" s="6">
        <f>IF(OR(A3272="",B3272=""),"",DATE(YEAR(B3272),MONTH(B3272),1))</f>
        <v/>
      </c>
      <c r="L3272" s="7">
        <f>IF(COUNTA(A3272,B3272)=0,"",IF(OR(A3272="",B3272=""),"Preencher CPF e entrada",IF(COUNTIFS($A$12:$A$5011,A3272,$B$12:$B$5011,B3272)&gt;1,"CPF + dia duplicado",IF(OR(AND(E3272&lt;&gt;"",E3272&lt;B3272),AND(F3272&lt;&gt;"",F3272&lt;B3272)),"Evento anterior à entrada",IF(AND(F3272&lt;&gt;"",E3272=""),"Conversa sem agendamento",IF(OR(E3272&gt;TODAY(),F3272&gt;TODAY()),"Verificar evento futuro","OK"))))))</f>
        <v/>
      </c>
    </row>
    <row r="3273" spans="9:12">
      <c r="I3273" s="5">
        <f>IF(OR(A3273="",B3273=""),"",B3273-WEEKDAY(B3273,2)+1)</f>
        <v/>
      </c>
      <c r="J3273" s="5">
        <f>IF(I3273="","",I3273+6)</f>
        <v/>
      </c>
      <c r="K3273" s="6">
        <f>IF(OR(A3273="",B3273=""),"",DATE(YEAR(B3273),MONTH(B3273),1))</f>
        <v/>
      </c>
      <c r="L3273" s="7">
        <f>IF(COUNTA(A3273,B3273)=0,"",IF(OR(A3273="",B3273=""),"Preencher CPF e entrada",IF(COUNTIFS($A$12:$A$5011,A3273,$B$12:$B$5011,B3273)&gt;1,"CPF + dia duplicado",IF(OR(AND(E3273&lt;&gt;"",E3273&lt;B3273),AND(F3273&lt;&gt;"",F3273&lt;B3273)),"Evento anterior à entrada",IF(AND(F3273&lt;&gt;"",E3273=""),"Conversa sem agendamento",IF(OR(E3273&gt;TODAY(),F3273&gt;TODAY()),"Verificar evento futuro","OK"))))))</f>
        <v/>
      </c>
    </row>
    <row r="3274" spans="9:12">
      <c r="I3274" s="5">
        <f>IF(OR(A3274="",B3274=""),"",B3274-WEEKDAY(B3274,2)+1)</f>
        <v/>
      </c>
      <c r="J3274" s="5">
        <f>IF(I3274="","",I3274+6)</f>
        <v/>
      </c>
      <c r="K3274" s="6">
        <f>IF(OR(A3274="",B3274=""),"",DATE(YEAR(B3274),MONTH(B3274),1))</f>
        <v/>
      </c>
      <c r="L3274" s="7">
        <f>IF(COUNTA(A3274,B3274)=0,"",IF(OR(A3274="",B3274=""),"Preencher CPF e entrada",IF(COUNTIFS($A$12:$A$5011,A3274,$B$12:$B$5011,B3274)&gt;1,"CPF + dia duplicado",IF(OR(AND(E3274&lt;&gt;"",E3274&lt;B3274),AND(F3274&lt;&gt;"",F3274&lt;B3274)),"Evento anterior à entrada",IF(AND(F3274&lt;&gt;"",E3274=""),"Conversa sem agendamento",IF(OR(E3274&gt;TODAY(),F3274&gt;TODAY()),"Verificar evento futuro","OK"))))))</f>
        <v/>
      </c>
    </row>
    <row r="3275" spans="9:12">
      <c r="I3275" s="5">
        <f>IF(OR(A3275="",B3275=""),"",B3275-WEEKDAY(B3275,2)+1)</f>
        <v/>
      </c>
      <c r="J3275" s="5">
        <f>IF(I3275="","",I3275+6)</f>
        <v/>
      </c>
      <c r="K3275" s="6">
        <f>IF(OR(A3275="",B3275=""),"",DATE(YEAR(B3275),MONTH(B3275),1))</f>
        <v/>
      </c>
      <c r="L3275" s="7">
        <f>IF(COUNTA(A3275,B3275)=0,"",IF(OR(A3275="",B3275=""),"Preencher CPF e entrada",IF(COUNTIFS($A$12:$A$5011,A3275,$B$12:$B$5011,B3275)&gt;1,"CPF + dia duplicado",IF(OR(AND(E3275&lt;&gt;"",E3275&lt;B3275),AND(F3275&lt;&gt;"",F3275&lt;B3275)),"Evento anterior à entrada",IF(AND(F3275&lt;&gt;"",E3275=""),"Conversa sem agendamento",IF(OR(E3275&gt;TODAY(),F3275&gt;TODAY()),"Verificar evento futuro","OK"))))))</f>
        <v/>
      </c>
    </row>
    <row r="3276" spans="9:12">
      <c r="I3276" s="5">
        <f>IF(OR(A3276="",B3276=""),"",B3276-WEEKDAY(B3276,2)+1)</f>
        <v/>
      </c>
      <c r="J3276" s="5">
        <f>IF(I3276="","",I3276+6)</f>
        <v/>
      </c>
      <c r="K3276" s="6">
        <f>IF(OR(A3276="",B3276=""),"",DATE(YEAR(B3276),MONTH(B3276),1))</f>
        <v/>
      </c>
      <c r="L3276" s="7">
        <f>IF(COUNTA(A3276,B3276)=0,"",IF(OR(A3276="",B3276=""),"Preencher CPF e entrada",IF(COUNTIFS($A$12:$A$5011,A3276,$B$12:$B$5011,B3276)&gt;1,"CPF + dia duplicado",IF(OR(AND(E3276&lt;&gt;"",E3276&lt;B3276),AND(F3276&lt;&gt;"",F3276&lt;B3276)),"Evento anterior à entrada",IF(AND(F3276&lt;&gt;"",E3276=""),"Conversa sem agendamento",IF(OR(E3276&gt;TODAY(),F3276&gt;TODAY()),"Verificar evento futuro","OK"))))))</f>
        <v/>
      </c>
    </row>
    <row r="3277" spans="9:12">
      <c r="I3277" s="5">
        <f>IF(OR(A3277="",B3277=""),"",B3277-WEEKDAY(B3277,2)+1)</f>
        <v/>
      </c>
      <c r="J3277" s="5">
        <f>IF(I3277="","",I3277+6)</f>
        <v/>
      </c>
      <c r="K3277" s="6">
        <f>IF(OR(A3277="",B3277=""),"",DATE(YEAR(B3277),MONTH(B3277),1))</f>
        <v/>
      </c>
      <c r="L3277" s="7">
        <f>IF(COUNTA(A3277,B3277)=0,"",IF(OR(A3277="",B3277=""),"Preencher CPF e entrada",IF(COUNTIFS($A$12:$A$5011,A3277,$B$12:$B$5011,B3277)&gt;1,"CPF + dia duplicado",IF(OR(AND(E3277&lt;&gt;"",E3277&lt;B3277),AND(F3277&lt;&gt;"",F3277&lt;B3277)),"Evento anterior à entrada",IF(AND(F3277&lt;&gt;"",E3277=""),"Conversa sem agendamento",IF(OR(E3277&gt;TODAY(),F3277&gt;TODAY()),"Verificar evento futuro","OK"))))))</f>
        <v/>
      </c>
    </row>
    <row r="3278" spans="9:12">
      <c r="I3278" s="5">
        <f>IF(OR(A3278="",B3278=""),"",B3278-WEEKDAY(B3278,2)+1)</f>
        <v/>
      </c>
      <c r="J3278" s="5">
        <f>IF(I3278="","",I3278+6)</f>
        <v/>
      </c>
      <c r="K3278" s="6">
        <f>IF(OR(A3278="",B3278=""),"",DATE(YEAR(B3278),MONTH(B3278),1))</f>
        <v/>
      </c>
      <c r="L3278" s="7">
        <f>IF(COUNTA(A3278,B3278)=0,"",IF(OR(A3278="",B3278=""),"Preencher CPF e entrada",IF(COUNTIFS($A$12:$A$5011,A3278,$B$12:$B$5011,B3278)&gt;1,"CPF + dia duplicado",IF(OR(AND(E3278&lt;&gt;"",E3278&lt;B3278),AND(F3278&lt;&gt;"",F3278&lt;B3278)),"Evento anterior à entrada",IF(AND(F3278&lt;&gt;"",E3278=""),"Conversa sem agendamento",IF(OR(E3278&gt;TODAY(),F3278&gt;TODAY()),"Verificar evento futuro","OK"))))))</f>
        <v/>
      </c>
    </row>
    <row r="3279" spans="9:12">
      <c r="I3279" s="5">
        <f>IF(OR(A3279="",B3279=""),"",B3279-WEEKDAY(B3279,2)+1)</f>
        <v/>
      </c>
      <c r="J3279" s="5">
        <f>IF(I3279="","",I3279+6)</f>
        <v/>
      </c>
      <c r="K3279" s="6">
        <f>IF(OR(A3279="",B3279=""),"",DATE(YEAR(B3279),MONTH(B3279),1))</f>
        <v/>
      </c>
      <c r="L3279" s="7">
        <f>IF(COUNTA(A3279,B3279)=0,"",IF(OR(A3279="",B3279=""),"Preencher CPF e entrada",IF(COUNTIFS($A$12:$A$5011,A3279,$B$12:$B$5011,B3279)&gt;1,"CPF + dia duplicado",IF(OR(AND(E3279&lt;&gt;"",E3279&lt;B3279),AND(F3279&lt;&gt;"",F3279&lt;B3279)),"Evento anterior à entrada",IF(AND(F3279&lt;&gt;"",E3279=""),"Conversa sem agendamento",IF(OR(E3279&gt;TODAY(),F3279&gt;TODAY()),"Verificar evento futuro","OK"))))))</f>
        <v/>
      </c>
    </row>
    <row r="3280" spans="9:12">
      <c r="I3280" s="5">
        <f>IF(OR(A3280="",B3280=""),"",B3280-WEEKDAY(B3280,2)+1)</f>
        <v/>
      </c>
      <c r="J3280" s="5">
        <f>IF(I3280="","",I3280+6)</f>
        <v/>
      </c>
      <c r="K3280" s="6">
        <f>IF(OR(A3280="",B3280=""),"",DATE(YEAR(B3280),MONTH(B3280),1))</f>
        <v/>
      </c>
      <c r="L3280" s="7">
        <f>IF(COUNTA(A3280,B3280)=0,"",IF(OR(A3280="",B3280=""),"Preencher CPF e entrada",IF(COUNTIFS($A$12:$A$5011,A3280,$B$12:$B$5011,B3280)&gt;1,"CPF + dia duplicado",IF(OR(AND(E3280&lt;&gt;"",E3280&lt;B3280),AND(F3280&lt;&gt;"",F3280&lt;B3280)),"Evento anterior à entrada",IF(AND(F3280&lt;&gt;"",E3280=""),"Conversa sem agendamento",IF(OR(E3280&gt;TODAY(),F3280&gt;TODAY()),"Verificar evento futuro","OK"))))))</f>
        <v/>
      </c>
    </row>
    <row r="3281" spans="9:12">
      <c r="I3281" s="5">
        <f>IF(OR(A3281="",B3281=""),"",B3281-WEEKDAY(B3281,2)+1)</f>
        <v/>
      </c>
      <c r="J3281" s="5">
        <f>IF(I3281="","",I3281+6)</f>
        <v/>
      </c>
      <c r="K3281" s="6">
        <f>IF(OR(A3281="",B3281=""),"",DATE(YEAR(B3281),MONTH(B3281),1))</f>
        <v/>
      </c>
      <c r="L3281" s="7">
        <f>IF(COUNTA(A3281,B3281)=0,"",IF(OR(A3281="",B3281=""),"Preencher CPF e entrada",IF(COUNTIFS($A$12:$A$5011,A3281,$B$12:$B$5011,B3281)&gt;1,"CPF + dia duplicado",IF(OR(AND(E3281&lt;&gt;"",E3281&lt;B3281),AND(F3281&lt;&gt;"",F3281&lt;B3281)),"Evento anterior à entrada",IF(AND(F3281&lt;&gt;"",E3281=""),"Conversa sem agendamento",IF(OR(E3281&gt;TODAY(),F3281&gt;TODAY()),"Verificar evento futuro","OK"))))))</f>
        <v/>
      </c>
    </row>
    <row r="3282" spans="9:12">
      <c r="I3282" s="5">
        <f>IF(OR(A3282="",B3282=""),"",B3282-WEEKDAY(B3282,2)+1)</f>
        <v/>
      </c>
      <c r="J3282" s="5">
        <f>IF(I3282="","",I3282+6)</f>
        <v/>
      </c>
      <c r="K3282" s="6">
        <f>IF(OR(A3282="",B3282=""),"",DATE(YEAR(B3282),MONTH(B3282),1))</f>
        <v/>
      </c>
      <c r="L3282" s="7">
        <f>IF(COUNTA(A3282,B3282)=0,"",IF(OR(A3282="",B3282=""),"Preencher CPF e entrada",IF(COUNTIFS($A$12:$A$5011,A3282,$B$12:$B$5011,B3282)&gt;1,"CPF + dia duplicado",IF(OR(AND(E3282&lt;&gt;"",E3282&lt;B3282),AND(F3282&lt;&gt;"",F3282&lt;B3282)),"Evento anterior à entrada",IF(AND(F3282&lt;&gt;"",E3282=""),"Conversa sem agendamento",IF(OR(E3282&gt;TODAY(),F3282&gt;TODAY()),"Verificar evento futuro","OK"))))))</f>
        <v/>
      </c>
    </row>
    <row r="3283" spans="9:12">
      <c r="I3283" s="5">
        <f>IF(OR(A3283="",B3283=""),"",B3283-WEEKDAY(B3283,2)+1)</f>
        <v/>
      </c>
      <c r="J3283" s="5">
        <f>IF(I3283="","",I3283+6)</f>
        <v/>
      </c>
      <c r="K3283" s="6">
        <f>IF(OR(A3283="",B3283=""),"",DATE(YEAR(B3283),MONTH(B3283),1))</f>
        <v/>
      </c>
      <c r="L3283" s="7">
        <f>IF(COUNTA(A3283,B3283)=0,"",IF(OR(A3283="",B3283=""),"Preencher CPF e entrada",IF(COUNTIFS($A$12:$A$5011,A3283,$B$12:$B$5011,B3283)&gt;1,"CPF + dia duplicado",IF(OR(AND(E3283&lt;&gt;"",E3283&lt;B3283),AND(F3283&lt;&gt;"",F3283&lt;B3283)),"Evento anterior à entrada",IF(AND(F3283&lt;&gt;"",E3283=""),"Conversa sem agendamento",IF(OR(E3283&gt;TODAY(),F3283&gt;TODAY()),"Verificar evento futuro","OK"))))))</f>
        <v/>
      </c>
    </row>
    <row r="3284" spans="9:12">
      <c r="I3284" s="5">
        <f>IF(OR(A3284="",B3284=""),"",B3284-WEEKDAY(B3284,2)+1)</f>
        <v/>
      </c>
      <c r="J3284" s="5">
        <f>IF(I3284="","",I3284+6)</f>
        <v/>
      </c>
      <c r="K3284" s="6">
        <f>IF(OR(A3284="",B3284=""),"",DATE(YEAR(B3284),MONTH(B3284),1))</f>
        <v/>
      </c>
      <c r="L3284" s="7">
        <f>IF(COUNTA(A3284,B3284)=0,"",IF(OR(A3284="",B3284=""),"Preencher CPF e entrada",IF(COUNTIFS($A$12:$A$5011,A3284,$B$12:$B$5011,B3284)&gt;1,"CPF + dia duplicado",IF(OR(AND(E3284&lt;&gt;"",E3284&lt;B3284),AND(F3284&lt;&gt;"",F3284&lt;B3284)),"Evento anterior à entrada",IF(AND(F3284&lt;&gt;"",E3284=""),"Conversa sem agendamento",IF(OR(E3284&gt;TODAY(),F3284&gt;TODAY()),"Verificar evento futuro","OK"))))))</f>
        <v/>
      </c>
    </row>
    <row r="3285" spans="9:12">
      <c r="I3285" s="5">
        <f>IF(OR(A3285="",B3285=""),"",B3285-WEEKDAY(B3285,2)+1)</f>
        <v/>
      </c>
      <c r="J3285" s="5">
        <f>IF(I3285="","",I3285+6)</f>
        <v/>
      </c>
      <c r="K3285" s="6">
        <f>IF(OR(A3285="",B3285=""),"",DATE(YEAR(B3285),MONTH(B3285),1))</f>
        <v/>
      </c>
      <c r="L3285" s="7">
        <f>IF(COUNTA(A3285,B3285)=0,"",IF(OR(A3285="",B3285=""),"Preencher CPF e entrada",IF(COUNTIFS($A$12:$A$5011,A3285,$B$12:$B$5011,B3285)&gt;1,"CPF + dia duplicado",IF(OR(AND(E3285&lt;&gt;"",E3285&lt;B3285),AND(F3285&lt;&gt;"",F3285&lt;B3285)),"Evento anterior à entrada",IF(AND(F3285&lt;&gt;"",E3285=""),"Conversa sem agendamento",IF(OR(E3285&gt;TODAY(),F3285&gt;TODAY()),"Verificar evento futuro","OK"))))))</f>
        <v/>
      </c>
    </row>
    <row r="3286" spans="9:12">
      <c r="I3286" s="5">
        <f>IF(OR(A3286="",B3286=""),"",B3286-WEEKDAY(B3286,2)+1)</f>
        <v/>
      </c>
      <c r="J3286" s="5">
        <f>IF(I3286="","",I3286+6)</f>
        <v/>
      </c>
      <c r="K3286" s="6">
        <f>IF(OR(A3286="",B3286=""),"",DATE(YEAR(B3286),MONTH(B3286),1))</f>
        <v/>
      </c>
      <c r="L3286" s="7">
        <f>IF(COUNTA(A3286,B3286)=0,"",IF(OR(A3286="",B3286=""),"Preencher CPF e entrada",IF(COUNTIFS($A$12:$A$5011,A3286,$B$12:$B$5011,B3286)&gt;1,"CPF + dia duplicado",IF(OR(AND(E3286&lt;&gt;"",E3286&lt;B3286),AND(F3286&lt;&gt;"",F3286&lt;B3286)),"Evento anterior à entrada",IF(AND(F3286&lt;&gt;"",E3286=""),"Conversa sem agendamento",IF(OR(E3286&gt;TODAY(),F3286&gt;TODAY()),"Verificar evento futuro","OK"))))))</f>
        <v/>
      </c>
    </row>
    <row r="3287" spans="9:12">
      <c r="I3287" s="5">
        <f>IF(OR(A3287="",B3287=""),"",B3287-WEEKDAY(B3287,2)+1)</f>
        <v/>
      </c>
      <c r="J3287" s="5">
        <f>IF(I3287="","",I3287+6)</f>
        <v/>
      </c>
      <c r="K3287" s="6">
        <f>IF(OR(A3287="",B3287=""),"",DATE(YEAR(B3287),MONTH(B3287),1))</f>
        <v/>
      </c>
      <c r="L3287" s="7">
        <f>IF(COUNTA(A3287,B3287)=0,"",IF(OR(A3287="",B3287=""),"Preencher CPF e entrada",IF(COUNTIFS($A$12:$A$5011,A3287,$B$12:$B$5011,B3287)&gt;1,"CPF + dia duplicado",IF(OR(AND(E3287&lt;&gt;"",E3287&lt;B3287),AND(F3287&lt;&gt;"",F3287&lt;B3287)),"Evento anterior à entrada",IF(AND(F3287&lt;&gt;"",E3287=""),"Conversa sem agendamento",IF(OR(E3287&gt;TODAY(),F3287&gt;TODAY()),"Verificar evento futuro","OK"))))))</f>
        <v/>
      </c>
    </row>
    <row r="3288" spans="9:12">
      <c r="I3288" s="5">
        <f>IF(OR(A3288="",B3288=""),"",B3288-WEEKDAY(B3288,2)+1)</f>
        <v/>
      </c>
      <c r="J3288" s="5">
        <f>IF(I3288="","",I3288+6)</f>
        <v/>
      </c>
      <c r="K3288" s="6">
        <f>IF(OR(A3288="",B3288=""),"",DATE(YEAR(B3288),MONTH(B3288),1))</f>
        <v/>
      </c>
      <c r="L3288" s="7">
        <f>IF(COUNTA(A3288,B3288)=0,"",IF(OR(A3288="",B3288=""),"Preencher CPF e entrada",IF(COUNTIFS($A$12:$A$5011,A3288,$B$12:$B$5011,B3288)&gt;1,"CPF + dia duplicado",IF(OR(AND(E3288&lt;&gt;"",E3288&lt;B3288),AND(F3288&lt;&gt;"",F3288&lt;B3288)),"Evento anterior à entrada",IF(AND(F3288&lt;&gt;"",E3288=""),"Conversa sem agendamento",IF(OR(E3288&gt;TODAY(),F3288&gt;TODAY()),"Verificar evento futuro","OK"))))))</f>
        <v/>
      </c>
    </row>
    <row r="3289" spans="9:12">
      <c r="I3289" s="5">
        <f>IF(OR(A3289="",B3289=""),"",B3289-WEEKDAY(B3289,2)+1)</f>
        <v/>
      </c>
      <c r="J3289" s="5">
        <f>IF(I3289="","",I3289+6)</f>
        <v/>
      </c>
      <c r="K3289" s="6">
        <f>IF(OR(A3289="",B3289=""),"",DATE(YEAR(B3289),MONTH(B3289),1))</f>
        <v/>
      </c>
      <c r="L3289" s="7">
        <f>IF(COUNTA(A3289,B3289)=0,"",IF(OR(A3289="",B3289=""),"Preencher CPF e entrada",IF(COUNTIFS($A$12:$A$5011,A3289,$B$12:$B$5011,B3289)&gt;1,"CPF + dia duplicado",IF(OR(AND(E3289&lt;&gt;"",E3289&lt;B3289),AND(F3289&lt;&gt;"",F3289&lt;B3289)),"Evento anterior à entrada",IF(AND(F3289&lt;&gt;"",E3289=""),"Conversa sem agendamento",IF(OR(E3289&gt;TODAY(),F3289&gt;TODAY()),"Verificar evento futuro","OK"))))))</f>
        <v/>
      </c>
    </row>
    <row r="3290" spans="9:12">
      <c r="I3290" s="5">
        <f>IF(OR(A3290="",B3290=""),"",B3290-WEEKDAY(B3290,2)+1)</f>
        <v/>
      </c>
      <c r="J3290" s="5">
        <f>IF(I3290="","",I3290+6)</f>
        <v/>
      </c>
      <c r="K3290" s="6">
        <f>IF(OR(A3290="",B3290=""),"",DATE(YEAR(B3290),MONTH(B3290),1))</f>
        <v/>
      </c>
      <c r="L3290" s="7">
        <f>IF(COUNTA(A3290,B3290)=0,"",IF(OR(A3290="",B3290=""),"Preencher CPF e entrada",IF(COUNTIFS($A$12:$A$5011,A3290,$B$12:$B$5011,B3290)&gt;1,"CPF + dia duplicado",IF(OR(AND(E3290&lt;&gt;"",E3290&lt;B3290),AND(F3290&lt;&gt;"",F3290&lt;B3290)),"Evento anterior à entrada",IF(AND(F3290&lt;&gt;"",E3290=""),"Conversa sem agendamento",IF(OR(E3290&gt;TODAY(),F3290&gt;TODAY()),"Verificar evento futuro","OK"))))))</f>
        <v/>
      </c>
    </row>
    <row r="3291" spans="9:12">
      <c r="I3291" s="5">
        <f>IF(OR(A3291="",B3291=""),"",B3291-WEEKDAY(B3291,2)+1)</f>
        <v/>
      </c>
      <c r="J3291" s="5">
        <f>IF(I3291="","",I3291+6)</f>
        <v/>
      </c>
      <c r="K3291" s="6">
        <f>IF(OR(A3291="",B3291=""),"",DATE(YEAR(B3291),MONTH(B3291),1))</f>
        <v/>
      </c>
      <c r="L3291" s="7">
        <f>IF(COUNTA(A3291,B3291)=0,"",IF(OR(A3291="",B3291=""),"Preencher CPF e entrada",IF(COUNTIFS($A$12:$A$5011,A3291,$B$12:$B$5011,B3291)&gt;1,"CPF + dia duplicado",IF(OR(AND(E3291&lt;&gt;"",E3291&lt;B3291),AND(F3291&lt;&gt;"",F3291&lt;B3291)),"Evento anterior à entrada",IF(AND(F3291&lt;&gt;"",E3291=""),"Conversa sem agendamento",IF(OR(E3291&gt;TODAY(),F3291&gt;TODAY()),"Verificar evento futuro","OK"))))))</f>
        <v/>
      </c>
    </row>
    <row r="3292" spans="9:12">
      <c r="I3292" s="5">
        <f>IF(OR(A3292="",B3292=""),"",B3292-WEEKDAY(B3292,2)+1)</f>
        <v/>
      </c>
      <c r="J3292" s="5">
        <f>IF(I3292="","",I3292+6)</f>
        <v/>
      </c>
      <c r="K3292" s="6">
        <f>IF(OR(A3292="",B3292=""),"",DATE(YEAR(B3292),MONTH(B3292),1))</f>
        <v/>
      </c>
      <c r="L3292" s="7">
        <f>IF(COUNTA(A3292,B3292)=0,"",IF(OR(A3292="",B3292=""),"Preencher CPF e entrada",IF(COUNTIFS($A$12:$A$5011,A3292,$B$12:$B$5011,B3292)&gt;1,"CPF + dia duplicado",IF(OR(AND(E3292&lt;&gt;"",E3292&lt;B3292),AND(F3292&lt;&gt;"",F3292&lt;B3292)),"Evento anterior à entrada",IF(AND(F3292&lt;&gt;"",E3292=""),"Conversa sem agendamento",IF(OR(E3292&gt;TODAY(),F3292&gt;TODAY()),"Verificar evento futuro","OK"))))))</f>
        <v/>
      </c>
    </row>
    <row r="3293" spans="9:12">
      <c r="I3293" s="5">
        <f>IF(OR(A3293="",B3293=""),"",B3293-WEEKDAY(B3293,2)+1)</f>
        <v/>
      </c>
      <c r="J3293" s="5">
        <f>IF(I3293="","",I3293+6)</f>
        <v/>
      </c>
      <c r="K3293" s="6">
        <f>IF(OR(A3293="",B3293=""),"",DATE(YEAR(B3293),MONTH(B3293),1))</f>
        <v/>
      </c>
      <c r="L3293" s="7">
        <f>IF(COUNTA(A3293,B3293)=0,"",IF(OR(A3293="",B3293=""),"Preencher CPF e entrada",IF(COUNTIFS($A$12:$A$5011,A3293,$B$12:$B$5011,B3293)&gt;1,"CPF + dia duplicado",IF(OR(AND(E3293&lt;&gt;"",E3293&lt;B3293),AND(F3293&lt;&gt;"",F3293&lt;B3293)),"Evento anterior à entrada",IF(AND(F3293&lt;&gt;"",E3293=""),"Conversa sem agendamento",IF(OR(E3293&gt;TODAY(),F3293&gt;TODAY()),"Verificar evento futuro","OK"))))))</f>
        <v/>
      </c>
    </row>
    <row r="3294" spans="9:12">
      <c r="I3294" s="5">
        <f>IF(OR(A3294="",B3294=""),"",B3294-WEEKDAY(B3294,2)+1)</f>
        <v/>
      </c>
      <c r="J3294" s="5">
        <f>IF(I3294="","",I3294+6)</f>
        <v/>
      </c>
      <c r="K3294" s="6">
        <f>IF(OR(A3294="",B3294=""),"",DATE(YEAR(B3294),MONTH(B3294),1))</f>
        <v/>
      </c>
      <c r="L3294" s="7">
        <f>IF(COUNTA(A3294,B3294)=0,"",IF(OR(A3294="",B3294=""),"Preencher CPF e entrada",IF(COUNTIFS($A$12:$A$5011,A3294,$B$12:$B$5011,B3294)&gt;1,"CPF + dia duplicado",IF(OR(AND(E3294&lt;&gt;"",E3294&lt;B3294),AND(F3294&lt;&gt;"",F3294&lt;B3294)),"Evento anterior à entrada",IF(AND(F3294&lt;&gt;"",E3294=""),"Conversa sem agendamento",IF(OR(E3294&gt;TODAY(),F3294&gt;TODAY()),"Verificar evento futuro","OK"))))))</f>
        <v/>
      </c>
    </row>
    <row r="3295" spans="9:12">
      <c r="I3295" s="5">
        <f>IF(OR(A3295="",B3295=""),"",B3295-WEEKDAY(B3295,2)+1)</f>
        <v/>
      </c>
      <c r="J3295" s="5">
        <f>IF(I3295="","",I3295+6)</f>
        <v/>
      </c>
      <c r="K3295" s="6">
        <f>IF(OR(A3295="",B3295=""),"",DATE(YEAR(B3295),MONTH(B3295),1))</f>
        <v/>
      </c>
      <c r="L3295" s="7">
        <f>IF(COUNTA(A3295,B3295)=0,"",IF(OR(A3295="",B3295=""),"Preencher CPF e entrada",IF(COUNTIFS($A$12:$A$5011,A3295,$B$12:$B$5011,B3295)&gt;1,"CPF + dia duplicado",IF(OR(AND(E3295&lt;&gt;"",E3295&lt;B3295),AND(F3295&lt;&gt;"",F3295&lt;B3295)),"Evento anterior à entrada",IF(AND(F3295&lt;&gt;"",E3295=""),"Conversa sem agendamento",IF(OR(E3295&gt;TODAY(),F3295&gt;TODAY()),"Verificar evento futuro","OK"))))))</f>
        <v/>
      </c>
    </row>
    <row r="3296" spans="9:12">
      <c r="I3296" s="5">
        <f>IF(OR(A3296="",B3296=""),"",B3296-WEEKDAY(B3296,2)+1)</f>
        <v/>
      </c>
      <c r="J3296" s="5">
        <f>IF(I3296="","",I3296+6)</f>
        <v/>
      </c>
      <c r="K3296" s="6">
        <f>IF(OR(A3296="",B3296=""),"",DATE(YEAR(B3296),MONTH(B3296),1))</f>
        <v/>
      </c>
      <c r="L3296" s="7">
        <f>IF(COUNTA(A3296,B3296)=0,"",IF(OR(A3296="",B3296=""),"Preencher CPF e entrada",IF(COUNTIFS($A$12:$A$5011,A3296,$B$12:$B$5011,B3296)&gt;1,"CPF + dia duplicado",IF(OR(AND(E3296&lt;&gt;"",E3296&lt;B3296),AND(F3296&lt;&gt;"",F3296&lt;B3296)),"Evento anterior à entrada",IF(AND(F3296&lt;&gt;"",E3296=""),"Conversa sem agendamento",IF(OR(E3296&gt;TODAY(),F3296&gt;TODAY()),"Verificar evento futuro","OK"))))))</f>
        <v/>
      </c>
    </row>
    <row r="3297" spans="9:12">
      <c r="I3297" s="5">
        <f>IF(OR(A3297="",B3297=""),"",B3297-WEEKDAY(B3297,2)+1)</f>
        <v/>
      </c>
      <c r="J3297" s="5">
        <f>IF(I3297="","",I3297+6)</f>
        <v/>
      </c>
      <c r="K3297" s="6">
        <f>IF(OR(A3297="",B3297=""),"",DATE(YEAR(B3297),MONTH(B3297),1))</f>
        <v/>
      </c>
      <c r="L3297" s="7">
        <f>IF(COUNTA(A3297,B3297)=0,"",IF(OR(A3297="",B3297=""),"Preencher CPF e entrada",IF(COUNTIFS($A$12:$A$5011,A3297,$B$12:$B$5011,B3297)&gt;1,"CPF + dia duplicado",IF(OR(AND(E3297&lt;&gt;"",E3297&lt;B3297),AND(F3297&lt;&gt;"",F3297&lt;B3297)),"Evento anterior à entrada",IF(AND(F3297&lt;&gt;"",E3297=""),"Conversa sem agendamento",IF(OR(E3297&gt;TODAY(),F3297&gt;TODAY()),"Verificar evento futuro","OK"))))))</f>
        <v/>
      </c>
    </row>
    <row r="3298" spans="9:12">
      <c r="I3298" s="5">
        <f>IF(OR(A3298="",B3298=""),"",B3298-WEEKDAY(B3298,2)+1)</f>
        <v/>
      </c>
      <c r="J3298" s="5">
        <f>IF(I3298="","",I3298+6)</f>
        <v/>
      </c>
      <c r="K3298" s="6">
        <f>IF(OR(A3298="",B3298=""),"",DATE(YEAR(B3298),MONTH(B3298),1))</f>
        <v/>
      </c>
      <c r="L3298" s="7">
        <f>IF(COUNTA(A3298,B3298)=0,"",IF(OR(A3298="",B3298=""),"Preencher CPF e entrada",IF(COUNTIFS($A$12:$A$5011,A3298,$B$12:$B$5011,B3298)&gt;1,"CPF + dia duplicado",IF(OR(AND(E3298&lt;&gt;"",E3298&lt;B3298),AND(F3298&lt;&gt;"",F3298&lt;B3298)),"Evento anterior à entrada",IF(AND(F3298&lt;&gt;"",E3298=""),"Conversa sem agendamento",IF(OR(E3298&gt;TODAY(),F3298&gt;TODAY()),"Verificar evento futuro","OK"))))))</f>
        <v/>
      </c>
    </row>
    <row r="3299" spans="9:12">
      <c r="I3299" s="5">
        <f>IF(OR(A3299="",B3299=""),"",B3299-WEEKDAY(B3299,2)+1)</f>
        <v/>
      </c>
      <c r="J3299" s="5">
        <f>IF(I3299="","",I3299+6)</f>
        <v/>
      </c>
      <c r="K3299" s="6">
        <f>IF(OR(A3299="",B3299=""),"",DATE(YEAR(B3299),MONTH(B3299),1))</f>
        <v/>
      </c>
      <c r="L3299" s="7">
        <f>IF(COUNTA(A3299,B3299)=0,"",IF(OR(A3299="",B3299=""),"Preencher CPF e entrada",IF(COUNTIFS($A$12:$A$5011,A3299,$B$12:$B$5011,B3299)&gt;1,"CPF + dia duplicado",IF(OR(AND(E3299&lt;&gt;"",E3299&lt;B3299),AND(F3299&lt;&gt;"",F3299&lt;B3299)),"Evento anterior à entrada",IF(AND(F3299&lt;&gt;"",E3299=""),"Conversa sem agendamento",IF(OR(E3299&gt;TODAY(),F3299&gt;TODAY()),"Verificar evento futuro","OK"))))))</f>
        <v/>
      </c>
    </row>
    <row r="3300" spans="9:12">
      <c r="I3300" s="5">
        <f>IF(OR(A3300="",B3300=""),"",B3300-WEEKDAY(B3300,2)+1)</f>
        <v/>
      </c>
      <c r="J3300" s="5">
        <f>IF(I3300="","",I3300+6)</f>
        <v/>
      </c>
      <c r="K3300" s="6">
        <f>IF(OR(A3300="",B3300=""),"",DATE(YEAR(B3300),MONTH(B3300),1))</f>
        <v/>
      </c>
      <c r="L3300" s="7">
        <f>IF(COUNTA(A3300,B3300)=0,"",IF(OR(A3300="",B3300=""),"Preencher CPF e entrada",IF(COUNTIFS($A$12:$A$5011,A3300,$B$12:$B$5011,B3300)&gt;1,"CPF + dia duplicado",IF(OR(AND(E3300&lt;&gt;"",E3300&lt;B3300),AND(F3300&lt;&gt;"",F3300&lt;B3300)),"Evento anterior à entrada",IF(AND(F3300&lt;&gt;"",E3300=""),"Conversa sem agendamento",IF(OR(E3300&gt;TODAY(),F3300&gt;TODAY()),"Verificar evento futuro","OK"))))))</f>
        <v/>
      </c>
    </row>
    <row r="3301" spans="9:12">
      <c r="I3301" s="5">
        <f>IF(OR(A3301="",B3301=""),"",B3301-WEEKDAY(B3301,2)+1)</f>
        <v/>
      </c>
      <c r="J3301" s="5">
        <f>IF(I3301="","",I3301+6)</f>
        <v/>
      </c>
      <c r="K3301" s="6">
        <f>IF(OR(A3301="",B3301=""),"",DATE(YEAR(B3301),MONTH(B3301),1))</f>
        <v/>
      </c>
      <c r="L3301" s="7">
        <f>IF(COUNTA(A3301,B3301)=0,"",IF(OR(A3301="",B3301=""),"Preencher CPF e entrada",IF(COUNTIFS($A$12:$A$5011,A3301,$B$12:$B$5011,B3301)&gt;1,"CPF + dia duplicado",IF(OR(AND(E3301&lt;&gt;"",E3301&lt;B3301),AND(F3301&lt;&gt;"",F3301&lt;B3301)),"Evento anterior à entrada",IF(AND(F3301&lt;&gt;"",E3301=""),"Conversa sem agendamento",IF(OR(E3301&gt;TODAY(),F3301&gt;TODAY()),"Verificar evento futuro","OK"))))))</f>
        <v/>
      </c>
    </row>
    <row r="3302" spans="9:12">
      <c r="I3302" s="5">
        <f>IF(OR(A3302="",B3302=""),"",B3302-WEEKDAY(B3302,2)+1)</f>
        <v/>
      </c>
      <c r="J3302" s="5">
        <f>IF(I3302="","",I3302+6)</f>
        <v/>
      </c>
      <c r="K3302" s="6">
        <f>IF(OR(A3302="",B3302=""),"",DATE(YEAR(B3302),MONTH(B3302),1))</f>
        <v/>
      </c>
      <c r="L3302" s="7">
        <f>IF(COUNTA(A3302,B3302)=0,"",IF(OR(A3302="",B3302=""),"Preencher CPF e entrada",IF(COUNTIFS($A$12:$A$5011,A3302,$B$12:$B$5011,B3302)&gt;1,"CPF + dia duplicado",IF(OR(AND(E3302&lt;&gt;"",E3302&lt;B3302),AND(F3302&lt;&gt;"",F3302&lt;B3302)),"Evento anterior à entrada",IF(AND(F3302&lt;&gt;"",E3302=""),"Conversa sem agendamento",IF(OR(E3302&gt;TODAY(),F3302&gt;TODAY()),"Verificar evento futuro","OK"))))))</f>
        <v/>
      </c>
    </row>
    <row r="3303" spans="9:12">
      <c r="I3303" s="5">
        <f>IF(OR(A3303="",B3303=""),"",B3303-WEEKDAY(B3303,2)+1)</f>
        <v/>
      </c>
      <c r="J3303" s="5">
        <f>IF(I3303="","",I3303+6)</f>
        <v/>
      </c>
      <c r="K3303" s="6">
        <f>IF(OR(A3303="",B3303=""),"",DATE(YEAR(B3303),MONTH(B3303),1))</f>
        <v/>
      </c>
      <c r="L3303" s="7">
        <f>IF(COUNTA(A3303,B3303)=0,"",IF(OR(A3303="",B3303=""),"Preencher CPF e entrada",IF(COUNTIFS($A$12:$A$5011,A3303,$B$12:$B$5011,B3303)&gt;1,"CPF + dia duplicado",IF(OR(AND(E3303&lt;&gt;"",E3303&lt;B3303),AND(F3303&lt;&gt;"",F3303&lt;B3303)),"Evento anterior à entrada",IF(AND(F3303&lt;&gt;"",E3303=""),"Conversa sem agendamento",IF(OR(E3303&gt;TODAY(),F3303&gt;TODAY()),"Verificar evento futuro","OK"))))))</f>
        <v/>
      </c>
    </row>
    <row r="3304" spans="9:12">
      <c r="I3304" s="5">
        <f>IF(OR(A3304="",B3304=""),"",B3304-WEEKDAY(B3304,2)+1)</f>
        <v/>
      </c>
      <c r="J3304" s="5">
        <f>IF(I3304="","",I3304+6)</f>
        <v/>
      </c>
      <c r="K3304" s="6">
        <f>IF(OR(A3304="",B3304=""),"",DATE(YEAR(B3304),MONTH(B3304),1))</f>
        <v/>
      </c>
      <c r="L3304" s="7">
        <f>IF(COUNTA(A3304,B3304)=0,"",IF(OR(A3304="",B3304=""),"Preencher CPF e entrada",IF(COUNTIFS($A$12:$A$5011,A3304,$B$12:$B$5011,B3304)&gt;1,"CPF + dia duplicado",IF(OR(AND(E3304&lt;&gt;"",E3304&lt;B3304),AND(F3304&lt;&gt;"",F3304&lt;B3304)),"Evento anterior à entrada",IF(AND(F3304&lt;&gt;"",E3304=""),"Conversa sem agendamento",IF(OR(E3304&gt;TODAY(),F3304&gt;TODAY()),"Verificar evento futuro","OK"))))))</f>
        <v/>
      </c>
    </row>
    <row r="3305" spans="9:12">
      <c r="I3305" s="5">
        <f>IF(OR(A3305="",B3305=""),"",B3305-WEEKDAY(B3305,2)+1)</f>
        <v/>
      </c>
      <c r="J3305" s="5">
        <f>IF(I3305="","",I3305+6)</f>
        <v/>
      </c>
      <c r="K3305" s="6">
        <f>IF(OR(A3305="",B3305=""),"",DATE(YEAR(B3305),MONTH(B3305),1))</f>
        <v/>
      </c>
      <c r="L3305" s="7">
        <f>IF(COUNTA(A3305,B3305)=0,"",IF(OR(A3305="",B3305=""),"Preencher CPF e entrada",IF(COUNTIFS($A$12:$A$5011,A3305,$B$12:$B$5011,B3305)&gt;1,"CPF + dia duplicado",IF(OR(AND(E3305&lt;&gt;"",E3305&lt;B3305),AND(F3305&lt;&gt;"",F3305&lt;B3305)),"Evento anterior à entrada",IF(AND(F3305&lt;&gt;"",E3305=""),"Conversa sem agendamento",IF(OR(E3305&gt;TODAY(),F3305&gt;TODAY()),"Verificar evento futuro","OK"))))))</f>
        <v/>
      </c>
    </row>
    <row r="3306" spans="9:12">
      <c r="I3306" s="5">
        <f>IF(OR(A3306="",B3306=""),"",B3306-WEEKDAY(B3306,2)+1)</f>
        <v/>
      </c>
      <c r="J3306" s="5">
        <f>IF(I3306="","",I3306+6)</f>
        <v/>
      </c>
      <c r="K3306" s="6">
        <f>IF(OR(A3306="",B3306=""),"",DATE(YEAR(B3306),MONTH(B3306),1))</f>
        <v/>
      </c>
      <c r="L3306" s="7">
        <f>IF(COUNTA(A3306,B3306)=0,"",IF(OR(A3306="",B3306=""),"Preencher CPF e entrada",IF(COUNTIFS($A$12:$A$5011,A3306,$B$12:$B$5011,B3306)&gt;1,"CPF + dia duplicado",IF(OR(AND(E3306&lt;&gt;"",E3306&lt;B3306),AND(F3306&lt;&gt;"",F3306&lt;B3306)),"Evento anterior à entrada",IF(AND(F3306&lt;&gt;"",E3306=""),"Conversa sem agendamento",IF(OR(E3306&gt;TODAY(),F3306&gt;TODAY()),"Verificar evento futuro","OK"))))))</f>
        <v/>
      </c>
    </row>
    <row r="3307" spans="9:12">
      <c r="I3307" s="5">
        <f>IF(OR(A3307="",B3307=""),"",B3307-WEEKDAY(B3307,2)+1)</f>
        <v/>
      </c>
      <c r="J3307" s="5">
        <f>IF(I3307="","",I3307+6)</f>
        <v/>
      </c>
      <c r="K3307" s="6">
        <f>IF(OR(A3307="",B3307=""),"",DATE(YEAR(B3307),MONTH(B3307),1))</f>
        <v/>
      </c>
      <c r="L3307" s="7">
        <f>IF(COUNTA(A3307,B3307)=0,"",IF(OR(A3307="",B3307=""),"Preencher CPF e entrada",IF(COUNTIFS($A$12:$A$5011,A3307,$B$12:$B$5011,B3307)&gt;1,"CPF + dia duplicado",IF(OR(AND(E3307&lt;&gt;"",E3307&lt;B3307),AND(F3307&lt;&gt;"",F3307&lt;B3307)),"Evento anterior à entrada",IF(AND(F3307&lt;&gt;"",E3307=""),"Conversa sem agendamento",IF(OR(E3307&gt;TODAY(),F3307&gt;TODAY()),"Verificar evento futuro","OK"))))))</f>
        <v/>
      </c>
    </row>
    <row r="3308" spans="9:12">
      <c r="I3308" s="5">
        <f>IF(OR(A3308="",B3308=""),"",B3308-WEEKDAY(B3308,2)+1)</f>
        <v/>
      </c>
      <c r="J3308" s="5">
        <f>IF(I3308="","",I3308+6)</f>
        <v/>
      </c>
      <c r="K3308" s="6">
        <f>IF(OR(A3308="",B3308=""),"",DATE(YEAR(B3308),MONTH(B3308),1))</f>
        <v/>
      </c>
      <c r="L3308" s="7">
        <f>IF(COUNTA(A3308,B3308)=0,"",IF(OR(A3308="",B3308=""),"Preencher CPF e entrada",IF(COUNTIFS($A$12:$A$5011,A3308,$B$12:$B$5011,B3308)&gt;1,"CPF + dia duplicado",IF(OR(AND(E3308&lt;&gt;"",E3308&lt;B3308),AND(F3308&lt;&gt;"",F3308&lt;B3308)),"Evento anterior à entrada",IF(AND(F3308&lt;&gt;"",E3308=""),"Conversa sem agendamento",IF(OR(E3308&gt;TODAY(),F3308&gt;TODAY()),"Verificar evento futuro","OK"))))))</f>
        <v/>
      </c>
    </row>
    <row r="3309" spans="9:12">
      <c r="I3309" s="5">
        <f>IF(OR(A3309="",B3309=""),"",B3309-WEEKDAY(B3309,2)+1)</f>
        <v/>
      </c>
      <c r="J3309" s="5">
        <f>IF(I3309="","",I3309+6)</f>
        <v/>
      </c>
      <c r="K3309" s="6">
        <f>IF(OR(A3309="",B3309=""),"",DATE(YEAR(B3309),MONTH(B3309),1))</f>
        <v/>
      </c>
      <c r="L3309" s="7">
        <f>IF(COUNTA(A3309,B3309)=0,"",IF(OR(A3309="",B3309=""),"Preencher CPF e entrada",IF(COUNTIFS($A$12:$A$5011,A3309,$B$12:$B$5011,B3309)&gt;1,"CPF + dia duplicado",IF(OR(AND(E3309&lt;&gt;"",E3309&lt;B3309),AND(F3309&lt;&gt;"",F3309&lt;B3309)),"Evento anterior à entrada",IF(AND(F3309&lt;&gt;"",E3309=""),"Conversa sem agendamento",IF(OR(E3309&gt;TODAY(),F3309&gt;TODAY()),"Verificar evento futuro","OK"))))))</f>
        <v/>
      </c>
    </row>
    <row r="3310" spans="9:12">
      <c r="I3310" s="5">
        <f>IF(OR(A3310="",B3310=""),"",B3310-WEEKDAY(B3310,2)+1)</f>
        <v/>
      </c>
      <c r="J3310" s="5">
        <f>IF(I3310="","",I3310+6)</f>
        <v/>
      </c>
      <c r="K3310" s="6">
        <f>IF(OR(A3310="",B3310=""),"",DATE(YEAR(B3310),MONTH(B3310),1))</f>
        <v/>
      </c>
      <c r="L3310" s="7">
        <f>IF(COUNTA(A3310,B3310)=0,"",IF(OR(A3310="",B3310=""),"Preencher CPF e entrada",IF(COUNTIFS($A$12:$A$5011,A3310,$B$12:$B$5011,B3310)&gt;1,"CPF + dia duplicado",IF(OR(AND(E3310&lt;&gt;"",E3310&lt;B3310),AND(F3310&lt;&gt;"",F3310&lt;B3310)),"Evento anterior à entrada",IF(AND(F3310&lt;&gt;"",E3310=""),"Conversa sem agendamento",IF(OR(E3310&gt;TODAY(),F3310&gt;TODAY()),"Verificar evento futuro","OK"))))))</f>
        <v/>
      </c>
    </row>
    <row r="3311" spans="9:12">
      <c r="I3311" s="5">
        <f>IF(OR(A3311="",B3311=""),"",B3311-WEEKDAY(B3311,2)+1)</f>
        <v/>
      </c>
      <c r="J3311" s="5">
        <f>IF(I3311="","",I3311+6)</f>
        <v/>
      </c>
      <c r="K3311" s="6">
        <f>IF(OR(A3311="",B3311=""),"",DATE(YEAR(B3311),MONTH(B3311),1))</f>
        <v/>
      </c>
      <c r="L3311" s="7">
        <f>IF(COUNTA(A3311,B3311)=0,"",IF(OR(A3311="",B3311=""),"Preencher CPF e entrada",IF(COUNTIFS($A$12:$A$5011,A3311,$B$12:$B$5011,B3311)&gt;1,"CPF + dia duplicado",IF(OR(AND(E3311&lt;&gt;"",E3311&lt;B3311),AND(F3311&lt;&gt;"",F3311&lt;B3311)),"Evento anterior à entrada",IF(AND(F3311&lt;&gt;"",E3311=""),"Conversa sem agendamento",IF(OR(E3311&gt;TODAY(),F3311&gt;TODAY()),"Verificar evento futuro","OK"))))))</f>
        <v/>
      </c>
    </row>
    <row r="3312" spans="9:12">
      <c r="I3312" s="5">
        <f>IF(OR(A3312="",B3312=""),"",B3312-WEEKDAY(B3312,2)+1)</f>
        <v/>
      </c>
      <c r="J3312" s="5">
        <f>IF(I3312="","",I3312+6)</f>
        <v/>
      </c>
      <c r="K3312" s="6">
        <f>IF(OR(A3312="",B3312=""),"",DATE(YEAR(B3312),MONTH(B3312),1))</f>
        <v/>
      </c>
      <c r="L3312" s="7">
        <f>IF(COUNTA(A3312,B3312)=0,"",IF(OR(A3312="",B3312=""),"Preencher CPF e entrada",IF(COUNTIFS($A$12:$A$5011,A3312,$B$12:$B$5011,B3312)&gt;1,"CPF + dia duplicado",IF(OR(AND(E3312&lt;&gt;"",E3312&lt;B3312),AND(F3312&lt;&gt;"",F3312&lt;B3312)),"Evento anterior à entrada",IF(AND(F3312&lt;&gt;"",E3312=""),"Conversa sem agendamento",IF(OR(E3312&gt;TODAY(),F3312&gt;TODAY()),"Verificar evento futuro","OK"))))))</f>
        <v/>
      </c>
    </row>
    <row r="3313" spans="9:12">
      <c r="I3313" s="5">
        <f>IF(OR(A3313="",B3313=""),"",B3313-WEEKDAY(B3313,2)+1)</f>
        <v/>
      </c>
      <c r="J3313" s="5">
        <f>IF(I3313="","",I3313+6)</f>
        <v/>
      </c>
      <c r="K3313" s="6">
        <f>IF(OR(A3313="",B3313=""),"",DATE(YEAR(B3313),MONTH(B3313),1))</f>
        <v/>
      </c>
      <c r="L3313" s="7">
        <f>IF(COUNTA(A3313,B3313)=0,"",IF(OR(A3313="",B3313=""),"Preencher CPF e entrada",IF(COUNTIFS($A$12:$A$5011,A3313,$B$12:$B$5011,B3313)&gt;1,"CPF + dia duplicado",IF(OR(AND(E3313&lt;&gt;"",E3313&lt;B3313),AND(F3313&lt;&gt;"",F3313&lt;B3313)),"Evento anterior à entrada",IF(AND(F3313&lt;&gt;"",E3313=""),"Conversa sem agendamento",IF(OR(E3313&gt;TODAY(),F3313&gt;TODAY()),"Verificar evento futuro","OK"))))))</f>
        <v/>
      </c>
    </row>
    <row r="3314" spans="9:12">
      <c r="I3314" s="5">
        <f>IF(OR(A3314="",B3314=""),"",B3314-WEEKDAY(B3314,2)+1)</f>
        <v/>
      </c>
      <c r="J3314" s="5">
        <f>IF(I3314="","",I3314+6)</f>
        <v/>
      </c>
      <c r="K3314" s="6">
        <f>IF(OR(A3314="",B3314=""),"",DATE(YEAR(B3314),MONTH(B3314),1))</f>
        <v/>
      </c>
      <c r="L3314" s="7">
        <f>IF(COUNTA(A3314,B3314)=0,"",IF(OR(A3314="",B3314=""),"Preencher CPF e entrada",IF(COUNTIFS($A$12:$A$5011,A3314,$B$12:$B$5011,B3314)&gt;1,"CPF + dia duplicado",IF(OR(AND(E3314&lt;&gt;"",E3314&lt;B3314),AND(F3314&lt;&gt;"",F3314&lt;B3314)),"Evento anterior à entrada",IF(AND(F3314&lt;&gt;"",E3314=""),"Conversa sem agendamento",IF(OR(E3314&gt;TODAY(),F3314&gt;TODAY()),"Verificar evento futuro","OK"))))))</f>
        <v/>
      </c>
    </row>
    <row r="3315" spans="9:12">
      <c r="I3315" s="5">
        <f>IF(OR(A3315="",B3315=""),"",B3315-WEEKDAY(B3315,2)+1)</f>
        <v/>
      </c>
      <c r="J3315" s="5">
        <f>IF(I3315="","",I3315+6)</f>
        <v/>
      </c>
      <c r="K3315" s="6">
        <f>IF(OR(A3315="",B3315=""),"",DATE(YEAR(B3315),MONTH(B3315),1))</f>
        <v/>
      </c>
      <c r="L3315" s="7">
        <f>IF(COUNTA(A3315,B3315)=0,"",IF(OR(A3315="",B3315=""),"Preencher CPF e entrada",IF(COUNTIFS($A$12:$A$5011,A3315,$B$12:$B$5011,B3315)&gt;1,"CPF + dia duplicado",IF(OR(AND(E3315&lt;&gt;"",E3315&lt;B3315),AND(F3315&lt;&gt;"",F3315&lt;B3315)),"Evento anterior à entrada",IF(AND(F3315&lt;&gt;"",E3315=""),"Conversa sem agendamento",IF(OR(E3315&gt;TODAY(),F3315&gt;TODAY()),"Verificar evento futuro","OK"))))))</f>
        <v/>
      </c>
    </row>
    <row r="3316" spans="9:12">
      <c r="I3316" s="5">
        <f>IF(OR(A3316="",B3316=""),"",B3316-WEEKDAY(B3316,2)+1)</f>
        <v/>
      </c>
      <c r="J3316" s="5">
        <f>IF(I3316="","",I3316+6)</f>
        <v/>
      </c>
      <c r="K3316" s="6">
        <f>IF(OR(A3316="",B3316=""),"",DATE(YEAR(B3316),MONTH(B3316),1))</f>
        <v/>
      </c>
      <c r="L3316" s="7">
        <f>IF(COUNTA(A3316,B3316)=0,"",IF(OR(A3316="",B3316=""),"Preencher CPF e entrada",IF(COUNTIFS($A$12:$A$5011,A3316,$B$12:$B$5011,B3316)&gt;1,"CPF + dia duplicado",IF(OR(AND(E3316&lt;&gt;"",E3316&lt;B3316),AND(F3316&lt;&gt;"",F3316&lt;B3316)),"Evento anterior à entrada",IF(AND(F3316&lt;&gt;"",E3316=""),"Conversa sem agendamento",IF(OR(E3316&gt;TODAY(),F3316&gt;TODAY()),"Verificar evento futuro","OK"))))))</f>
        <v/>
      </c>
    </row>
    <row r="3317" spans="9:12">
      <c r="I3317" s="5">
        <f>IF(OR(A3317="",B3317=""),"",B3317-WEEKDAY(B3317,2)+1)</f>
        <v/>
      </c>
      <c r="J3317" s="5">
        <f>IF(I3317="","",I3317+6)</f>
        <v/>
      </c>
      <c r="K3317" s="6">
        <f>IF(OR(A3317="",B3317=""),"",DATE(YEAR(B3317),MONTH(B3317),1))</f>
        <v/>
      </c>
      <c r="L3317" s="7">
        <f>IF(COUNTA(A3317,B3317)=0,"",IF(OR(A3317="",B3317=""),"Preencher CPF e entrada",IF(COUNTIFS($A$12:$A$5011,A3317,$B$12:$B$5011,B3317)&gt;1,"CPF + dia duplicado",IF(OR(AND(E3317&lt;&gt;"",E3317&lt;B3317),AND(F3317&lt;&gt;"",F3317&lt;B3317)),"Evento anterior à entrada",IF(AND(F3317&lt;&gt;"",E3317=""),"Conversa sem agendamento",IF(OR(E3317&gt;TODAY(),F3317&gt;TODAY()),"Verificar evento futuro","OK"))))))</f>
        <v/>
      </c>
    </row>
    <row r="3318" spans="9:12">
      <c r="I3318" s="5">
        <f>IF(OR(A3318="",B3318=""),"",B3318-WEEKDAY(B3318,2)+1)</f>
        <v/>
      </c>
      <c r="J3318" s="5">
        <f>IF(I3318="","",I3318+6)</f>
        <v/>
      </c>
      <c r="K3318" s="6">
        <f>IF(OR(A3318="",B3318=""),"",DATE(YEAR(B3318),MONTH(B3318),1))</f>
        <v/>
      </c>
      <c r="L3318" s="7">
        <f>IF(COUNTA(A3318,B3318)=0,"",IF(OR(A3318="",B3318=""),"Preencher CPF e entrada",IF(COUNTIFS($A$12:$A$5011,A3318,$B$12:$B$5011,B3318)&gt;1,"CPF + dia duplicado",IF(OR(AND(E3318&lt;&gt;"",E3318&lt;B3318),AND(F3318&lt;&gt;"",F3318&lt;B3318)),"Evento anterior à entrada",IF(AND(F3318&lt;&gt;"",E3318=""),"Conversa sem agendamento",IF(OR(E3318&gt;TODAY(),F3318&gt;TODAY()),"Verificar evento futuro","OK"))))))</f>
        <v/>
      </c>
    </row>
    <row r="3319" spans="9:12">
      <c r="I3319" s="5">
        <f>IF(OR(A3319="",B3319=""),"",B3319-WEEKDAY(B3319,2)+1)</f>
        <v/>
      </c>
      <c r="J3319" s="5">
        <f>IF(I3319="","",I3319+6)</f>
        <v/>
      </c>
      <c r="K3319" s="6">
        <f>IF(OR(A3319="",B3319=""),"",DATE(YEAR(B3319),MONTH(B3319),1))</f>
        <v/>
      </c>
      <c r="L3319" s="7">
        <f>IF(COUNTA(A3319,B3319)=0,"",IF(OR(A3319="",B3319=""),"Preencher CPF e entrada",IF(COUNTIFS($A$12:$A$5011,A3319,$B$12:$B$5011,B3319)&gt;1,"CPF + dia duplicado",IF(OR(AND(E3319&lt;&gt;"",E3319&lt;B3319),AND(F3319&lt;&gt;"",F3319&lt;B3319)),"Evento anterior à entrada",IF(AND(F3319&lt;&gt;"",E3319=""),"Conversa sem agendamento",IF(OR(E3319&gt;TODAY(),F3319&gt;TODAY()),"Verificar evento futuro","OK"))))))</f>
        <v/>
      </c>
    </row>
    <row r="3320" spans="9:12">
      <c r="I3320" s="5">
        <f>IF(OR(A3320="",B3320=""),"",B3320-WEEKDAY(B3320,2)+1)</f>
        <v/>
      </c>
      <c r="J3320" s="5">
        <f>IF(I3320="","",I3320+6)</f>
        <v/>
      </c>
      <c r="K3320" s="6">
        <f>IF(OR(A3320="",B3320=""),"",DATE(YEAR(B3320),MONTH(B3320),1))</f>
        <v/>
      </c>
      <c r="L3320" s="7">
        <f>IF(COUNTA(A3320,B3320)=0,"",IF(OR(A3320="",B3320=""),"Preencher CPF e entrada",IF(COUNTIFS($A$12:$A$5011,A3320,$B$12:$B$5011,B3320)&gt;1,"CPF + dia duplicado",IF(OR(AND(E3320&lt;&gt;"",E3320&lt;B3320),AND(F3320&lt;&gt;"",F3320&lt;B3320)),"Evento anterior à entrada",IF(AND(F3320&lt;&gt;"",E3320=""),"Conversa sem agendamento",IF(OR(E3320&gt;TODAY(),F3320&gt;TODAY()),"Verificar evento futuro","OK"))))))</f>
        <v/>
      </c>
    </row>
    <row r="3321" spans="9:12">
      <c r="I3321" s="5">
        <f>IF(OR(A3321="",B3321=""),"",B3321-WEEKDAY(B3321,2)+1)</f>
        <v/>
      </c>
      <c r="J3321" s="5">
        <f>IF(I3321="","",I3321+6)</f>
        <v/>
      </c>
      <c r="K3321" s="6">
        <f>IF(OR(A3321="",B3321=""),"",DATE(YEAR(B3321),MONTH(B3321),1))</f>
        <v/>
      </c>
      <c r="L3321" s="7">
        <f>IF(COUNTA(A3321,B3321)=0,"",IF(OR(A3321="",B3321=""),"Preencher CPF e entrada",IF(COUNTIFS($A$12:$A$5011,A3321,$B$12:$B$5011,B3321)&gt;1,"CPF + dia duplicado",IF(OR(AND(E3321&lt;&gt;"",E3321&lt;B3321),AND(F3321&lt;&gt;"",F3321&lt;B3321)),"Evento anterior à entrada",IF(AND(F3321&lt;&gt;"",E3321=""),"Conversa sem agendamento",IF(OR(E3321&gt;TODAY(),F3321&gt;TODAY()),"Verificar evento futuro","OK"))))))</f>
        <v/>
      </c>
    </row>
    <row r="3322" spans="9:12">
      <c r="I3322" s="5">
        <f>IF(OR(A3322="",B3322=""),"",B3322-WEEKDAY(B3322,2)+1)</f>
        <v/>
      </c>
      <c r="J3322" s="5">
        <f>IF(I3322="","",I3322+6)</f>
        <v/>
      </c>
      <c r="K3322" s="6">
        <f>IF(OR(A3322="",B3322=""),"",DATE(YEAR(B3322),MONTH(B3322),1))</f>
        <v/>
      </c>
      <c r="L3322" s="7">
        <f>IF(COUNTA(A3322,B3322)=0,"",IF(OR(A3322="",B3322=""),"Preencher CPF e entrada",IF(COUNTIFS($A$12:$A$5011,A3322,$B$12:$B$5011,B3322)&gt;1,"CPF + dia duplicado",IF(OR(AND(E3322&lt;&gt;"",E3322&lt;B3322),AND(F3322&lt;&gt;"",F3322&lt;B3322)),"Evento anterior à entrada",IF(AND(F3322&lt;&gt;"",E3322=""),"Conversa sem agendamento",IF(OR(E3322&gt;TODAY(),F3322&gt;TODAY()),"Verificar evento futuro","OK"))))))</f>
        <v/>
      </c>
    </row>
    <row r="3323" spans="9:12">
      <c r="I3323" s="5">
        <f>IF(OR(A3323="",B3323=""),"",B3323-WEEKDAY(B3323,2)+1)</f>
        <v/>
      </c>
      <c r="J3323" s="5">
        <f>IF(I3323="","",I3323+6)</f>
        <v/>
      </c>
      <c r="K3323" s="6">
        <f>IF(OR(A3323="",B3323=""),"",DATE(YEAR(B3323),MONTH(B3323),1))</f>
        <v/>
      </c>
      <c r="L3323" s="7">
        <f>IF(COUNTA(A3323,B3323)=0,"",IF(OR(A3323="",B3323=""),"Preencher CPF e entrada",IF(COUNTIFS($A$12:$A$5011,A3323,$B$12:$B$5011,B3323)&gt;1,"CPF + dia duplicado",IF(OR(AND(E3323&lt;&gt;"",E3323&lt;B3323),AND(F3323&lt;&gt;"",F3323&lt;B3323)),"Evento anterior à entrada",IF(AND(F3323&lt;&gt;"",E3323=""),"Conversa sem agendamento",IF(OR(E3323&gt;TODAY(),F3323&gt;TODAY()),"Verificar evento futuro","OK"))))))</f>
        <v/>
      </c>
    </row>
    <row r="3324" spans="9:12">
      <c r="I3324" s="5">
        <f>IF(OR(A3324="",B3324=""),"",B3324-WEEKDAY(B3324,2)+1)</f>
        <v/>
      </c>
      <c r="J3324" s="5">
        <f>IF(I3324="","",I3324+6)</f>
        <v/>
      </c>
      <c r="K3324" s="6">
        <f>IF(OR(A3324="",B3324=""),"",DATE(YEAR(B3324),MONTH(B3324),1))</f>
        <v/>
      </c>
      <c r="L3324" s="7">
        <f>IF(COUNTA(A3324,B3324)=0,"",IF(OR(A3324="",B3324=""),"Preencher CPF e entrada",IF(COUNTIFS($A$12:$A$5011,A3324,$B$12:$B$5011,B3324)&gt;1,"CPF + dia duplicado",IF(OR(AND(E3324&lt;&gt;"",E3324&lt;B3324),AND(F3324&lt;&gt;"",F3324&lt;B3324)),"Evento anterior à entrada",IF(AND(F3324&lt;&gt;"",E3324=""),"Conversa sem agendamento",IF(OR(E3324&gt;TODAY(),F3324&gt;TODAY()),"Verificar evento futuro","OK"))))))</f>
        <v/>
      </c>
    </row>
    <row r="3325" spans="9:12">
      <c r="I3325" s="5">
        <f>IF(OR(A3325="",B3325=""),"",B3325-WEEKDAY(B3325,2)+1)</f>
        <v/>
      </c>
      <c r="J3325" s="5">
        <f>IF(I3325="","",I3325+6)</f>
        <v/>
      </c>
      <c r="K3325" s="6">
        <f>IF(OR(A3325="",B3325=""),"",DATE(YEAR(B3325),MONTH(B3325),1))</f>
        <v/>
      </c>
      <c r="L3325" s="7">
        <f>IF(COUNTA(A3325,B3325)=0,"",IF(OR(A3325="",B3325=""),"Preencher CPF e entrada",IF(COUNTIFS($A$12:$A$5011,A3325,$B$12:$B$5011,B3325)&gt;1,"CPF + dia duplicado",IF(OR(AND(E3325&lt;&gt;"",E3325&lt;B3325),AND(F3325&lt;&gt;"",F3325&lt;B3325)),"Evento anterior à entrada",IF(AND(F3325&lt;&gt;"",E3325=""),"Conversa sem agendamento",IF(OR(E3325&gt;TODAY(),F3325&gt;TODAY()),"Verificar evento futuro","OK"))))))</f>
        <v/>
      </c>
    </row>
    <row r="3326" spans="9:12">
      <c r="I3326" s="5">
        <f>IF(OR(A3326="",B3326=""),"",B3326-WEEKDAY(B3326,2)+1)</f>
        <v/>
      </c>
      <c r="J3326" s="5">
        <f>IF(I3326="","",I3326+6)</f>
        <v/>
      </c>
      <c r="K3326" s="6">
        <f>IF(OR(A3326="",B3326=""),"",DATE(YEAR(B3326),MONTH(B3326),1))</f>
        <v/>
      </c>
      <c r="L3326" s="7">
        <f>IF(COUNTA(A3326,B3326)=0,"",IF(OR(A3326="",B3326=""),"Preencher CPF e entrada",IF(COUNTIFS($A$12:$A$5011,A3326,$B$12:$B$5011,B3326)&gt;1,"CPF + dia duplicado",IF(OR(AND(E3326&lt;&gt;"",E3326&lt;B3326),AND(F3326&lt;&gt;"",F3326&lt;B3326)),"Evento anterior à entrada",IF(AND(F3326&lt;&gt;"",E3326=""),"Conversa sem agendamento",IF(OR(E3326&gt;TODAY(),F3326&gt;TODAY()),"Verificar evento futuro","OK"))))))</f>
        <v/>
      </c>
    </row>
    <row r="3327" spans="9:12">
      <c r="I3327" s="5">
        <f>IF(OR(A3327="",B3327=""),"",B3327-WEEKDAY(B3327,2)+1)</f>
        <v/>
      </c>
      <c r="J3327" s="5">
        <f>IF(I3327="","",I3327+6)</f>
        <v/>
      </c>
      <c r="K3327" s="6">
        <f>IF(OR(A3327="",B3327=""),"",DATE(YEAR(B3327),MONTH(B3327),1))</f>
        <v/>
      </c>
      <c r="L3327" s="7">
        <f>IF(COUNTA(A3327,B3327)=0,"",IF(OR(A3327="",B3327=""),"Preencher CPF e entrada",IF(COUNTIFS($A$12:$A$5011,A3327,$B$12:$B$5011,B3327)&gt;1,"CPF + dia duplicado",IF(OR(AND(E3327&lt;&gt;"",E3327&lt;B3327),AND(F3327&lt;&gt;"",F3327&lt;B3327)),"Evento anterior à entrada",IF(AND(F3327&lt;&gt;"",E3327=""),"Conversa sem agendamento",IF(OR(E3327&gt;TODAY(),F3327&gt;TODAY()),"Verificar evento futuro","OK"))))))</f>
        <v/>
      </c>
    </row>
    <row r="3328" spans="9:12">
      <c r="I3328" s="5">
        <f>IF(OR(A3328="",B3328=""),"",B3328-WEEKDAY(B3328,2)+1)</f>
        <v/>
      </c>
      <c r="J3328" s="5">
        <f>IF(I3328="","",I3328+6)</f>
        <v/>
      </c>
      <c r="K3328" s="6">
        <f>IF(OR(A3328="",B3328=""),"",DATE(YEAR(B3328),MONTH(B3328),1))</f>
        <v/>
      </c>
      <c r="L3328" s="7">
        <f>IF(COUNTA(A3328,B3328)=0,"",IF(OR(A3328="",B3328=""),"Preencher CPF e entrada",IF(COUNTIFS($A$12:$A$5011,A3328,$B$12:$B$5011,B3328)&gt;1,"CPF + dia duplicado",IF(OR(AND(E3328&lt;&gt;"",E3328&lt;B3328),AND(F3328&lt;&gt;"",F3328&lt;B3328)),"Evento anterior à entrada",IF(AND(F3328&lt;&gt;"",E3328=""),"Conversa sem agendamento",IF(OR(E3328&gt;TODAY(),F3328&gt;TODAY()),"Verificar evento futuro","OK"))))))</f>
        <v/>
      </c>
    </row>
    <row r="3329" spans="9:12">
      <c r="I3329" s="5">
        <f>IF(OR(A3329="",B3329=""),"",B3329-WEEKDAY(B3329,2)+1)</f>
        <v/>
      </c>
      <c r="J3329" s="5">
        <f>IF(I3329="","",I3329+6)</f>
        <v/>
      </c>
      <c r="K3329" s="6">
        <f>IF(OR(A3329="",B3329=""),"",DATE(YEAR(B3329),MONTH(B3329),1))</f>
        <v/>
      </c>
      <c r="L3329" s="7">
        <f>IF(COUNTA(A3329,B3329)=0,"",IF(OR(A3329="",B3329=""),"Preencher CPF e entrada",IF(COUNTIFS($A$12:$A$5011,A3329,$B$12:$B$5011,B3329)&gt;1,"CPF + dia duplicado",IF(OR(AND(E3329&lt;&gt;"",E3329&lt;B3329),AND(F3329&lt;&gt;"",F3329&lt;B3329)),"Evento anterior à entrada",IF(AND(F3329&lt;&gt;"",E3329=""),"Conversa sem agendamento",IF(OR(E3329&gt;TODAY(),F3329&gt;TODAY()),"Verificar evento futuro","OK"))))))</f>
        <v/>
      </c>
    </row>
    <row r="3330" spans="9:12">
      <c r="I3330" s="5">
        <f>IF(OR(A3330="",B3330=""),"",B3330-WEEKDAY(B3330,2)+1)</f>
        <v/>
      </c>
      <c r="J3330" s="5">
        <f>IF(I3330="","",I3330+6)</f>
        <v/>
      </c>
      <c r="K3330" s="6">
        <f>IF(OR(A3330="",B3330=""),"",DATE(YEAR(B3330),MONTH(B3330),1))</f>
        <v/>
      </c>
      <c r="L3330" s="7">
        <f>IF(COUNTA(A3330,B3330)=0,"",IF(OR(A3330="",B3330=""),"Preencher CPF e entrada",IF(COUNTIFS($A$12:$A$5011,A3330,$B$12:$B$5011,B3330)&gt;1,"CPF + dia duplicado",IF(OR(AND(E3330&lt;&gt;"",E3330&lt;B3330),AND(F3330&lt;&gt;"",F3330&lt;B3330)),"Evento anterior à entrada",IF(AND(F3330&lt;&gt;"",E3330=""),"Conversa sem agendamento",IF(OR(E3330&gt;TODAY(),F3330&gt;TODAY()),"Verificar evento futuro","OK"))))))</f>
        <v/>
      </c>
    </row>
    <row r="3331" spans="9:12">
      <c r="I3331" s="5">
        <f>IF(OR(A3331="",B3331=""),"",B3331-WEEKDAY(B3331,2)+1)</f>
        <v/>
      </c>
      <c r="J3331" s="5">
        <f>IF(I3331="","",I3331+6)</f>
        <v/>
      </c>
      <c r="K3331" s="6">
        <f>IF(OR(A3331="",B3331=""),"",DATE(YEAR(B3331),MONTH(B3331),1))</f>
        <v/>
      </c>
      <c r="L3331" s="7">
        <f>IF(COUNTA(A3331,B3331)=0,"",IF(OR(A3331="",B3331=""),"Preencher CPF e entrada",IF(COUNTIFS($A$12:$A$5011,A3331,$B$12:$B$5011,B3331)&gt;1,"CPF + dia duplicado",IF(OR(AND(E3331&lt;&gt;"",E3331&lt;B3331),AND(F3331&lt;&gt;"",F3331&lt;B3331)),"Evento anterior à entrada",IF(AND(F3331&lt;&gt;"",E3331=""),"Conversa sem agendamento",IF(OR(E3331&gt;TODAY(),F3331&gt;TODAY()),"Verificar evento futuro","OK"))))))</f>
        <v/>
      </c>
    </row>
    <row r="3332" spans="9:12">
      <c r="I3332" s="5">
        <f>IF(OR(A3332="",B3332=""),"",B3332-WEEKDAY(B3332,2)+1)</f>
        <v/>
      </c>
      <c r="J3332" s="5">
        <f>IF(I3332="","",I3332+6)</f>
        <v/>
      </c>
      <c r="K3332" s="6">
        <f>IF(OR(A3332="",B3332=""),"",DATE(YEAR(B3332),MONTH(B3332),1))</f>
        <v/>
      </c>
      <c r="L3332" s="7">
        <f>IF(COUNTA(A3332,B3332)=0,"",IF(OR(A3332="",B3332=""),"Preencher CPF e entrada",IF(COUNTIFS($A$12:$A$5011,A3332,$B$12:$B$5011,B3332)&gt;1,"CPF + dia duplicado",IF(OR(AND(E3332&lt;&gt;"",E3332&lt;B3332),AND(F3332&lt;&gt;"",F3332&lt;B3332)),"Evento anterior à entrada",IF(AND(F3332&lt;&gt;"",E3332=""),"Conversa sem agendamento",IF(OR(E3332&gt;TODAY(),F3332&gt;TODAY()),"Verificar evento futuro","OK"))))))</f>
        <v/>
      </c>
    </row>
    <row r="3333" spans="9:12">
      <c r="I3333" s="5">
        <f>IF(OR(A3333="",B3333=""),"",B3333-WEEKDAY(B3333,2)+1)</f>
        <v/>
      </c>
      <c r="J3333" s="5">
        <f>IF(I3333="","",I3333+6)</f>
        <v/>
      </c>
      <c r="K3333" s="6">
        <f>IF(OR(A3333="",B3333=""),"",DATE(YEAR(B3333),MONTH(B3333),1))</f>
        <v/>
      </c>
      <c r="L3333" s="7">
        <f>IF(COUNTA(A3333,B3333)=0,"",IF(OR(A3333="",B3333=""),"Preencher CPF e entrada",IF(COUNTIFS($A$12:$A$5011,A3333,$B$12:$B$5011,B3333)&gt;1,"CPF + dia duplicado",IF(OR(AND(E3333&lt;&gt;"",E3333&lt;B3333),AND(F3333&lt;&gt;"",F3333&lt;B3333)),"Evento anterior à entrada",IF(AND(F3333&lt;&gt;"",E3333=""),"Conversa sem agendamento",IF(OR(E3333&gt;TODAY(),F3333&gt;TODAY()),"Verificar evento futuro","OK"))))))</f>
        <v/>
      </c>
    </row>
    <row r="3334" spans="9:12">
      <c r="I3334" s="5">
        <f>IF(OR(A3334="",B3334=""),"",B3334-WEEKDAY(B3334,2)+1)</f>
        <v/>
      </c>
      <c r="J3334" s="5">
        <f>IF(I3334="","",I3334+6)</f>
        <v/>
      </c>
      <c r="K3334" s="6">
        <f>IF(OR(A3334="",B3334=""),"",DATE(YEAR(B3334),MONTH(B3334),1))</f>
        <v/>
      </c>
      <c r="L3334" s="7">
        <f>IF(COUNTA(A3334,B3334)=0,"",IF(OR(A3334="",B3334=""),"Preencher CPF e entrada",IF(COUNTIFS($A$12:$A$5011,A3334,$B$12:$B$5011,B3334)&gt;1,"CPF + dia duplicado",IF(OR(AND(E3334&lt;&gt;"",E3334&lt;B3334),AND(F3334&lt;&gt;"",F3334&lt;B3334)),"Evento anterior à entrada",IF(AND(F3334&lt;&gt;"",E3334=""),"Conversa sem agendamento",IF(OR(E3334&gt;TODAY(),F3334&gt;TODAY()),"Verificar evento futuro","OK"))))))</f>
        <v/>
      </c>
    </row>
    <row r="3335" spans="9:12">
      <c r="I3335" s="5">
        <f>IF(OR(A3335="",B3335=""),"",B3335-WEEKDAY(B3335,2)+1)</f>
        <v/>
      </c>
      <c r="J3335" s="5">
        <f>IF(I3335="","",I3335+6)</f>
        <v/>
      </c>
      <c r="K3335" s="6">
        <f>IF(OR(A3335="",B3335=""),"",DATE(YEAR(B3335),MONTH(B3335),1))</f>
        <v/>
      </c>
      <c r="L3335" s="7">
        <f>IF(COUNTA(A3335,B3335)=0,"",IF(OR(A3335="",B3335=""),"Preencher CPF e entrada",IF(COUNTIFS($A$12:$A$5011,A3335,$B$12:$B$5011,B3335)&gt;1,"CPF + dia duplicado",IF(OR(AND(E3335&lt;&gt;"",E3335&lt;B3335),AND(F3335&lt;&gt;"",F3335&lt;B3335)),"Evento anterior à entrada",IF(AND(F3335&lt;&gt;"",E3335=""),"Conversa sem agendamento",IF(OR(E3335&gt;TODAY(),F3335&gt;TODAY()),"Verificar evento futuro","OK"))))))</f>
        <v/>
      </c>
    </row>
    <row r="3336" spans="9:12">
      <c r="I3336" s="5">
        <f>IF(OR(A3336="",B3336=""),"",B3336-WEEKDAY(B3336,2)+1)</f>
        <v/>
      </c>
      <c r="J3336" s="5">
        <f>IF(I3336="","",I3336+6)</f>
        <v/>
      </c>
      <c r="K3336" s="6">
        <f>IF(OR(A3336="",B3336=""),"",DATE(YEAR(B3336),MONTH(B3336),1))</f>
        <v/>
      </c>
      <c r="L3336" s="7">
        <f>IF(COUNTA(A3336,B3336)=0,"",IF(OR(A3336="",B3336=""),"Preencher CPF e entrada",IF(COUNTIFS($A$12:$A$5011,A3336,$B$12:$B$5011,B3336)&gt;1,"CPF + dia duplicado",IF(OR(AND(E3336&lt;&gt;"",E3336&lt;B3336),AND(F3336&lt;&gt;"",F3336&lt;B3336)),"Evento anterior à entrada",IF(AND(F3336&lt;&gt;"",E3336=""),"Conversa sem agendamento",IF(OR(E3336&gt;TODAY(),F3336&gt;TODAY()),"Verificar evento futuro","OK"))))))</f>
        <v/>
      </c>
    </row>
    <row r="3337" spans="9:12">
      <c r="I3337" s="5">
        <f>IF(OR(A3337="",B3337=""),"",B3337-WEEKDAY(B3337,2)+1)</f>
        <v/>
      </c>
      <c r="J3337" s="5">
        <f>IF(I3337="","",I3337+6)</f>
        <v/>
      </c>
      <c r="K3337" s="6">
        <f>IF(OR(A3337="",B3337=""),"",DATE(YEAR(B3337),MONTH(B3337),1))</f>
        <v/>
      </c>
      <c r="L3337" s="7">
        <f>IF(COUNTA(A3337,B3337)=0,"",IF(OR(A3337="",B3337=""),"Preencher CPF e entrada",IF(COUNTIFS($A$12:$A$5011,A3337,$B$12:$B$5011,B3337)&gt;1,"CPF + dia duplicado",IF(OR(AND(E3337&lt;&gt;"",E3337&lt;B3337),AND(F3337&lt;&gt;"",F3337&lt;B3337)),"Evento anterior à entrada",IF(AND(F3337&lt;&gt;"",E3337=""),"Conversa sem agendamento",IF(OR(E3337&gt;TODAY(),F3337&gt;TODAY()),"Verificar evento futuro","OK"))))))</f>
        <v/>
      </c>
    </row>
    <row r="3338" spans="9:12">
      <c r="I3338" s="5">
        <f>IF(OR(A3338="",B3338=""),"",B3338-WEEKDAY(B3338,2)+1)</f>
        <v/>
      </c>
      <c r="J3338" s="5">
        <f>IF(I3338="","",I3338+6)</f>
        <v/>
      </c>
      <c r="K3338" s="6">
        <f>IF(OR(A3338="",B3338=""),"",DATE(YEAR(B3338),MONTH(B3338),1))</f>
        <v/>
      </c>
      <c r="L3338" s="7">
        <f>IF(COUNTA(A3338,B3338)=0,"",IF(OR(A3338="",B3338=""),"Preencher CPF e entrada",IF(COUNTIFS($A$12:$A$5011,A3338,$B$12:$B$5011,B3338)&gt;1,"CPF + dia duplicado",IF(OR(AND(E3338&lt;&gt;"",E3338&lt;B3338),AND(F3338&lt;&gt;"",F3338&lt;B3338)),"Evento anterior à entrada",IF(AND(F3338&lt;&gt;"",E3338=""),"Conversa sem agendamento",IF(OR(E3338&gt;TODAY(),F3338&gt;TODAY()),"Verificar evento futuro","OK"))))))</f>
        <v/>
      </c>
    </row>
    <row r="3339" spans="9:12">
      <c r="I3339" s="5">
        <f>IF(OR(A3339="",B3339=""),"",B3339-WEEKDAY(B3339,2)+1)</f>
        <v/>
      </c>
      <c r="J3339" s="5">
        <f>IF(I3339="","",I3339+6)</f>
        <v/>
      </c>
      <c r="K3339" s="6">
        <f>IF(OR(A3339="",B3339=""),"",DATE(YEAR(B3339),MONTH(B3339),1))</f>
        <v/>
      </c>
      <c r="L3339" s="7">
        <f>IF(COUNTA(A3339,B3339)=0,"",IF(OR(A3339="",B3339=""),"Preencher CPF e entrada",IF(COUNTIFS($A$12:$A$5011,A3339,$B$12:$B$5011,B3339)&gt;1,"CPF + dia duplicado",IF(OR(AND(E3339&lt;&gt;"",E3339&lt;B3339),AND(F3339&lt;&gt;"",F3339&lt;B3339)),"Evento anterior à entrada",IF(AND(F3339&lt;&gt;"",E3339=""),"Conversa sem agendamento",IF(OR(E3339&gt;TODAY(),F3339&gt;TODAY()),"Verificar evento futuro","OK"))))))</f>
        <v/>
      </c>
    </row>
    <row r="3340" spans="9:12">
      <c r="I3340" s="5">
        <f>IF(OR(A3340="",B3340=""),"",B3340-WEEKDAY(B3340,2)+1)</f>
        <v/>
      </c>
      <c r="J3340" s="5">
        <f>IF(I3340="","",I3340+6)</f>
        <v/>
      </c>
      <c r="K3340" s="6">
        <f>IF(OR(A3340="",B3340=""),"",DATE(YEAR(B3340),MONTH(B3340),1))</f>
        <v/>
      </c>
      <c r="L3340" s="7">
        <f>IF(COUNTA(A3340,B3340)=0,"",IF(OR(A3340="",B3340=""),"Preencher CPF e entrada",IF(COUNTIFS($A$12:$A$5011,A3340,$B$12:$B$5011,B3340)&gt;1,"CPF + dia duplicado",IF(OR(AND(E3340&lt;&gt;"",E3340&lt;B3340),AND(F3340&lt;&gt;"",F3340&lt;B3340)),"Evento anterior à entrada",IF(AND(F3340&lt;&gt;"",E3340=""),"Conversa sem agendamento",IF(OR(E3340&gt;TODAY(),F3340&gt;TODAY()),"Verificar evento futuro","OK"))))))</f>
        <v/>
      </c>
    </row>
    <row r="3341" spans="9:12">
      <c r="I3341" s="5">
        <f>IF(OR(A3341="",B3341=""),"",B3341-WEEKDAY(B3341,2)+1)</f>
        <v/>
      </c>
      <c r="J3341" s="5">
        <f>IF(I3341="","",I3341+6)</f>
        <v/>
      </c>
      <c r="K3341" s="6">
        <f>IF(OR(A3341="",B3341=""),"",DATE(YEAR(B3341),MONTH(B3341),1))</f>
        <v/>
      </c>
      <c r="L3341" s="7">
        <f>IF(COUNTA(A3341,B3341)=0,"",IF(OR(A3341="",B3341=""),"Preencher CPF e entrada",IF(COUNTIFS($A$12:$A$5011,A3341,$B$12:$B$5011,B3341)&gt;1,"CPF + dia duplicado",IF(OR(AND(E3341&lt;&gt;"",E3341&lt;B3341),AND(F3341&lt;&gt;"",F3341&lt;B3341)),"Evento anterior à entrada",IF(AND(F3341&lt;&gt;"",E3341=""),"Conversa sem agendamento",IF(OR(E3341&gt;TODAY(),F3341&gt;TODAY()),"Verificar evento futuro","OK"))))))</f>
        <v/>
      </c>
    </row>
    <row r="3342" spans="9:12">
      <c r="I3342" s="5">
        <f>IF(OR(A3342="",B3342=""),"",B3342-WEEKDAY(B3342,2)+1)</f>
        <v/>
      </c>
      <c r="J3342" s="5">
        <f>IF(I3342="","",I3342+6)</f>
        <v/>
      </c>
      <c r="K3342" s="6">
        <f>IF(OR(A3342="",B3342=""),"",DATE(YEAR(B3342),MONTH(B3342),1))</f>
        <v/>
      </c>
      <c r="L3342" s="7">
        <f>IF(COUNTA(A3342,B3342)=0,"",IF(OR(A3342="",B3342=""),"Preencher CPF e entrada",IF(COUNTIFS($A$12:$A$5011,A3342,$B$12:$B$5011,B3342)&gt;1,"CPF + dia duplicado",IF(OR(AND(E3342&lt;&gt;"",E3342&lt;B3342),AND(F3342&lt;&gt;"",F3342&lt;B3342)),"Evento anterior à entrada",IF(AND(F3342&lt;&gt;"",E3342=""),"Conversa sem agendamento",IF(OR(E3342&gt;TODAY(),F3342&gt;TODAY()),"Verificar evento futuro","OK"))))))</f>
        <v/>
      </c>
    </row>
    <row r="3343" spans="9:12">
      <c r="I3343" s="5">
        <f>IF(OR(A3343="",B3343=""),"",B3343-WEEKDAY(B3343,2)+1)</f>
        <v/>
      </c>
      <c r="J3343" s="5">
        <f>IF(I3343="","",I3343+6)</f>
        <v/>
      </c>
      <c r="K3343" s="6">
        <f>IF(OR(A3343="",B3343=""),"",DATE(YEAR(B3343),MONTH(B3343),1))</f>
        <v/>
      </c>
      <c r="L3343" s="7">
        <f>IF(COUNTA(A3343,B3343)=0,"",IF(OR(A3343="",B3343=""),"Preencher CPF e entrada",IF(COUNTIFS($A$12:$A$5011,A3343,$B$12:$B$5011,B3343)&gt;1,"CPF + dia duplicado",IF(OR(AND(E3343&lt;&gt;"",E3343&lt;B3343),AND(F3343&lt;&gt;"",F3343&lt;B3343)),"Evento anterior à entrada",IF(AND(F3343&lt;&gt;"",E3343=""),"Conversa sem agendamento",IF(OR(E3343&gt;TODAY(),F3343&gt;TODAY()),"Verificar evento futuro","OK"))))))</f>
        <v/>
      </c>
    </row>
    <row r="3344" spans="9:12">
      <c r="I3344" s="5">
        <f>IF(OR(A3344="",B3344=""),"",B3344-WEEKDAY(B3344,2)+1)</f>
        <v/>
      </c>
      <c r="J3344" s="5">
        <f>IF(I3344="","",I3344+6)</f>
        <v/>
      </c>
      <c r="K3344" s="6">
        <f>IF(OR(A3344="",B3344=""),"",DATE(YEAR(B3344),MONTH(B3344),1))</f>
        <v/>
      </c>
      <c r="L3344" s="7">
        <f>IF(COUNTA(A3344,B3344)=0,"",IF(OR(A3344="",B3344=""),"Preencher CPF e entrada",IF(COUNTIFS($A$12:$A$5011,A3344,$B$12:$B$5011,B3344)&gt;1,"CPF + dia duplicado",IF(OR(AND(E3344&lt;&gt;"",E3344&lt;B3344),AND(F3344&lt;&gt;"",F3344&lt;B3344)),"Evento anterior à entrada",IF(AND(F3344&lt;&gt;"",E3344=""),"Conversa sem agendamento",IF(OR(E3344&gt;TODAY(),F3344&gt;TODAY()),"Verificar evento futuro","OK"))))))</f>
        <v/>
      </c>
    </row>
    <row r="3345" spans="9:12">
      <c r="I3345" s="5">
        <f>IF(OR(A3345="",B3345=""),"",B3345-WEEKDAY(B3345,2)+1)</f>
        <v/>
      </c>
      <c r="J3345" s="5">
        <f>IF(I3345="","",I3345+6)</f>
        <v/>
      </c>
      <c r="K3345" s="6">
        <f>IF(OR(A3345="",B3345=""),"",DATE(YEAR(B3345),MONTH(B3345),1))</f>
        <v/>
      </c>
      <c r="L3345" s="7">
        <f>IF(COUNTA(A3345,B3345)=0,"",IF(OR(A3345="",B3345=""),"Preencher CPF e entrada",IF(COUNTIFS($A$12:$A$5011,A3345,$B$12:$B$5011,B3345)&gt;1,"CPF + dia duplicado",IF(OR(AND(E3345&lt;&gt;"",E3345&lt;B3345),AND(F3345&lt;&gt;"",F3345&lt;B3345)),"Evento anterior à entrada",IF(AND(F3345&lt;&gt;"",E3345=""),"Conversa sem agendamento",IF(OR(E3345&gt;TODAY(),F3345&gt;TODAY()),"Verificar evento futuro","OK"))))))</f>
        <v/>
      </c>
    </row>
    <row r="3346" spans="9:12">
      <c r="I3346" s="5">
        <f>IF(OR(A3346="",B3346=""),"",B3346-WEEKDAY(B3346,2)+1)</f>
        <v/>
      </c>
      <c r="J3346" s="5">
        <f>IF(I3346="","",I3346+6)</f>
        <v/>
      </c>
      <c r="K3346" s="6">
        <f>IF(OR(A3346="",B3346=""),"",DATE(YEAR(B3346),MONTH(B3346),1))</f>
        <v/>
      </c>
      <c r="L3346" s="7">
        <f>IF(COUNTA(A3346,B3346)=0,"",IF(OR(A3346="",B3346=""),"Preencher CPF e entrada",IF(COUNTIFS($A$12:$A$5011,A3346,$B$12:$B$5011,B3346)&gt;1,"CPF + dia duplicado",IF(OR(AND(E3346&lt;&gt;"",E3346&lt;B3346),AND(F3346&lt;&gt;"",F3346&lt;B3346)),"Evento anterior à entrada",IF(AND(F3346&lt;&gt;"",E3346=""),"Conversa sem agendamento",IF(OR(E3346&gt;TODAY(),F3346&gt;TODAY()),"Verificar evento futuro","OK"))))))</f>
        <v/>
      </c>
    </row>
    <row r="3347" spans="9:12">
      <c r="I3347" s="5">
        <f>IF(OR(A3347="",B3347=""),"",B3347-WEEKDAY(B3347,2)+1)</f>
        <v/>
      </c>
      <c r="J3347" s="5">
        <f>IF(I3347="","",I3347+6)</f>
        <v/>
      </c>
      <c r="K3347" s="6">
        <f>IF(OR(A3347="",B3347=""),"",DATE(YEAR(B3347),MONTH(B3347),1))</f>
        <v/>
      </c>
      <c r="L3347" s="7">
        <f>IF(COUNTA(A3347,B3347)=0,"",IF(OR(A3347="",B3347=""),"Preencher CPF e entrada",IF(COUNTIFS($A$12:$A$5011,A3347,$B$12:$B$5011,B3347)&gt;1,"CPF + dia duplicado",IF(OR(AND(E3347&lt;&gt;"",E3347&lt;B3347),AND(F3347&lt;&gt;"",F3347&lt;B3347)),"Evento anterior à entrada",IF(AND(F3347&lt;&gt;"",E3347=""),"Conversa sem agendamento",IF(OR(E3347&gt;TODAY(),F3347&gt;TODAY()),"Verificar evento futuro","OK"))))))</f>
        <v/>
      </c>
    </row>
    <row r="3348" spans="9:12">
      <c r="I3348" s="5">
        <f>IF(OR(A3348="",B3348=""),"",B3348-WEEKDAY(B3348,2)+1)</f>
        <v/>
      </c>
      <c r="J3348" s="5">
        <f>IF(I3348="","",I3348+6)</f>
        <v/>
      </c>
      <c r="K3348" s="6">
        <f>IF(OR(A3348="",B3348=""),"",DATE(YEAR(B3348),MONTH(B3348),1))</f>
        <v/>
      </c>
      <c r="L3348" s="7">
        <f>IF(COUNTA(A3348,B3348)=0,"",IF(OR(A3348="",B3348=""),"Preencher CPF e entrada",IF(COUNTIFS($A$12:$A$5011,A3348,$B$12:$B$5011,B3348)&gt;1,"CPF + dia duplicado",IF(OR(AND(E3348&lt;&gt;"",E3348&lt;B3348),AND(F3348&lt;&gt;"",F3348&lt;B3348)),"Evento anterior à entrada",IF(AND(F3348&lt;&gt;"",E3348=""),"Conversa sem agendamento",IF(OR(E3348&gt;TODAY(),F3348&gt;TODAY()),"Verificar evento futuro","OK"))))))</f>
        <v/>
      </c>
    </row>
    <row r="3349" spans="9:12">
      <c r="I3349" s="5">
        <f>IF(OR(A3349="",B3349=""),"",B3349-WEEKDAY(B3349,2)+1)</f>
        <v/>
      </c>
      <c r="J3349" s="5">
        <f>IF(I3349="","",I3349+6)</f>
        <v/>
      </c>
      <c r="K3349" s="6">
        <f>IF(OR(A3349="",B3349=""),"",DATE(YEAR(B3349),MONTH(B3349),1))</f>
        <v/>
      </c>
      <c r="L3349" s="7">
        <f>IF(COUNTA(A3349,B3349)=0,"",IF(OR(A3349="",B3349=""),"Preencher CPF e entrada",IF(COUNTIFS($A$12:$A$5011,A3349,$B$12:$B$5011,B3349)&gt;1,"CPF + dia duplicado",IF(OR(AND(E3349&lt;&gt;"",E3349&lt;B3349),AND(F3349&lt;&gt;"",F3349&lt;B3349)),"Evento anterior à entrada",IF(AND(F3349&lt;&gt;"",E3349=""),"Conversa sem agendamento",IF(OR(E3349&gt;TODAY(),F3349&gt;TODAY()),"Verificar evento futuro","OK"))))))</f>
        <v/>
      </c>
    </row>
    <row r="3350" spans="9:12">
      <c r="I3350" s="5">
        <f>IF(OR(A3350="",B3350=""),"",B3350-WEEKDAY(B3350,2)+1)</f>
        <v/>
      </c>
      <c r="J3350" s="5">
        <f>IF(I3350="","",I3350+6)</f>
        <v/>
      </c>
      <c r="K3350" s="6">
        <f>IF(OR(A3350="",B3350=""),"",DATE(YEAR(B3350),MONTH(B3350),1))</f>
        <v/>
      </c>
      <c r="L3350" s="7">
        <f>IF(COUNTA(A3350,B3350)=0,"",IF(OR(A3350="",B3350=""),"Preencher CPF e entrada",IF(COUNTIFS($A$12:$A$5011,A3350,$B$12:$B$5011,B3350)&gt;1,"CPF + dia duplicado",IF(OR(AND(E3350&lt;&gt;"",E3350&lt;B3350),AND(F3350&lt;&gt;"",F3350&lt;B3350)),"Evento anterior à entrada",IF(AND(F3350&lt;&gt;"",E3350=""),"Conversa sem agendamento",IF(OR(E3350&gt;TODAY(),F3350&gt;TODAY()),"Verificar evento futuro","OK"))))))</f>
        <v/>
      </c>
    </row>
    <row r="3351" spans="9:12">
      <c r="I3351" s="5">
        <f>IF(OR(A3351="",B3351=""),"",B3351-WEEKDAY(B3351,2)+1)</f>
        <v/>
      </c>
      <c r="J3351" s="5">
        <f>IF(I3351="","",I3351+6)</f>
        <v/>
      </c>
      <c r="K3351" s="6">
        <f>IF(OR(A3351="",B3351=""),"",DATE(YEAR(B3351),MONTH(B3351),1))</f>
        <v/>
      </c>
      <c r="L3351" s="7">
        <f>IF(COUNTA(A3351,B3351)=0,"",IF(OR(A3351="",B3351=""),"Preencher CPF e entrada",IF(COUNTIFS($A$12:$A$5011,A3351,$B$12:$B$5011,B3351)&gt;1,"CPF + dia duplicado",IF(OR(AND(E3351&lt;&gt;"",E3351&lt;B3351),AND(F3351&lt;&gt;"",F3351&lt;B3351)),"Evento anterior à entrada",IF(AND(F3351&lt;&gt;"",E3351=""),"Conversa sem agendamento",IF(OR(E3351&gt;TODAY(),F3351&gt;TODAY()),"Verificar evento futuro","OK"))))))</f>
        <v/>
      </c>
    </row>
    <row r="3352" spans="9:12">
      <c r="I3352" s="5">
        <f>IF(OR(A3352="",B3352=""),"",B3352-WEEKDAY(B3352,2)+1)</f>
        <v/>
      </c>
      <c r="J3352" s="5">
        <f>IF(I3352="","",I3352+6)</f>
        <v/>
      </c>
      <c r="K3352" s="6">
        <f>IF(OR(A3352="",B3352=""),"",DATE(YEAR(B3352),MONTH(B3352),1))</f>
        <v/>
      </c>
      <c r="L3352" s="7">
        <f>IF(COUNTA(A3352,B3352)=0,"",IF(OR(A3352="",B3352=""),"Preencher CPF e entrada",IF(COUNTIFS($A$12:$A$5011,A3352,$B$12:$B$5011,B3352)&gt;1,"CPF + dia duplicado",IF(OR(AND(E3352&lt;&gt;"",E3352&lt;B3352),AND(F3352&lt;&gt;"",F3352&lt;B3352)),"Evento anterior à entrada",IF(AND(F3352&lt;&gt;"",E3352=""),"Conversa sem agendamento",IF(OR(E3352&gt;TODAY(),F3352&gt;TODAY()),"Verificar evento futuro","OK"))))))</f>
        <v/>
      </c>
    </row>
    <row r="3353" spans="9:12">
      <c r="I3353" s="5">
        <f>IF(OR(A3353="",B3353=""),"",B3353-WEEKDAY(B3353,2)+1)</f>
        <v/>
      </c>
      <c r="J3353" s="5">
        <f>IF(I3353="","",I3353+6)</f>
        <v/>
      </c>
      <c r="K3353" s="6">
        <f>IF(OR(A3353="",B3353=""),"",DATE(YEAR(B3353),MONTH(B3353),1))</f>
        <v/>
      </c>
      <c r="L3353" s="7">
        <f>IF(COUNTA(A3353,B3353)=0,"",IF(OR(A3353="",B3353=""),"Preencher CPF e entrada",IF(COUNTIFS($A$12:$A$5011,A3353,$B$12:$B$5011,B3353)&gt;1,"CPF + dia duplicado",IF(OR(AND(E3353&lt;&gt;"",E3353&lt;B3353),AND(F3353&lt;&gt;"",F3353&lt;B3353)),"Evento anterior à entrada",IF(AND(F3353&lt;&gt;"",E3353=""),"Conversa sem agendamento",IF(OR(E3353&gt;TODAY(),F3353&gt;TODAY()),"Verificar evento futuro","OK"))))))</f>
        <v/>
      </c>
    </row>
    <row r="3354" spans="9:12">
      <c r="I3354" s="5">
        <f>IF(OR(A3354="",B3354=""),"",B3354-WEEKDAY(B3354,2)+1)</f>
        <v/>
      </c>
      <c r="J3354" s="5">
        <f>IF(I3354="","",I3354+6)</f>
        <v/>
      </c>
      <c r="K3354" s="6">
        <f>IF(OR(A3354="",B3354=""),"",DATE(YEAR(B3354),MONTH(B3354),1))</f>
        <v/>
      </c>
      <c r="L3354" s="7">
        <f>IF(COUNTA(A3354,B3354)=0,"",IF(OR(A3354="",B3354=""),"Preencher CPF e entrada",IF(COUNTIFS($A$12:$A$5011,A3354,$B$12:$B$5011,B3354)&gt;1,"CPF + dia duplicado",IF(OR(AND(E3354&lt;&gt;"",E3354&lt;B3354),AND(F3354&lt;&gt;"",F3354&lt;B3354)),"Evento anterior à entrada",IF(AND(F3354&lt;&gt;"",E3354=""),"Conversa sem agendamento",IF(OR(E3354&gt;TODAY(),F3354&gt;TODAY()),"Verificar evento futuro","OK"))))))</f>
        <v/>
      </c>
    </row>
    <row r="3355" spans="9:12">
      <c r="I3355" s="5">
        <f>IF(OR(A3355="",B3355=""),"",B3355-WEEKDAY(B3355,2)+1)</f>
        <v/>
      </c>
      <c r="J3355" s="5">
        <f>IF(I3355="","",I3355+6)</f>
        <v/>
      </c>
      <c r="K3355" s="6">
        <f>IF(OR(A3355="",B3355=""),"",DATE(YEAR(B3355),MONTH(B3355),1))</f>
        <v/>
      </c>
      <c r="L3355" s="7">
        <f>IF(COUNTA(A3355,B3355)=0,"",IF(OR(A3355="",B3355=""),"Preencher CPF e entrada",IF(COUNTIFS($A$12:$A$5011,A3355,$B$12:$B$5011,B3355)&gt;1,"CPF + dia duplicado",IF(OR(AND(E3355&lt;&gt;"",E3355&lt;B3355),AND(F3355&lt;&gt;"",F3355&lt;B3355)),"Evento anterior à entrada",IF(AND(F3355&lt;&gt;"",E3355=""),"Conversa sem agendamento",IF(OR(E3355&gt;TODAY(),F3355&gt;TODAY()),"Verificar evento futuro","OK"))))))</f>
        <v/>
      </c>
    </row>
    <row r="3356" spans="9:12">
      <c r="I3356" s="5">
        <f>IF(OR(A3356="",B3356=""),"",B3356-WEEKDAY(B3356,2)+1)</f>
        <v/>
      </c>
      <c r="J3356" s="5">
        <f>IF(I3356="","",I3356+6)</f>
        <v/>
      </c>
      <c r="K3356" s="6">
        <f>IF(OR(A3356="",B3356=""),"",DATE(YEAR(B3356),MONTH(B3356),1))</f>
        <v/>
      </c>
      <c r="L3356" s="7">
        <f>IF(COUNTA(A3356,B3356)=0,"",IF(OR(A3356="",B3356=""),"Preencher CPF e entrada",IF(COUNTIFS($A$12:$A$5011,A3356,$B$12:$B$5011,B3356)&gt;1,"CPF + dia duplicado",IF(OR(AND(E3356&lt;&gt;"",E3356&lt;B3356),AND(F3356&lt;&gt;"",F3356&lt;B3356)),"Evento anterior à entrada",IF(AND(F3356&lt;&gt;"",E3356=""),"Conversa sem agendamento",IF(OR(E3356&gt;TODAY(),F3356&gt;TODAY()),"Verificar evento futuro","OK"))))))</f>
        <v/>
      </c>
    </row>
    <row r="3357" spans="9:12">
      <c r="I3357" s="5">
        <f>IF(OR(A3357="",B3357=""),"",B3357-WEEKDAY(B3357,2)+1)</f>
        <v/>
      </c>
      <c r="J3357" s="5">
        <f>IF(I3357="","",I3357+6)</f>
        <v/>
      </c>
      <c r="K3357" s="6">
        <f>IF(OR(A3357="",B3357=""),"",DATE(YEAR(B3357),MONTH(B3357),1))</f>
        <v/>
      </c>
      <c r="L3357" s="7">
        <f>IF(COUNTA(A3357,B3357)=0,"",IF(OR(A3357="",B3357=""),"Preencher CPF e entrada",IF(COUNTIFS($A$12:$A$5011,A3357,$B$12:$B$5011,B3357)&gt;1,"CPF + dia duplicado",IF(OR(AND(E3357&lt;&gt;"",E3357&lt;B3357),AND(F3357&lt;&gt;"",F3357&lt;B3357)),"Evento anterior à entrada",IF(AND(F3357&lt;&gt;"",E3357=""),"Conversa sem agendamento",IF(OR(E3357&gt;TODAY(),F3357&gt;TODAY()),"Verificar evento futuro","OK"))))))</f>
        <v/>
      </c>
    </row>
    <row r="3358" spans="9:12">
      <c r="I3358" s="5">
        <f>IF(OR(A3358="",B3358=""),"",B3358-WEEKDAY(B3358,2)+1)</f>
        <v/>
      </c>
      <c r="J3358" s="5">
        <f>IF(I3358="","",I3358+6)</f>
        <v/>
      </c>
      <c r="K3358" s="6">
        <f>IF(OR(A3358="",B3358=""),"",DATE(YEAR(B3358),MONTH(B3358),1))</f>
        <v/>
      </c>
      <c r="L3358" s="7">
        <f>IF(COUNTA(A3358,B3358)=0,"",IF(OR(A3358="",B3358=""),"Preencher CPF e entrada",IF(COUNTIFS($A$12:$A$5011,A3358,$B$12:$B$5011,B3358)&gt;1,"CPF + dia duplicado",IF(OR(AND(E3358&lt;&gt;"",E3358&lt;B3358),AND(F3358&lt;&gt;"",F3358&lt;B3358)),"Evento anterior à entrada",IF(AND(F3358&lt;&gt;"",E3358=""),"Conversa sem agendamento",IF(OR(E3358&gt;TODAY(),F3358&gt;TODAY()),"Verificar evento futuro","OK"))))))</f>
        <v/>
      </c>
    </row>
    <row r="3359" spans="9:12">
      <c r="I3359" s="5">
        <f>IF(OR(A3359="",B3359=""),"",B3359-WEEKDAY(B3359,2)+1)</f>
        <v/>
      </c>
      <c r="J3359" s="5">
        <f>IF(I3359="","",I3359+6)</f>
        <v/>
      </c>
      <c r="K3359" s="6">
        <f>IF(OR(A3359="",B3359=""),"",DATE(YEAR(B3359),MONTH(B3359),1))</f>
        <v/>
      </c>
      <c r="L3359" s="7">
        <f>IF(COUNTA(A3359,B3359)=0,"",IF(OR(A3359="",B3359=""),"Preencher CPF e entrada",IF(COUNTIFS($A$12:$A$5011,A3359,$B$12:$B$5011,B3359)&gt;1,"CPF + dia duplicado",IF(OR(AND(E3359&lt;&gt;"",E3359&lt;B3359),AND(F3359&lt;&gt;"",F3359&lt;B3359)),"Evento anterior à entrada",IF(AND(F3359&lt;&gt;"",E3359=""),"Conversa sem agendamento",IF(OR(E3359&gt;TODAY(),F3359&gt;TODAY()),"Verificar evento futuro","OK"))))))</f>
        <v/>
      </c>
    </row>
    <row r="3360" spans="9:12">
      <c r="I3360" s="5">
        <f>IF(OR(A3360="",B3360=""),"",B3360-WEEKDAY(B3360,2)+1)</f>
        <v/>
      </c>
      <c r="J3360" s="5">
        <f>IF(I3360="","",I3360+6)</f>
        <v/>
      </c>
      <c r="K3360" s="6">
        <f>IF(OR(A3360="",B3360=""),"",DATE(YEAR(B3360),MONTH(B3360),1))</f>
        <v/>
      </c>
      <c r="L3360" s="7">
        <f>IF(COUNTA(A3360,B3360)=0,"",IF(OR(A3360="",B3360=""),"Preencher CPF e entrada",IF(COUNTIFS($A$12:$A$5011,A3360,$B$12:$B$5011,B3360)&gt;1,"CPF + dia duplicado",IF(OR(AND(E3360&lt;&gt;"",E3360&lt;B3360),AND(F3360&lt;&gt;"",F3360&lt;B3360)),"Evento anterior à entrada",IF(AND(F3360&lt;&gt;"",E3360=""),"Conversa sem agendamento",IF(OR(E3360&gt;TODAY(),F3360&gt;TODAY()),"Verificar evento futuro","OK"))))))</f>
        <v/>
      </c>
    </row>
    <row r="3361" spans="9:12">
      <c r="I3361" s="5">
        <f>IF(OR(A3361="",B3361=""),"",B3361-WEEKDAY(B3361,2)+1)</f>
        <v/>
      </c>
      <c r="J3361" s="5">
        <f>IF(I3361="","",I3361+6)</f>
        <v/>
      </c>
      <c r="K3361" s="6">
        <f>IF(OR(A3361="",B3361=""),"",DATE(YEAR(B3361),MONTH(B3361),1))</f>
        <v/>
      </c>
      <c r="L3361" s="7">
        <f>IF(COUNTA(A3361,B3361)=0,"",IF(OR(A3361="",B3361=""),"Preencher CPF e entrada",IF(COUNTIFS($A$12:$A$5011,A3361,$B$12:$B$5011,B3361)&gt;1,"CPF + dia duplicado",IF(OR(AND(E3361&lt;&gt;"",E3361&lt;B3361),AND(F3361&lt;&gt;"",F3361&lt;B3361)),"Evento anterior à entrada",IF(AND(F3361&lt;&gt;"",E3361=""),"Conversa sem agendamento",IF(OR(E3361&gt;TODAY(),F3361&gt;TODAY()),"Verificar evento futuro","OK"))))))</f>
        <v/>
      </c>
    </row>
    <row r="3362" spans="9:12">
      <c r="I3362" s="5">
        <f>IF(OR(A3362="",B3362=""),"",B3362-WEEKDAY(B3362,2)+1)</f>
        <v/>
      </c>
      <c r="J3362" s="5">
        <f>IF(I3362="","",I3362+6)</f>
        <v/>
      </c>
      <c r="K3362" s="6">
        <f>IF(OR(A3362="",B3362=""),"",DATE(YEAR(B3362),MONTH(B3362),1))</f>
        <v/>
      </c>
      <c r="L3362" s="7">
        <f>IF(COUNTA(A3362,B3362)=0,"",IF(OR(A3362="",B3362=""),"Preencher CPF e entrada",IF(COUNTIFS($A$12:$A$5011,A3362,$B$12:$B$5011,B3362)&gt;1,"CPF + dia duplicado",IF(OR(AND(E3362&lt;&gt;"",E3362&lt;B3362),AND(F3362&lt;&gt;"",F3362&lt;B3362)),"Evento anterior à entrada",IF(AND(F3362&lt;&gt;"",E3362=""),"Conversa sem agendamento",IF(OR(E3362&gt;TODAY(),F3362&gt;TODAY()),"Verificar evento futuro","OK"))))))</f>
        <v/>
      </c>
    </row>
    <row r="3363" spans="9:12">
      <c r="I3363" s="5">
        <f>IF(OR(A3363="",B3363=""),"",B3363-WEEKDAY(B3363,2)+1)</f>
        <v/>
      </c>
      <c r="J3363" s="5">
        <f>IF(I3363="","",I3363+6)</f>
        <v/>
      </c>
      <c r="K3363" s="6">
        <f>IF(OR(A3363="",B3363=""),"",DATE(YEAR(B3363),MONTH(B3363),1))</f>
        <v/>
      </c>
      <c r="L3363" s="7">
        <f>IF(COUNTA(A3363,B3363)=0,"",IF(OR(A3363="",B3363=""),"Preencher CPF e entrada",IF(COUNTIFS($A$12:$A$5011,A3363,$B$12:$B$5011,B3363)&gt;1,"CPF + dia duplicado",IF(OR(AND(E3363&lt;&gt;"",E3363&lt;B3363),AND(F3363&lt;&gt;"",F3363&lt;B3363)),"Evento anterior à entrada",IF(AND(F3363&lt;&gt;"",E3363=""),"Conversa sem agendamento",IF(OR(E3363&gt;TODAY(),F3363&gt;TODAY()),"Verificar evento futuro","OK"))))))</f>
        <v/>
      </c>
    </row>
    <row r="3364" spans="9:12">
      <c r="I3364" s="5">
        <f>IF(OR(A3364="",B3364=""),"",B3364-WEEKDAY(B3364,2)+1)</f>
        <v/>
      </c>
      <c r="J3364" s="5">
        <f>IF(I3364="","",I3364+6)</f>
        <v/>
      </c>
      <c r="K3364" s="6">
        <f>IF(OR(A3364="",B3364=""),"",DATE(YEAR(B3364),MONTH(B3364),1))</f>
        <v/>
      </c>
      <c r="L3364" s="7">
        <f>IF(COUNTA(A3364,B3364)=0,"",IF(OR(A3364="",B3364=""),"Preencher CPF e entrada",IF(COUNTIFS($A$12:$A$5011,A3364,$B$12:$B$5011,B3364)&gt;1,"CPF + dia duplicado",IF(OR(AND(E3364&lt;&gt;"",E3364&lt;B3364),AND(F3364&lt;&gt;"",F3364&lt;B3364)),"Evento anterior à entrada",IF(AND(F3364&lt;&gt;"",E3364=""),"Conversa sem agendamento",IF(OR(E3364&gt;TODAY(),F3364&gt;TODAY()),"Verificar evento futuro","OK"))))))</f>
        <v/>
      </c>
    </row>
    <row r="3365" spans="9:12">
      <c r="I3365" s="5">
        <f>IF(OR(A3365="",B3365=""),"",B3365-WEEKDAY(B3365,2)+1)</f>
        <v/>
      </c>
      <c r="J3365" s="5">
        <f>IF(I3365="","",I3365+6)</f>
        <v/>
      </c>
      <c r="K3365" s="6">
        <f>IF(OR(A3365="",B3365=""),"",DATE(YEAR(B3365),MONTH(B3365),1))</f>
        <v/>
      </c>
      <c r="L3365" s="7">
        <f>IF(COUNTA(A3365,B3365)=0,"",IF(OR(A3365="",B3365=""),"Preencher CPF e entrada",IF(COUNTIFS($A$12:$A$5011,A3365,$B$12:$B$5011,B3365)&gt;1,"CPF + dia duplicado",IF(OR(AND(E3365&lt;&gt;"",E3365&lt;B3365),AND(F3365&lt;&gt;"",F3365&lt;B3365)),"Evento anterior à entrada",IF(AND(F3365&lt;&gt;"",E3365=""),"Conversa sem agendamento",IF(OR(E3365&gt;TODAY(),F3365&gt;TODAY()),"Verificar evento futuro","OK"))))))</f>
        <v/>
      </c>
    </row>
    <row r="3366" spans="9:12">
      <c r="I3366" s="5">
        <f>IF(OR(A3366="",B3366=""),"",B3366-WEEKDAY(B3366,2)+1)</f>
        <v/>
      </c>
      <c r="J3366" s="5">
        <f>IF(I3366="","",I3366+6)</f>
        <v/>
      </c>
      <c r="K3366" s="6">
        <f>IF(OR(A3366="",B3366=""),"",DATE(YEAR(B3366),MONTH(B3366),1))</f>
        <v/>
      </c>
      <c r="L3366" s="7">
        <f>IF(COUNTA(A3366,B3366)=0,"",IF(OR(A3366="",B3366=""),"Preencher CPF e entrada",IF(COUNTIFS($A$12:$A$5011,A3366,$B$12:$B$5011,B3366)&gt;1,"CPF + dia duplicado",IF(OR(AND(E3366&lt;&gt;"",E3366&lt;B3366),AND(F3366&lt;&gt;"",F3366&lt;B3366)),"Evento anterior à entrada",IF(AND(F3366&lt;&gt;"",E3366=""),"Conversa sem agendamento",IF(OR(E3366&gt;TODAY(),F3366&gt;TODAY()),"Verificar evento futuro","OK"))))))</f>
        <v/>
      </c>
    </row>
    <row r="3367" spans="9:12">
      <c r="I3367" s="5">
        <f>IF(OR(A3367="",B3367=""),"",B3367-WEEKDAY(B3367,2)+1)</f>
        <v/>
      </c>
      <c r="J3367" s="5">
        <f>IF(I3367="","",I3367+6)</f>
        <v/>
      </c>
      <c r="K3367" s="6">
        <f>IF(OR(A3367="",B3367=""),"",DATE(YEAR(B3367),MONTH(B3367),1))</f>
        <v/>
      </c>
      <c r="L3367" s="7">
        <f>IF(COUNTA(A3367,B3367)=0,"",IF(OR(A3367="",B3367=""),"Preencher CPF e entrada",IF(COUNTIFS($A$12:$A$5011,A3367,$B$12:$B$5011,B3367)&gt;1,"CPF + dia duplicado",IF(OR(AND(E3367&lt;&gt;"",E3367&lt;B3367),AND(F3367&lt;&gt;"",F3367&lt;B3367)),"Evento anterior à entrada",IF(AND(F3367&lt;&gt;"",E3367=""),"Conversa sem agendamento",IF(OR(E3367&gt;TODAY(),F3367&gt;TODAY()),"Verificar evento futuro","OK"))))))</f>
        <v/>
      </c>
    </row>
    <row r="3368" spans="9:12">
      <c r="I3368" s="5">
        <f>IF(OR(A3368="",B3368=""),"",B3368-WEEKDAY(B3368,2)+1)</f>
        <v/>
      </c>
      <c r="J3368" s="5">
        <f>IF(I3368="","",I3368+6)</f>
        <v/>
      </c>
      <c r="K3368" s="6">
        <f>IF(OR(A3368="",B3368=""),"",DATE(YEAR(B3368),MONTH(B3368),1))</f>
        <v/>
      </c>
      <c r="L3368" s="7">
        <f>IF(COUNTA(A3368,B3368)=0,"",IF(OR(A3368="",B3368=""),"Preencher CPF e entrada",IF(COUNTIFS($A$12:$A$5011,A3368,$B$12:$B$5011,B3368)&gt;1,"CPF + dia duplicado",IF(OR(AND(E3368&lt;&gt;"",E3368&lt;B3368),AND(F3368&lt;&gt;"",F3368&lt;B3368)),"Evento anterior à entrada",IF(AND(F3368&lt;&gt;"",E3368=""),"Conversa sem agendamento",IF(OR(E3368&gt;TODAY(),F3368&gt;TODAY()),"Verificar evento futuro","OK"))))))</f>
        <v/>
      </c>
    </row>
    <row r="3369" spans="9:12">
      <c r="I3369" s="5">
        <f>IF(OR(A3369="",B3369=""),"",B3369-WEEKDAY(B3369,2)+1)</f>
        <v/>
      </c>
      <c r="J3369" s="5">
        <f>IF(I3369="","",I3369+6)</f>
        <v/>
      </c>
      <c r="K3369" s="6">
        <f>IF(OR(A3369="",B3369=""),"",DATE(YEAR(B3369),MONTH(B3369),1))</f>
        <v/>
      </c>
      <c r="L3369" s="7">
        <f>IF(COUNTA(A3369,B3369)=0,"",IF(OR(A3369="",B3369=""),"Preencher CPF e entrada",IF(COUNTIFS($A$12:$A$5011,A3369,$B$12:$B$5011,B3369)&gt;1,"CPF + dia duplicado",IF(OR(AND(E3369&lt;&gt;"",E3369&lt;B3369),AND(F3369&lt;&gt;"",F3369&lt;B3369)),"Evento anterior à entrada",IF(AND(F3369&lt;&gt;"",E3369=""),"Conversa sem agendamento",IF(OR(E3369&gt;TODAY(),F3369&gt;TODAY()),"Verificar evento futuro","OK"))))))</f>
        <v/>
      </c>
    </row>
    <row r="3370" spans="9:12">
      <c r="I3370" s="5">
        <f>IF(OR(A3370="",B3370=""),"",B3370-WEEKDAY(B3370,2)+1)</f>
        <v/>
      </c>
      <c r="J3370" s="5">
        <f>IF(I3370="","",I3370+6)</f>
        <v/>
      </c>
      <c r="K3370" s="6">
        <f>IF(OR(A3370="",B3370=""),"",DATE(YEAR(B3370),MONTH(B3370),1))</f>
        <v/>
      </c>
      <c r="L3370" s="7">
        <f>IF(COUNTA(A3370,B3370)=0,"",IF(OR(A3370="",B3370=""),"Preencher CPF e entrada",IF(COUNTIFS($A$12:$A$5011,A3370,$B$12:$B$5011,B3370)&gt;1,"CPF + dia duplicado",IF(OR(AND(E3370&lt;&gt;"",E3370&lt;B3370),AND(F3370&lt;&gt;"",F3370&lt;B3370)),"Evento anterior à entrada",IF(AND(F3370&lt;&gt;"",E3370=""),"Conversa sem agendamento",IF(OR(E3370&gt;TODAY(),F3370&gt;TODAY()),"Verificar evento futuro","OK"))))))</f>
        <v/>
      </c>
    </row>
    <row r="3371" spans="9:12">
      <c r="I3371" s="5">
        <f>IF(OR(A3371="",B3371=""),"",B3371-WEEKDAY(B3371,2)+1)</f>
        <v/>
      </c>
      <c r="J3371" s="5">
        <f>IF(I3371="","",I3371+6)</f>
        <v/>
      </c>
      <c r="K3371" s="6">
        <f>IF(OR(A3371="",B3371=""),"",DATE(YEAR(B3371),MONTH(B3371),1))</f>
        <v/>
      </c>
      <c r="L3371" s="7">
        <f>IF(COUNTA(A3371,B3371)=0,"",IF(OR(A3371="",B3371=""),"Preencher CPF e entrada",IF(COUNTIFS($A$12:$A$5011,A3371,$B$12:$B$5011,B3371)&gt;1,"CPF + dia duplicado",IF(OR(AND(E3371&lt;&gt;"",E3371&lt;B3371),AND(F3371&lt;&gt;"",F3371&lt;B3371)),"Evento anterior à entrada",IF(AND(F3371&lt;&gt;"",E3371=""),"Conversa sem agendamento",IF(OR(E3371&gt;TODAY(),F3371&gt;TODAY()),"Verificar evento futuro","OK"))))))</f>
        <v/>
      </c>
    </row>
    <row r="3372" spans="9:12">
      <c r="I3372" s="5">
        <f>IF(OR(A3372="",B3372=""),"",B3372-WEEKDAY(B3372,2)+1)</f>
        <v/>
      </c>
      <c r="J3372" s="5">
        <f>IF(I3372="","",I3372+6)</f>
        <v/>
      </c>
      <c r="K3372" s="6">
        <f>IF(OR(A3372="",B3372=""),"",DATE(YEAR(B3372),MONTH(B3372),1))</f>
        <v/>
      </c>
      <c r="L3372" s="7">
        <f>IF(COUNTA(A3372,B3372)=0,"",IF(OR(A3372="",B3372=""),"Preencher CPF e entrada",IF(COUNTIFS($A$12:$A$5011,A3372,$B$12:$B$5011,B3372)&gt;1,"CPF + dia duplicado",IF(OR(AND(E3372&lt;&gt;"",E3372&lt;B3372),AND(F3372&lt;&gt;"",F3372&lt;B3372)),"Evento anterior à entrada",IF(AND(F3372&lt;&gt;"",E3372=""),"Conversa sem agendamento",IF(OR(E3372&gt;TODAY(),F3372&gt;TODAY()),"Verificar evento futuro","OK"))))))</f>
        <v/>
      </c>
    </row>
    <row r="3373" spans="9:12">
      <c r="I3373" s="5">
        <f>IF(OR(A3373="",B3373=""),"",B3373-WEEKDAY(B3373,2)+1)</f>
        <v/>
      </c>
      <c r="J3373" s="5">
        <f>IF(I3373="","",I3373+6)</f>
        <v/>
      </c>
      <c r="K3373" s="6">
        <f>IF(OR(A3373="",B3373=""),"",DATE(YEAR(B3373),MONTH(B3373),1))</f>
        <v/>
      </c>
      <c r="L3373" s="7">
        <f>IF(COUNTA(A3373,B3373)=0,"",IF(OR(A3373="",B3373=""),"Preencher CPF e entrada",IF(COUNTIFS($A$12:$A$5011,A3373,$B$12:$B$5011,B3373)&gt;1,"CPF + dia duplicado",IF(OR(AND(E3373&lt;&gt;"",E3373&lt;B3373),AND(F3373&lt;&gt;"",F3373&lt;B3373)),"Evento anterior à entrada",IF(AND(F3373&lt;&gt;"",E3373=""),"Conversa sem agendamento",IF(OR(E3373&gt;TODAY(),F3373&gt;TODAY()),"Verificar evento futuro","OK"))))))</f>
        <v/>
      </c>
    </row>
    <row r="3374" spans="9:12">
      <c r="I3374" s="5">
        <f>IF(OR(A3374="",B3374=""),"",B3374-WEEKDAY(B3374,2)+1)</f>
        <v/>
      </c>
      <c r="J3374" s="5">
        <f>IF(I3374="","",I3374+6)</f>
        <v/>
      </c>
      <c r="K3374" s="6">
        <f>IF(OR(A3374="",B3374=""),"",DATE(YEAR(B3374),MONTH(B3374),1))</f>
        <v/>
      </c>
      <c r="L3374" s="7">
        <f>IF(COUNTA(A3374,B3374)=0,"",IF(OR(A3374="",B3374=""),"Preencher CPF e entrada",IF(COUNTIFS($A$12:$A$5011,A3374,$B$12:$B$5011,B3374)&gt;1,"CPF + dia duplicado",IF(OR(AND(E3374&lt;&gt;"",E3374&lt;B3374),AND(F3374&lt;&gt;"",F3374&lt;B3374)),"Evento anterior à entrada",IF(AND(F3374&lt;&gt;"",E3374=""),"Conversa sem agendamento",IF(OR(E3374&gt;TODAY(),F3374&gt;TODAY()),"Verificar evento futuro","OK"))))))</f>
        <v/>
      </c>
    </row>
    <row r="3375" spans="9:12">
      <c r="I3375" s="5">
        <f>IF(OR(A3375="",B3375=""),"",B3375-WEEKDAY(B3375,2)+1)</f>
        <v/>
      </c>
      <c r="J3375" s="5">
        <f>IF(I3375="","",I3375+6)</f>
        <v/>
      </c>
      <c r="K3375" s="6">
        <f>IF(OR(A3375="",B3375=""),"",DATE(YEAR(B3375),MONTH(B3375),1))</f>
        <v/>
      </c>
      <c r="L3375" s="7">
        <f>IF(COUNTA(A3375,B3375)=0,"",IF(OR(A3375="",B3375=""),"Preencher CPF e entrada",IF(COUNTIFS($A$12:$A$5011,A3375,$B$12:$B$5011,B3375)&gt;1,"CPF + dia duplicado",IF(OR(AND(E3375&lt;&gt;"",E3375&lt;B3375),AND(F3375&lt;&gt;"",F3375&lt;B3375)),"Evento anterior à entrada",IF(AND(F3375&lt;&gt;"",E3375=""),"Conversa sem agendamento",IF(OR(E3375&gt;TODAY(),F3375&gt;TODAY()),"Verificar evento futuro","OK"))))))</f>
        <v/>
      </c>
    </row>
    <row r="3376" spans="9:12">
      <c r="I3376" s="5">
        <f>IF(OR(A3376="",B3376=""),"",B3376-WEEKDAY(B3376,2)+1)</f>
        <v/>
      </c>
      <c r="J3376" s="5">
        <f>IF(I3376="","",I3376+6)</f>
        <v/>
      </c>
      <c r="K3376" s="6">
        <f>IF(OR(A3376="",B3376=""),"",DATE(YEAR(B3376),MONTH(B3376),1))</f>
        <v/>
      </c>
      <c r="L3376" s="7">
        <f>IF(COUNTA(A3376,B3376)=0,"",IF(OR(A3376="",B3376=""),"Preencher CPF e entrada",IF(COUNTIFS($A$12:$A$5011,A3376,$B$12:$B$5011,B3376)&gt;1,"CPF + dia duplicado",IF(OR(AND(E3376&lt;&gt;"",E3376&lt;B3376),AND(F3376&lt;&gt;"",F3376&lt;B3376)),"Evento anterior à entrada",IF(AND(F3376&lt;&gt;"",E3376=""),"Conversa sem agendamento",IF(OR(E3376&gt;TODAY(),F3376&gt;TODAY()),"Verificar evento futuro","OK"))))))</f>
        <v/>
      </c>
    </row>
    <row r="3377" spans="9:12">
      <c r="I3377" s="5">
        <f>IF(OR(A3377="",B3377=""),"",B3377-WEEKDAY(B3377,2)+1)</f>
        <v/>
      </c>
      <c r="J3377" s="5">
        <f>IF(I3377="","",I3377+6)</f>
        <v/>
      </c>
      <c r="K3377" s="6">
        <f>IF(OR(A3377="",B3377=""),"",DATE(YEAR(B3377),MONTH(B3377),1))</f>
        <v/>
      </c>
      <c r="L3377" s="7">
        <f>IF(COUNTA(A3377,B3377)=0,"",IF(OR(A3377="",B3377=""),"Preencher CPF e entrada",IF(COUNTIFS($A$12:$A$5011,A3377,$B$12:$B$5011,B3377)&gt;1,"CPF + dia duplicado",IF(OR(AND(E3377&lt;&gt;"",E3377&lt;B3377),AND(F3377&lt;&gt;"",F3377&lt;B3377)),"Evento anterior à entrada",IF(AND(F3377&lt;&gt;"",E3377=""),"Conversa sem agendamento",IF(OR(E3377&gt;TODAY(),F3377&gt;TODAY()),"Verificar evento futuro","OK"))))))</f>
        <v/>
      </c>
    </row>
    <row r="3378" spans="9:12">
      <c r="I3378" s="5">
        <f>IF(OR(A3378="",B3378=""),"",B3378-WEEKDAY(B3378,2)+1)</f>
        <v/>
      </c>
      <c r="J3378" s="5">
        <f>IF(I3378="","",I3378+6)</f>
        <v/>
      </c>
      <c r="K3378" s="6">
        <f>IF(OR(A3378="",B3378=""),"",DATE(YEAR(B3378),MONTH(B3378),1))</f>
        <v/>
      </c>
      <c r="L3378" s="7">
        <f>IF(COUNTA(A3378,B3378)=0,"",IF(OR(A3378="",B3378=""),"Preencher CPF e entrada",IF(COUNTIFS($A$12:$A$5011,A3378,$B$12:$B$5011,B3378)&gt;1,"CPF + dia duplicado",IF(OR(AND(E3378&lt;&gt;"",E3378&lt;B3378),AND(F3378&lt;&gt;"",F3378&lt;B3378)),"Evento anterior à entrada",IF(AND(F3378&lt;&gt;"",E3378=""),"Conversa sem agendamento",IF(OR(E3378&gt;TODAY(),F3378&gt;TODAY()),"Verificar evento futuro","OK"))))))</f>
        <v/>
      </c>
    </row>
    <row r="3379" spans="9:12">
      <c r="I3379" s="5">
        <f>IF(OR(A3379="",B3379=""),"",B3379-WEEKDAY(B3379,2)+1)</f>
        <v/>
      </c>
      <c r="J3379" s="5">
        <f>IF(I3379="","",I3379+6)</f>
        <v/>
      </c>
      <c r="K3379" s="6">
        <f>IF(OR(A3379="",B3379=""),"",DATE(YEAR(B3379),MONTH(B3379),1))</f>
        <v/>
      </c>
      <c r="L3379" s="7">
        <f>IF(COUNTA(A3379,B3379)=0,"",IF(OR(A3379="",B3379=""),"Preencher CPF e entrada",IF(COUNTIFS($A$12:$A$5011,A3379,$B$12:$B$5011,B3379)&gt;1,"CPF + dia duplicado",IF(OR(AND(E3379&lt;&gt;"",E3379&lt;B3379),AND(F3379&lt;&gt;"",F3379&lt;B3379)),"Evento anterior à entrada",IF(AND(F3379&lt;&gt;"",E3379=""),"Conversa sem agendamento",IF(OR(E3379&gt;TODAY(),F3379&gt;TODAY()),"Verificar evento futuro","OK"))))))</f>
        <v/>
      </c>
    </row>
    <row r="3380" spans="9:12">
      <c r="I3380" s="5">
        <f>IF(OR(A3380="",B3380=""),"",B3380-WEEKDAY(B3380,2)+1)</f>
        <v/>
      </c>
      <c r="J3380" s="5">
        <f>IF(I3380="","",I3380+6)</f>
        <v/>
      </c>
      <c r="K3380" s="6">
        <f>IF(OR(A3380="",B3380=""),"",DATE(YEAR(B3380),MONTH(B3380),1))</f>
        <v/>
      </c>
      <c r="L3380" s="7">
        <f>IF(COUNTA(A3380,B3380)=0,"",IF(OR(A3380="",B3380=""),"Preencher CPF e entrada",IF(COUNTIFS($A$12:$A$5011,A3380,$B$12:$B$5011,B3380)&gt;1,"CPF + dia duplicado",IF(OR(AND(E3380&lt;&gt;"",E3380&lt;B3380),AND(F3380&lt;&gt;"",F3380&lt;B3380)),"Evento anterior à entrada",IF(AND(F3380&lt;&gt;"",E3380=""),"Conversa sem agendamento",IF(OR(E3380&gt;TODAY(),F3380&gt;TODAY()),"Verificar evento futuro","OK"))))))</f>
        <v/>
      </c>
    </row>
    <row r="3381" spans="9:12">
      <c r="I3381" s="5">
        <f>IF(OR(A3381="",B3381=""),"",B3381-WEEKDAY(B3381,2)+1)</f>
        <v/>
      </c>
      <c r="J3381" s="5">
        <f>IF(I3381="","",I3381+6)</f>
        <v/>
      </c>
      <c r="K3381" s="6">
        <f>IF(OR(A3381="",B3381=""),"",DATE(YEAR(B3381),MONTH(B3381),1))</f>
        <v/>
      </c>
      <c r="L3381" s="7">
        <f>IF(COUNTA(A3381,B3381)=0,"",IF(OR(A3381="",B3381=""),"Preencher CPF e entrada",IF(COUNTIFS($A$12:$A$5011,A3381,$B$12:$B$5011,B3381)&gt;1,"CPF + dia duplicado",IF(OR(AND(E3381&lt;&gt;"",E3381&lt;B3381),AND(F3381&lt;&gt;"",F3381&lt;B3381)),"Evento anterior à entrada",IF(AND(F3381&lt;&gt;"",E3381=""),"Conversa sem agendamento",IF(OR(E3381&gt;TODAY(),F3381&gt;TODAY()),"Verificar evento futuro","OK"))))))</f>
        <v/>
      </c>
    </row>
    <row r="3382" spans="9:12">
      <c r="I3382" s="5">
        <f>IF(OR(A3382="",B3382=""),"",B3382-WEEKDAY(B3382,2)+1)</f>
        <v/>
      </c>
      <c r="J3382" s="5">
        <f>IF(I3382="","",I3382+6)</f>
        <v/>
      </c>
      <c r="K3382" s="6">
        <f>IF(OR(A3382="",B3382=""),"",DATE(YEAR(B3382),MONTH(B3382),1))</f>
        <v/>
      </c>
      <c r="L3382" s="7">
        <f>IF(COUNTA(A3382,B3382)=0,"",IF(OR(A3382="",B3382=""),"Preencher CPF e entrada",IF(COUNTIFS($A$12:$A$5011,A3382,$B$12:$B$5011,B3382)&gt;1,"CPF + dia duplicado",IF(OR(AND(E3382&lt;&gt;"",E3382&lt;B3382),AND(F3382&lt;&gt;"",F3382&lt;B3382)),"Evento anterior à entrada",IF(AND(F3382&lt;&gt;"",E3382=""),"Conversa sem agendamento",IF(OR(E3382&gt;TODAY(),F3382&gt;TODAY()),"Verificar evento futuro","OK"))))))</f>
        <v/>
      </c>
    </row>
    <row r="3383" spans="9:12">
      <c r="I3383" s="5">
        <f>IF(OR(A3383="",B3383=""),"",B3383-WEEKDAY(B3383,2)+1)</f>
        <v/>
      </c>
      <c r="J3383" s="5">
        <f>IF(I3383="","",I3383+6)</f>
        <v/>
      </c>
      <c r="K3383" s="6">
        <f>IF(OR(A3383="",B3383=""),"",DATE(YEAR(B3383),MONTH(B3383),1))</f>
        <v/>
      </c>
      <c r="L3383" s="7">
        <f>IF(COUNTA(A3383,B3383)=0,"",IF(OR(A3383="",B3383=""),"Preencher CPF e entrada",IF(COUNTIFS($A$12:$A$5011,A3383,$B$12:$B$5011,B3383)&gt;1,"CPF + dia duplicado",IF(OR(AND(E3383&lt;&gt;"",E3383&lt;B3383),AND(F3383&lt;&gt;"",F3383&lt;B3383)),"Evento anterior à entrada",IF(AND(F3383&lt;&gt;"",E3383=""),"Conversa sem agendamento",IF(OR(E3383&gt;TODAY(),F3383&gt;TODAY()),"Verificar evento futuro","OK"))))))</f>
        <v/>
      </c>
    </row>
    <row r="3384" spans="9:12">
      <c r="I3384" s="5">
        <f>IF(OR(A3384="",B3384=""),"",B3384-WEEKDAY(B3384,2)+1)</f>
        <v/>
      </c>
      <c r="J3384" s="5">
        <f>IF(I3384="","",I3384+6)</f>
        <v/>
      </c>
      <c r="K3384" s="6">
        <f>IF(OR(A3384="",B3384=""),"",DATE(YEAR(B3384),MONTH(B3384),1))</f>
        <v/>
      </c>
      <c r="L3384" s="7">
        <f>IF(COUNTA(A3384,B3384)=0,"",IF(OR(A3384="",B3384=""),"Preencher CPF e entrada",IF(COUNTIFS($A$12:$A$5011,A3384,$B$12:$B$5011,B3384)&gt;1,"CPF + dia duplicado",IF(OR(AND(E3384&lt;&gt;"",E3384&lt;B3384),AND(F3384&lt;&gt;"",F3384&lt;B3384)),"Evento anterior à entrada",IF(AND(F3384&lt;&gt;"",E3384=""),"Conversa sem agendamento",IF(OR(E3384&gt;TODAY(),F3384&gt;TODAY()),"Verificar evento futuro","OK"))))))</f>
        <v/>
      </c>
    </row>
    <row r="3385" spans="9:12">
      <c r="I3385" s="5">
        <f>IF(OR(A3385="",B3385=""),"",B3385-WEEKDAY(B3385,2)+1)</f>
        <v/>
      </c>
      <c r="J3385" s="5">
        <f>IF(I3385="","",I3385+6)</f>
        <v/>
      </c>
      <c r="K3385" s="6">
        <f>IF(OR(A3385="",B3385=""),"",DATE(YEAR(B3385),MONTH(B3385),1))</f>
        <v/>
      </c>
      <c r="L3385" s="7">
        <f>IF(COUNTA(A3385,B3385)=0,"",IF(OR(A3385="",B3385=""),"Preencher CPF e entrada",IF(COUNTIFS($A$12:$A$5011,A3385,$B$12:$B$5011,B3385)&gt;1,"CPF + dia duplicado",IF(OR(AND(E3385&lt;&gt;"",E3385&lt;B3385),AND(F3385&lt;&gt;"",F3385&lt;B3385)),"Evento anterior à entrada",IF(AND(F3385&lt;&gt;"",E3385=""),"Conversa sem agendamento",IF(OR(E3385&gt;TODAY(),F3385&gt;TODAY()),"Verificar evento futuro","OK"))))))</f>
        <v/>
      </c>
    </row>
    <row r="3386" spans="9:12">
      <c r="I3386" s="5">
        <f>IF(OR(A3386="",B3386=""),"",B3386-WEEKDAY(B3386,2)+1)</f>
        <v/>
      </c>
      <c r="J3386" s="5">
        <f>IF(I3386="","",I3386+6)</f>
        <v/>
      </c>
      <c r="K3386" s="6">
        <f>IF(OR(A3386="",B3386=""),"",DATE(YEAR(B3386),MONTH(B3386),1))</f>
        <v/>
      </c>
      <c r="L3386" s="7">
        <f>IF(COUNTA(A3386,B3386)=0,"",IF(OR(A3386="",B3386=""),"Preencher CPF e entrada",IF(COUNTIFS($A$12:$A$5011,A3386,$B$12:$B$5011,B3386)&gt;1,"CPF + dia duplicado",IF(OR(AND(E3386&lt;&gt;"",E3386&lt;B3386),AND(F3386&lt;&gt;"",F3386&lt;B3386)),"Evento anterior à entrada",IF(AND(F3386&lt;&gt;"",E3386=""),"Conversa sem agendamento",IF(OR(E3386&gt;TODAY(),F3386&gt;TODAY()),"Verificar evento futuro","OK"))))))</f>
        <v/>
      </c>
    </row>
    <row r="3387" spans="9:12">
      <c r="I3387" s="5">
        <f>IF(OR(A3387="",B3387=""),"",B3387-WEEKDAY(B3387,2)+1)</f>
        <v/>
      </c>
      <c r="J3387" s="5">
        <f>IF(I3387="","",I3387+6)</f>
        <v/>
      </c>
      <c r="K3387" s="6">
        <f>IF(OR(A3387="",B3387=""),"",DATE(YEAR(B3387),MONTH(B3387),1))</f>
        <v/>
      </c>
      <c r="L3387" s="7">
        <f>IF(COUNTA(A3387,B3387)=0,"",IF(OR(A3387="",B3387=""),"Preencher CPF e entrada",IF(COUNTIFS($A$12:$A$5011,A3387,$B$12:$B$5011,B3387)&gt;1,"CPF + dia duplicado",IF(OR(AND(E3387&lt;&gt;"",E3387&lt;B3387),AND(F3387&lt;&gt;"",F3387&lt;B3387)),"Evento anterior à entrada",IF(AND(F3387&lt;&gt;"",E3387=""),"Conversa sem agendamento",IF(OR(E3387&gt;TODAY(),F3387&gt;TODAY()),"Verificar evento futuro","OK"))))))</f>
        <v/>
      </c>
    </row>
    <row r="3388" spans="9:12">
      <c r="I3388" s="5">
        <f>IF(OR(A3388="",B3388=""),"",B3388-WEEKDAY(B3388,2)+1)</f>
        <v/>
      </c>
      <c r="J3388" s="5">
        <f>IF(I3388="","",I3388+6)</f>
        <v/>
      </c>
      <c r="K3388" s="6">
        <f>IF(OR(A3388="",B3388=""),"",DATE(YEAR(B3388),MONTH(B3388),1))</f>
        <v/>
      </c>
      <c r="L3388" s="7">
        <f>IF(COUNTA(A3388,B3388)=0,"",IF(OR(A3388="",B3388=""),"Preencher CPF e entrada",IF(COUNTIFS($A$12:$A$5011,A3388,$B$12:$B$5011,B3388)&gt;1,"CPF + dia duplicado",IF(OR(AND(E3388&lt;&gt;"",E3388&lt;B3388),AND(F3388&lt;&gt;"",F3388&lt;B3388)),"Evento anterior à entrada",IF(AND(F3388&lt;&gt;"",E3388=""),"Conversa sem agendamento",IF(OR(E3388&gt;TODAY(),F3388&gt;TODAY()),"Verificar evento futuro","OK"))))))</f>
        <v/>
      </c>
    </row>
    <row r="3389" spans="9:12">
      <c r="I3389" s="5">
        <f>IF(OR(A3389="",B3389=""),"",B3389-WEEKDAY(B3389,2)+1)</f>
        <v/>
      </c>
      <c r="J3389" s="5">
        <f>IF(I3389="","",I3389+6)</f>
        <v/>
      </c>
      <c r="K3389" s="6">
        <f>IF(OR(A3389="",B3389=""),"",DATE(YEAR(B3389),MONTH(B3389),1))</f>
        <v/>
      </c>
      <c r="L3389" s="7">
        <f>IF(COUNTA(A3389,B3389)=0,"",IF(OR(A3389="",B3389=""),"Preencher CPF e entrada",IF(COUNTIFS($A$12:$A$5011,A3389,$B$12:$B$5011,B3389)&gt;1,"CPF + dia duplicado",IF(OR(AND(E3389&lt;&gt;"",E3389&lt;B3389),AND(F3389&lt;&gt;"",F3389&lt;B3389)),"Evento anterior à entrada",IF(AND(F3389&lt;&gt;"",E3389=""),"Conversa sem agendamento",IF(OR(E3389&gt;TODAY(),F3389&gt;TODAY()),"Verificar evento futuro","OK"))))))</f>
        <v/>
      </c>
    </row>
    <row r="3390" spans="9:12">
      <c r="I3390" s="5">
        <f>IF(OR(A3390="",B3390=""),"",B3390-WEEKDAY(B3390,2)+1)</f>
        <v/>
      </c>
      <c r="J3390" s="5">
        <f>IF(I3390="","",I3390+6)</f>
        <v/>
      </c>
      <c r="K3390" s="6">
        <f>IF(OR(A3390="",B3390=""),"",DATE(YEAR(B3390),MONTH(B3390),1))</f>
        <v/>
      </c>
      <c r="L3390" s="7">
        <f>IF(COUNTA(A3390,B3390)=0,"",IF(OR(A3390="",B3390=""),"Preencher CPF e entrada",IF(COUNTIFS($A$12:$A$5011,A3390,$B$12:$B$5011,B3390)&gt;1,"CPF + dia duplicado",IF(OR(AND(E3390&lt;&gt;"",E3390&lt;B3390),AND(F3390&lt;&gt;"",F3390&lt;B3390)),"Evento anterior à entrada",IF(AND(F3390&lt;&gt;"",E3390=""),"Conversa sem agendamento",IF(OR(E3390&gt;TODAY(),F3390&gt;TODAY()),"Verificar evento futuro","OK"))))))</f>
        <v/>
      </c>
    </row>
    <row r="3391" spans="9:12">
      <c r="I3391" s="5">
        <f>IF(OR(A3391="",B3391=""),"",B3391-WEEKDAY(B3391,2)+1)</f>
        <v/>
      </c>
      <c r="J3391" s="5">
        <f>IF(I3391="","",I3391+6)</f>
        <v/>
      </c>
      <c r="K3391" s="6">
        <f>IF(OR(A3391="",B3391=""),"",DATE(YEAR(B3391),MONTH(B3391),1))</f>
        <v/>
      </c>
      <c r="L3391" s="7">
        <f>IF(COUNTA(A3391,B3391)=0,"",IF(OR(A3391="",B3391=""),"Preencher CPF e entrada",IF(COUNTIFS($A$12:$A$5011,A3391,$B$12:$B$5011,B3391)&gt;1,"CPF + dia duplicado",IF(OR(AND(E3391&lt;&gt;"",E3391&lt;B3391),AND(F3391&lt;&gt;"",F3391&lt;B3391)),"Evento anterior à entrada",IF(AND(F3391&lt;&gt;"",E3391=""),"Conversa sem agendamento",IF(OR(E3391&gt;TODAY(),F3391&gt;TODAY()),"Verificar evento futuro","OK"))))))</f>
        <v/>
      </c>
    </row>
    <row r="3392" spans="9:12">
      <c r="I3392" s="5">
        <f>IF(OR(A3392="",B3392=""),"",B3392-WEEKDAY(B3392,2)+1)</f>
        <v/>
      </c>
      <c r="J3392" s="5">
        <f>IF(I3392="","",I3392+6)</f>
        <v/>
      </c>
      <c r="K3392" s="6">
        <f>IF(OR(A3392="",B3392=""),"",DATE(YEAR(B3392),MONTH(B3392),1))</f>
        <v/>
      </c>
      <c r="L3392" s="7">
        <f>IF(COUNTA(A3392,B3392)=0,"",IF(OR(A3392="",B3392=""),"Preencher CPF e entrada",IF(COUNTIFS($A$12:$A$5011,A3392,$B$12:$B$5011,B3392)&gt;1,"CPF + dia duplicado",IF(OR(AND(E3392&lt;&gt;"",E3392&lt;B3392),AND(F3392&lt;&gt;"",F3392&lt;B3392)),"Evento anterior à entrada",IF(AND(F3392&lt;&gt;"",E3392=""),"Conversa sem agendamento",IF(OR(E3392&gt;TODAY(),F3392&gt;TODAY()),"Verificar evento futuro","OK"))))))</f>
        <v/>
      </c>
    </row>
    <row r="3393" spans="9:12">
      <c r="I3393" s="5">
        <f>IF(OR(A3393="",B3393=""),"",B3393-WEEKDAY(B3393,2)+1)</f>
        <v/>
      </c>
      <c r="J3393" s="5">
        <f>IF(I3393="","",I3393+6)</f>
        <v/>
      </c>
      <c r="K3393" s="6">
        <f>IF(OR(A3393="",B3393=""),"",DATE(YEAR(B3393),MONTH(B3393),1))</f>
        <v/>
      </c>
      <c r="L3393" s="7">
        <f>IF(COUNTA(A3393,B3393)=0,"",IF(OR(A3393="",B3393=""),"Preencher CPF e entrada",IF(COUNTIFS($A$12:$A$5011,A3393,$B$12:$B$5011,B3393)&gt;1,"CPF + dia duplicado",IF(OR(AND(E3393&lt;&gt;"",E3393&lt;B3393),AND(F3393&lt;&gt;"",F3393&lt;B3393)),"Evento anterior à entrada",IF(AND(F3393&lt;&gt;"",E3393=""),"Conversa sem agendamento",IF(OR(E3393&gt;TODAY(),F3393&gt;TODAY()),"Verificar evento futuro","OK"))))))</f>
        <v/>
      </c>
    </row>
    <row r="3394" spans="9:12">
      <c r="I3394" s="5">
        <f>IF(OR(A3394="",B3394=""),"",B3394-WEEKDAY(B3394,2)+1)</f>
        <v/>
      </c>
      <c r="J3394" s="5">
        <f>IF(I3394="","",I3394+6)</f>
        <v/>
      </c>
      <c r="K3394" s="6">
        <f>IF(OR(A3394="",B3394=""),"",DATE(YEAR(B3394),MONTH(B3394),1))</f>
        <v/>
      </c>
      <c r="L3394" s="7">
        <f>IF(COUNTA(A3394,B3394)=0,"",IF(OR(A3394="",B3394=""),"Preencher CPF e entrada",IF(COUNTIFS($A$12:$A$5011,A3394,$B$12:$B$5011,B3394)&gt;1,"CPF + dia duplicado",IF(OR(AND(E3394&lt;&gt;"",E3394&lt;B3394),AND(F3394&lt;&gt;"",F3394&lt;B3394)),"Evento anterior à entrada",IF(AND(F3394&lt;&gt;"",E3394=""),"Conversa sem agendamento",IF(OR(E3394&gt;TODAY(),F3394&gt;TODAY()),"Verificar evento futuro","OK"))))))</f>
        <v/>
      </c>
    </row>
    <row r="3395" spans="9:12">
      <c r="I3395" s="5">
        <f>IF(OR(A3395="",B3395=""),"",B3395-WEEKDAY(B3395,2)+1)</f>
        <v/>
      </c>
      <c r="J3395" s="5">
        <f>IF(I3395="","",I3395+6)</f>
        <v/>
      </c>
      <c r="K3395" s="6">
        <f>IF(OR(A3395="",B3395=""),"",DATE(YEAR(B3395),MONTH(B3395),1))</f>
        <v/>
      </c>
      <c r="L3395" s="7">
        <f>IF(COUNTA(A3395,B3395)=0,"",IF(OR(A3395="",B3395=""),"Preencher CPF e entrada",IF(COUNTIFS($A$12:$A$5011,A3395,$B$12:$B$5011,B3395)&gt;1,"CPF + dia duplicado",IF(OR(AND(E3395&lt;&gt;"",E3395&lt;B3395),AND(F3395&lt;&gt;"",F3395&lt;B3395)),"Evento anterior à entrada",IF(AND(F3395&lt;&gt;"",E3395=""),"Conversa sem agendamento",IF(OR(E3395&gt;TODAY(),F3395&gt;TODAY()),"Verificar evento futuro","OK"))))))</f>
        <v/>
      </c>
    </row>
    <row r="3396" spans="9:12">
      <c r="I3396" s="5">
        <f>IF(OR(A3396="",B3396=""),"",B3396-WEEKDAY(B3396,2)+1)</f>
        <v/>
      </c>
      <c r="J3396" s="5">
        <f>IF(I3396="","",I3396+6)</f>
        <v/>
      </c>
      <c r="K3396" s="6">
        <f>IF(OR(A3396="",B3396=""),"",DATE(YEAR(B3396),MONTH(B3396),1))</f>
        <v/>
      </c>
      <c r="L3396" s="7">
        <f>IF(COUNTA(A3396,B3396)=0,"",IF(OR(A3396="",B3396=""),"Preencher CPF e entrada",IF(COUNTIFS($A$12:$A$5011,A3396,$B$12:$B$5011,B3396)&gt;1,"CPF + dia duplicado",IF(OR(AND(E3396&lt;&gt;"",E3396&lt;B3396),AND(F3396&lt;&gt;"",F3396&lt;B3396)),"Evento anterior à entrada",IF(AND(F3396&lt;&gt;"",E3396=""),"Conversa sem agendamento",IF(OR(E3396&gt;TODAY(),F3396&gt;TODAY()),"Verificar evento futuro","OK"))))))</f>
        <v/>
      </c>
    </row>
    <row r="3397" spans="9:12">
      <c r="I3397" s="5">
        <f>IF(OR(A3397="",B3397=""),"",B3397-WEEKDAY(B3397,2)+1)</f>
        <v/>
      </c>
      <c r="J3397" s="5">
        <f>IF(I3397="","",I3397+6)</f>
        <v/>
      </c>
      <c r="K3397" s="6">
        <f>IF(OR(A3397="",B3397=""),"",DATE(YEAR(B3397),MONTH(B3397),1))</f>
        <v/>
      </c>
      <c r="L3397" s="7">
        <f>IF(COUNTA(A3397,B3397)=0,"",IF(OR(A3397="",B3397=""),"Preencher CPF e entrada",IF(COUNTIFS($A$12:$A$5011,A3397,$B$12:$B$5011,B3397)&gt;1,"CPF + dia duplicado",IF(OR(AND(E3397&lt;&gt;"",E3397&lt;B3397),AND(F3397&lt;&gt;"",F3397&lt;B3397)),"Evento anterior à entrada",IF(AND(F3397&lt;&gt;"",E3397=""),"Conversa sem agendamento",IF(OR(E3397&gt;TODAY(),F3397&gt;TODAY()),"Verificar evento futuro","OK"))))))</f>
        <v/>
      </c>
    </row>
    <row r="3398" spans="9:12">
      <c r="I3398" s="5">
        <f>IF(OR(A3398="",B3398=""),"",B3398-WEEKDAY(B3398,2)+1)</f>
        <v/>
      </c>
      <c r="J3398" s="5">
        <f>IF(I3398="","",I3398+6)</f>
        <v/>
      </c>
      <c r="K3398" s="6">
        <f>IF(OR(A3398="",B3398=""),"",DATE(YEAR(B3398),MONTH(B3398),1))</f>
        <v/>
      </c>
      <c r="L3398" s="7">
        <f>IF(COUNTA(A3398,B3398)=0,"",IF(OR(A3398="",B3398=""),"Preencher CPF e entrada",IF(COUNTIFS($A$12:$A$5011,A3398,$B$12:$B$5011,B3398)&gt;1,"CPF + dia duplicado",IF(OR(AND(E3398&lt;&gt;"",E3398&lt;B3398),AND(F3398&lt;&gt;"",F3398&lt;B3398)),"Evento anterior à entrada",IF(AND(F3398&lt;&gt;"",E3398=""),"Conversa sem agendamento",IF(OR(E3398&gt;TODAY(),F3398&gt;TODAY()),"Verificar evento futuro","OK"))))))</f>
        <v/>
      </c>
    </row>
    <row r="3399" spans="9:12">
      <c r="I3399" s="5">
        <f>IF(OR(A3399="",B3399=""),"",B3399-WEEKDAY(B3399,2)+1)</f>
        <v/>
      </c>
      <c r="J3399" s="5">
        <f>IF(I3399="","",I3399+6)</f>
        <v/>
      </c>
      <c r="K3399" s="6">
        <f>IF(OR(A3399="",B3399=""),"",DATE(YEAR(B3399),MONTH(B3399),1))</f>
        <v/>
      </c>
      <c r="L3399" s="7">
        <f>IF(COUNTA(A3399,B3399)=0,"",IF(OR(A3399="",B3399=""),"Preencher CPF e entrada",IF(COUNTIFS($A$12:$A$5011,A3399,$B$12:$B$5011,B3399)&gt;1,"CPF + dia duplicado",IF(OR(AND(E3399&lt;&gt;"",E3399&lt;B3399),AND(F3399&lt;&gt;"",F3399&lt;B3399)),"Evento anterior à entrada",IF(AND(F3399&lt;&gt;"",E3399=""),"Conversa sem agendamento",IF(OR(E3399&gt;TODAY(),F3399&gt;TODAY()),"Verificar evento futuro","OK"))))))</f>
        <v/>
      </c>
    </row>
    <row r="3400" spans="9:12">
      <c r="I3400" s="5">
        <f>IF(OR(A3400="",B3400=""),"",B3400-WEEKDAY(B3400,2)+1)</f>
        <v/>
      </c>
      <c r="J3400" s="5">
        <f>IF(I3400="","",I3400+6)</f>
        <v/>
      </c>
      <c r="K3400" s="6">
        <f>IF(OR(A3400="",B3400=""),"",DATE(YEAR(B3400),MONTH(B3400),1))</f>
        <v/>
      </c>
      <c r="L3400" s="7">
        <f>IF(COUNTA(A3400,B3400)=0,"",IF(OR(A3400="",B3400=""),"Preencher CPF e entrada",IF(COUNTIFS($A$12:$A$5011,A3400,$B$12:$B$5011,B3400)&gt;1,"CPF + dia duplicado",IF(OR(AND(E3400&lt;&gt;"",E3400&lt;B3400),AND(F3400&lt;&gt;"",F3400&lt;B3400)),"Evento anterior à entrada",IF(AND(F3400&lt;&gt;"",E3400=""),"Conversa sem agendamento",IF(OR(E3400&gt;TODAY(),F3400&gt;TODAY()),"Verificar evento futuro","OK"))))))</f>
        <v/>
      </c>
    </row>
    <row r="3401" spans="9:12">
      <c r="I3401" s="5">
        <f>IF(OR(A3401="",B3401=""),"",B3401-WEEKDAY(B3401,2)+1)</f>
        <v/>
      </c>
      <c r="J3401" s="5">
        <f>IF(I3401="","",I3401+6)</f>
        <v/>
      </c>
      <c r="K3401" s="6">
        <f>IF(OR(A3401="",B3401=""),"",DATE(YEAR(B3401),MONTH(B3401),1))</f>
        <v/>
      </c>
      <c r="L3401" s="7">
        <f>IF(COUNTA(A3401,B3401)=0,"",IF(OR(A3401="",B3401=""),"Preencher CPF e entrada",IF(COUNTIFS($A$12:$A$5011,A3401,$B$12:$B$5011,B3401)&gt;1,"CPF + dia duplicado",IF(OR(AND(E3401&lt;&gt;"",E3401&lt;B3401),AND(F3401&lt;&gt;"",F3401&lt;B3401)),"Evento anterior à entrada",IF(AND(F3401&lt;&gt;"",E3401=""),"Conversa sem agendamento",IF(OR(E3401&gt;TODAY(),F3401&gt;TODAY()),"Verificar evento futuro","OK"))))))</f>
        <v/>
      </c>
    </row>
    <row r="3402" spans="9:12">
      <c r="I3402" s="5">
        <f>IF(OR(A3402="",B3402=""),"",B3402-WEEKDAY(B3402,2)+1)</f>
        <v/>
      </c>
      <c r="J3402" s="5">
        <f>IF(I3402="","",I3402+6)</f>
        <v/>
      </c>
      <c r="K3402" s="6">
        <f>IF(OR(A3402="",B3402=""),"",DATE(YEAR(B3402),MONTH(B3402),1))</f>
        <v/>
      </c>
      <c r="L3402" s="7">
        <f>IF(COUNTA(A3402,B3402)=0,"",IF(OR(A3402="",B3402=""),"Preencher CPF e entrada",IF(COUNTIFS($A$12:$A$5011,A3402,$B$12:$B$5011,B3402)&gt;1,"CPF + dia duplicado",IF(OR(AND(E3402&lt;&gt;"",E3402&lt;B3402),AND(F3402&lt;&gt;"",F3402&lt;B3402)),"Evento anterior à entrada",IF(AND(F3402&lt;&gt;"",E3402=""),"Conversa sem agendamento",IF(OR(E3402&gt;TODAY(),F3402&gt;TODAY()),"Verificar evento futuro","OK"))))))</f>
        <v/>
      </c>
    </row>
    <row r="3403" spans="9:12">
      <c r="I3403" s="5">
        <f>IF(OR(A3403="",B3403=""),"",B3403-WEEKDAY(B3403,2)+1)</f>
        <v/>
      </c>
      <c r="J3403" s="5">
        <f>IF(I3403="","",I3403+6)</f>
        <v/>
      </c>
      <c r="K3403" s="6">
        <f>IF(OR(A3403="",B3403=""),"",DATE(YEAR(B3403),MONTH(B3403),1))</f>
        <v/>
      </c>
      <c r="L3403" s="7">
        <f>IF(COUNTA(A3403,B3403)=0,"",IF(OR(A3403="",B3403=""),"Preencher CPF e entrada",IF(COUNTIFS($A$12:$A$5011,A3403,$B$12:$B$5011,B3403)&gt;1,"CPF + dia duplicado",IF(OR(AND(E3403&lt;&gt;"",E3403&lt;B3403),AND(F3403&lt;&gt;"",F3403&lt;B3403)),"Evento anterior à entrada",IF(AND(F3403&lt;&gt;"",E3403=""),"Conversa sem agendamento",IF(OR(E3403&gt;TODAY(),F3403&gt;TODAY()),"Verificar evento futuro","OK"))))))</f>
        <v/>
      </c>
    </row>
    <row r="3404" spans="9:12">
      <c r="I3404" s="5">
        <f>IF(OR(A3404="",B3404=""),"",B3404-WEEKDAY(B3404,2)+1)</f>
        <v/>
      </c>
      <c r="J3404" s="5">
        <f>IF(I3404="","",I3404+6)</f>
        <v/>
      </c>
      <c r="K3404" s="6">
        <f>IF(OR(A3404="",B3404=""),"",DATE(YEAR(B3404),MONTH(B3404),1))</f>
        <v/>
      </c>
      <c r="L3404" s="7">
        <f>IF(COUNTA(A3404,B3404)=0,"",IF(OR(A3404="",B3404=""),"Preencher CPF e entrada",IF(COUNTIFS($A$12:$A$5011,A3404,$B$12:$B$5011,B3404)&gt;1,"CPF + dia duplicado",IF(OR(AND(E3404&lt;&gt;"",E3404&lt;B3404),AND(F3404&lt;&gt;"",F3404&lt;B3404)),"Evento anterior à entrada",IF(AND(F3404&lt;&gt;"",E3404=""),"Conversa sem agendamento",IF(OR(E3404&gt;TODAY(),F3404&gt;TODAY()),"Verificar evento futuro","OK"))))))</f>
        <v/>
      </c>
    </row>
    <row r="3405" spans="9:12">
      <c r="I3405" s="5">
        <f>IF(OR(A3405="",B3405=""),"",B3405-WEEKDAY(B3405,2)+1)</f>
        <v/>
      </c>
      <c r="J3405" s="5">
        <f>IF(I3405="","",I3405+6)</f>
        <v/>
      </c>
      <c r="K3405" s="6">
        <f>IF(OR(A3405="",B3405=""),"",DATE(YEAR(B3405),MONTH(B3405),1))</f>
        <v/>
      </c>
      <c r="L3405" s="7">
        <f>IF(COUNTA(A3405,B3405)=0,"",IF(OR(A3405="",B3405=""),"Preencher CPF e entrada",IF(COUNTIFS($A$12:$A$5011,A3405,$B$12:$B$5011,B3405)&gt;1,"CPF + dia duplicado",IF(OR(AND(E3405&lt;&gt;"",E3405&lt;B3405),AND(F3405&lt;&gt;"",F3405&lt;B3405)),"Evento anterior à entrada",IF(AND(F3405&lt;&gt;"",E3405=""),"Conversa sem agendamento",IF(OR(E3405&gt;TODAY(),F3405&gt;TODAY()),"Verificar evento futuro","OK"))))))</f>
        <v/>
      </c>
    </row>
    <row r="3406" spans="9:12">
      <c r="I3406" s="5">
        <f>IF(OR(A3406="",B3406=""),"",B3406-WEEKDAY(B3406,2)+1)</f>
        <v/>
      </c>
      <c r="J3406" s="5">
        <f>IF(I3406="","",I3406+6)</f>
        <v/>
      </c>
      <c r="K3406" s="6">
        <f>IF(OR(A3406="",B3406=""),"",DATE(YEAR(B3406),MONTH(B3406),1))</f>
        <v/>
      </c>
      <c r="L3406" s="7">
        <f>IF(COUNTA(A3406,B3406)=0,"",IF(OR(A3406="",B3406=""),"Preencher CPF e entrada",IF(COUNTIFS($A$12:$A$5011,A3406,$B$12:$B$5011,B3406)&gt;1,"CPF + dia duplicado",IF(OR(AND(E3406&lt;&gt;"",E3406&lt;B3406),AND(F3406&lt;&gt;"",F3406&lt;B3406)),"Evento anterior à entrada",IF(AND(F3406&lt;&gt;"",E3406=""),"Conversa sem agendamento",IF(OR(E3406&gt;TODAY(),F3406&gt;TODAY()),"Verificar evento futuro","OK"))))))</f>
        <v/>
      </c>
    </row>
    <row r="3407" spans="9:12">
      <c r="I3407" s="5">
        <f>IF(OR(A3407="",B3407=""),"",B3407-WEEKDAY(B3407,2)+1)</f>
        <v/>
      </c>
      <c r="J3407" s="5">
        <f>IF(I3407="","",I3407+6)</f>
        <v/>
      </c>
      <c r="K3407" s="6">
        <f>IF(OR(A3407="",B3407=""),"",DATE(YEAR(B3407),MONTH(B3407),1))</f>
        <v/>
      </c>
      <c r="L3407" s="7">
        <f>IF(COUNTA(A3407,B3407)=0,"",IF(OR(A3407="",B3407=""),"Preencher CPF e entrada",IF(COUNTIFS($A$12:$A$5011,A3407,$B$12:$B$5011,B3407)&gt;1,"CPF + dia duplicado",IF(OR(AND(E3407&lt;&gt;"",E3407&lt;B3407),AND(F3407&lt;&gt;"",F3407&lt;B3407)),"Evento anterior à entrada",IF(AND(F3407&lt;&gt;"",E3407=""),"Conversa sem agendamento",IF(OR(E3407&gt;TODAY(),F3407&gt;TODAY()),"Verificar evento futuro","OK"))))))</f>
        <v/>
      </c>
    </row>
    <row r="3408" spans="9:12">
      <c r="I3408" s="5">
        <f>IF(OR(A3408="",B3408=""),"",B3408-WEEKDAY(B3408,2)+1)</f>
        <v/>
      </c>
      <c r="J3408" s="5">
        <f>IF(I3408="","",I3408+6)</f>
        <v/>
      </c>
      <c r="K3408" s="6">
        <f>IF(OR(A3408="",B3408=""),"",DATE(YEAR(B3408),MONTH(B3408),1))</f>
        <v/>
      </c>
      <c r="L3408" s="7">
        <f>IF(COUNTA(A3408,B3408)=0,"",IF(OR(A3408="",B3408=""),"Preencher CPF e entrada",IF(COUNTIFS($A$12:$A$5011,A3408,$B$12:$B$5011,B3408)&gt;1,"CPF + dia duplicado",IF(OR(AND(E3408&lt;&gt;"",E3408&lt;B3408),AND(F3408&lt;&gt;"",F3408&lt;B3408)),"Evento anterior à entrada",IF(AND(F3408&lt;&gt;"",E3408=""),"Conversa sem agendamento",IF(OR(E3408&gt;TODAY(),F3408&gt;TODAY()),"Verificar evento futuro","OK"))))))</f>
        <v/>
      </c>
    </row>
    <row r="3409" spans="9:12">
      <c r="I3409" s="5">
        <f>IF(OR(A3409="",B3409=""),"",B3409-WEEKDAY(B3409,2)+1)</f>
        <v/>
      </c>
      <c r="J3409" s="5">
        <f>IF(I3409="","",I3409+6)</f>
        <v/>
      </c>
      <c r="K3409" s="6">
        <f>IF(OR(A3409="",B3409=""),"",DATE(YEAR(B3409),MONTH(B3409),1))</f>
        <v/>
      </c>
      <c r="L3409" s="7">
        <f>IF(COUNTA(A3409,B3409)=0,"",IF(OR(A3409="",B3409=""),"Preencher CPF e entrada",IF(COUNTIFS($A$12:$A$5011,A3409,$B$12:$B$5011,B3409)&gt;1,"CPF + dia duplicado",IF(OR(AND(E3409&lt;&gt;"",E3409&lt;B3409),AND(F3409&lt;&gt;"",F3409&lt;B3409)),"Evento anterior à entrada",IF(AND(F3409&lt;&gt;"",E3409=""),"Conversa sem agendamento",IF(OR(E3409&gt;TODAY(),F3409&gt;TODAY()),"Verificar evento futuro","OK"))))))</f>
        <v/>
      </c>
    </row>
    <row r="3410" spans="9:12">
      <c r="I3410" s="5">
        <f>IF(OR(A3410="",B3410=""),"",B3410-WEEKDAY(B3410,2)+1)</f>
        <v/>
      </c>
      <c r="J3410" s="5">
        <f>IF(I3410="","",I3410+6)</f>
        <v/>
      </c>
      <c r="K3410" s="6">
        <f>IF(OR(A3410="",B3410=""),"",DATE(YEAR(B3410),MONTH(B3410),1))</f>
        <v/>
      </c>
      <c r="L3410" s="7">
        <f>IF(COUNTA(A3410,B3410)=0,"",IF(OR(A3410="",B3410=""),"Preencher CPF e entrada",IF(COUNTIFS($A$12:$A$5011,A3410,$B$12:$B$5011,B3410)&gt;1,"CPF + dia duplicado",IF(OR(AND(E3410&lt;&gt;"",E3410&lt;B3410),AND(F3410&lt;&gt;"",F3410&lt;B3410)),"Evento anterior à entrada",IF(AND(F3410&lt;&gt;"",E3410=""),"Conversa sem agendamento",IF(OR(E3410&gt;TODAY(),F3410&gt;TODAY()),"Verificar evento futuro","OK"))))))</f>
        <v/>
      </c>
    </row>
    <row r="3411" spans="9:12">
      <c r="I3411" s="5">
        <f>IF(OR(A3411="",B3411=""),"",B3411-WEEKDAY(B3411,2)+1)</f>
        <v/>
      </c>
      <c r="J3411" s="5">
        <f>IF(I3411="","",I3411+6)</f>
        <v/>
      </c>
      <c r="K3411" s="6">
        <f>IF(OR(A3411="",B3411=""),"",DATE(YEAR(B3411),MONTH(B3411),1))</f>
        <v/>
      </c>
      <c r="L3411" s="7">
        <f>IF(COUNTA(A3411,B3411)=0,"",IF(OR(A3411="",B3411=""),"Preencher CPF e entrada",IF(COUNTIFS($A$12:$A$5011,A3411,$B$12:$B$5011,B3411)&gt;1,"CPF + dia duplicado",IF(OR(AND(E3411&lt;&gt;"",E3411&lt;B3411),AND(F3411&lt;&gt;"",F3411&lt;B3411)),"Evento anterior à entrada",IF(AND(F3411&lt;&gt;"",E3411=""),"Conversa sem agendamento",IF(OR(E3411&gt;TODAY(),F3411&gt;TODAY()),"Verificar evento futuro","OK"))))))</f>
        <v/>
      </c>
    </row>
    <row r="3412" spans="9:12">
      <c r="I3412" s="5">
        <f>IF(OR(A3412="",B3412=""),"",B3412-WEEKDAY(B3412,2)+1)</f>
        <v/>
      </c>
      <c r="J3412" s="5">
        <f>IF(I3412="","",I3412+6)</f>
        <v/>
      </c>
      <c r="K3412" s="6">
        <f>IF(OR(A3412="",B3412=""),"",DATE(YEAR(B3412),MONTH(B3412),1))</f>
        <v/>
      </c>
      <c r="L3412" s="7">
        <f>IF(COUNTA(A3412,B3412)=0,"",IF(OR(A3412="",B3412=""),"Preencher CPF e entrada",IF(COUNTIFS($A$12:$A$5011,A3412,$B$12:$B$5011,B3412)&gt;1,"CPF + dia duplicado",IF(OR(AND(E3412&lt;&gt;"",E3412&lt;B3412),AND(F3412&lt;&gt;"",F3412&lt;B3412)),"Evento anterior à entrada",IF(AND(F3412&lt;&gt;"",E3412=""),"Conversa sem agendamento",IF(OR(E3412&gt;TODAY(),F3412&gt;TODAY()),"Verificar evento futuro","OK"))))))</f>
        <v/>
      </c>
    </row>
    <row r="3413" spans="9:12">
      <c r="I3413" s="5">
        <f>IF(OR(A3413="",B3413=""),"",B3413-WEEKDAY(B3413,2)+1)</f>
        <v/>
      </c>
      <c r="J3413" s="5">
        <f>IF(I3413="","",I3413+6)</f>
        <v/>
      </c>
      <c r="K3413" s="6">
        <f>IF(OR(A3413="",B3413=""),"",DATE(YEAR(B3413),MONTH(B3413),1))</f>
        <v/>
      </c>
      <c r="L3413" s="7">
        <f>IF(COUNTA(A3413,B3413)=0,"",IF(OR(A3413="",B3413=""),"Preencher CPF e entrada",IF(COUNTIFS($A$12:$A$5011,A3413,$B$12:$B$5011,B3413)&gt;1,"CPF + dia duplicado",IF(OR(AND(E3413&lt;&gt;"",E3413&lt;B3413),AND(F3413&lt;&gt;"",F3413&lt;B3413)),"Evento anterior à entrada",IF(AND(F3413&lt;&gt;"",E3413=""),"Conversa sem agendamento",IF(OR(E3413&gt;TODAY(),F3413&gt;TODAY()),"Verificar evento futuro","OK"))))))</f>
        <v/>
      </c>
    </row>
    <row r="3414" spans="9:12">
      <c r="I3414" s="5">
        <f>IF(OR(A3414="",B3414=""),"",B3414-WEEKDAY(B3414,2)+1)</f>
        <v/>
      </c>
      <c r="J3414" s="5">
        <f>IF(I3414="","",I3414+6)</f>
        <v/>
      </c>
      <c r="K3414" s="6">
        <f>IF(OR(A3414="",B3414=""),"",DATE(YEAR(B3414),MONTH(B3414),1))</f>
        <v/>
      </c>
      <c r="L3414" s="7">
        <f>IF(COUNTA(A3414,B3414)=0,"",IF(OR(A3414="",B3414=""),"Preencher CPF e entrada",IF(COUNTIFS($A$12:$A$5011,A3414,$B$12:$B$5011,B3414)&gt;1,"CPF + dia duplicado",IF(OR(AND(E3414&lt;&gt;"",E3414&lt;B3414),AND(F3414&lt;&gt;"",F3414&lt;B3414)),"Evento anterior à entrada",IF(AND(F3414&lt;&gt;"",E3414=""),"Conversa sem agendamento",IF(OR(E3414&gt;TODAY(),F3414&gt;TODAY()),"Verificar evento futuro","OK"))))))</f>
        <v/>
      </c>
    </row>
    <row r="3415" spans="9:12">
      <c r="I3415" s="5">
        <f>IF(OR(A3415="",B3415=""),"",B3415-WEEKDAY(B3415,2)+1)</f>
        <v/>
      </c>
      <c r="J3415" s="5">
        <f>IF(I3415="","",I3415+6)</f>
        <v/>
      </c>
      <c r="K3415" s="6">
        <f>IF(OR(A3415="",B3415=""),"",DATE(YEAR(B3415),MONTH(B3415),1))</f>
        <v/>
      </c>
      <c r="L3415" s="7">
        <f>IF(COUNTA(A3415,B3415)=0,"",IF(OR(A3415="",B3415=""),"Preencher CPF e entrada",IF(COUNTIFS($A$12:$A$5011,A3415,$B$12:$B$5011,B3415)&gt;1,"CPF + dia duplicado",IF(OR(AND(E3415&lt;&gt;"",E3415&lt;B3415),AND(F3415&lt;&gt;"",F3415&lt;B3415)),"Evento anterior à entrada",IF(AND(F3415&lt;&gt;"",E3415=""),"Conversa sem agendamento",IF(OR(E3415&gt;TODAY(),F3415&gt;TODAY()),"Verificar evento futuro","OK"))))))</f>
        <v/>
      </c>
    </row>
    <row r="3416" spans="9:12">
      <c r="I3416" s="5">
        <f>IF(OR(A3416="",B3416=""),"",B3416-WEEKDAY(B3416,2)+1)</f>
        <v/>
      </c>
      <c r="J3416" s="5">
        <f>IF(I3416="","",I3416+6)</f>
        <v/>
      </c>
      <c r="K3416" s="6">
        <f>IF(OR(A3416="",B3416=""),"",DATE(YEAR(B3416),MONTH(B3416),1))</f>
        <v/>
      </c>
      <c r="L3416" s="7">
        <f>IF(COUNTA(A3416,B3416)=0,"",IF(OR(A3416="",B3416=""),"Preencher CPF e entrada",IF(COUNTIFS($A$12:$A$5011,A3416,$B$12:$B$5011,B3416)&gt;1,"CPF + dia duplicado",IF(OR(AND(E3416&lt;&gt;"",E3416&lt;B3416),AND(F3416&lt;&gt;"",F3416&lt;B3416)),"Evento anterior à entrada",IF(AND(F3416&lt;&gt;"",E3416=""),"Conversa sem agendamento",IF(OR(E3416&gt;TODAY(),F3416&gt;TODAY()),"Verificar evento futuro","OK"))))))</f>
        <v/>
      </c>
    </row>
    <row r="3417" spans="9:12">
      <c r="I3417" s="5">
        <f>IF(OR(A3417="",B3417=""),"",B3417-WEEKDAY(B3417,2)+1)</f>
        <v/>
      </c>
      <c r="J3417" s="5">
        <f>IF(I3417="","",I3417+6)</f>
        <v/>
      </c>
      <c r="K3417" s="6">
        <f>IF(OR(A3417="",B3417=""),"",DATE(YEAR(B3417),MONTH(B3417),1))</f>
        <v/>
      </c>
      <c r="L3417" s="7">
        <f>IF(COUNTA(A3417,B3417)=0,"",IF(OR(A3417="",B3417=""),"Preencher CPF e entrada",IF(COUNTIFS($A$12:$A$5011,A3417,$B$12:$B$5011,B3417)&gt;1,"CPF + dia duplicado",IF(OR(AND(E3417&lt;&gt;"",E3417&lt;B3417),AND(F3417&lt;&gt;"",F3417&lt;B3417)),"Evento anterior à entrada",IF(AND(F3417&lt;&gt;"",E3417=""),"Conversa sem agendamento",IF(OR(E3417&gt;TODAY(),F3417&gt;TODAY()),"Verificar evento futuro","OK"))))))</f>
        <v/>
      </c>
    </row>
    <row r="3418" spans="9:12">
      <c r="I3418" s="5">
        <f>IF(OR(A3418="",B3418=""),"",B3418-WEEKDAY(B3418,2)+1)</f>
        <v/>
      </c>
      <c r="J3418" s="5">
        <f>IF(I3418="","",I3418+6)</f>
        <v/>
      </c>
      <c r="K3418" s="6">
        <f>IF(OR(A3418="",B3418=""),"",DATE(YEAR(B3418),MONTH(B3418),1))</f>
        <v/>
      </c>
      <c r="L3418" s="7">
        <f>IF(COUNTA(A3418,B3418)=0,"",IF(OR(A3418="",B3418=""),"Preencher CPF e entrada",IF(COUNTIFS($A$12:$A$5011,A3418,$B$12:$B$5011,B3418)&gt;1,"CPF + dia duplicado",IF(OR(AND(E3418&lt;&gt;"",E3418&lt;B3418),AND(F3418&lt;&gt;"",F3418&lt;B3418)),"Evento anterior à entrada",IF(AND(F3418&lt;&gt;"",E3418=""),"Conversa sem agendamento",IF(OR(E3418&gt;TODAY(),F3418&gt;TODAY()),"Verificar evento futuro","OK"))))))</f>
        <v/>
      </c>
    </row>
    <row r="3419" spans="9:12">
      <c r="I3419" s="5">
        <f>IF(OR(A3419="",B3419=""),"",B3419-WEEKDAY(B3419,2)+1)</f>
        <v/>
      </c>
      <c r="J3419" s="5">
        <f>IF(I3419="","",I3419+6)</f>
        <v/>
      </c>
      <c r="K3419" s="6">
        <f>IF(OR(A3419="",B3419=""),"",DATE(YEAR(B3419),MONTH(B3419),1))</f>
        <v/>
      </c>
      <c r="L3419" s="7">
        <f>IF(COUNTA(A3419,B3419)=0,"",IF(OR(A3419="",B3419=""),"Preencher CPF e entrada",IF(COUNTIFS($A$12:$A$5011,A3419,$B$12:$B$5011,B3419)&gt;1,"CPF + dia duplicado",IF(OR(AND(E3419&lt;&gt;"",E3419&lt;B3419),AND(F3419&lt;&gt;"",F3419&lt;B3419)),"Evento anterior à entrada",IF(AND(F3419&lt;&gt;"",E3419=""),"Conversa sem agendamento",IF(OR(E3419&gt;TODAY(),F3419&gt;TODAY()),"Verificar evento futuro","OK"))))))</f>
        <v/>
      </c>
    </row>
    <row r="3420" spans="9:12">
      <c r="I3420" s="5">
        <f>IF(OR(A3420="",B3420=""),"",B3420-WEEKDAY(B3420,2)+1)</f>
        <v/>
      </c>
      <c r="J3420" s="5">
        <f>IF(I3420="","",I3420+6)</f>
        <v/>
      </c>
      <c r="K3420" s="6">
        <f>IF(OR(A3420="",B3420=""),"",DATE(YEAR(B3420),MONTH(B3420),1))</f>
        <v/>
      </c>
      <c r="L3420" s="7">
        <f>IF(COUNTA(A3420,B3420)=0,"",IF(OR(A3420="",B3420=""),"Preencher CPF e entrada",IF(COUNTIFS($A$12:$A$5011,A3420,$B$12:$B$5011,B3420)&gt;1,"CPF + dia duplicado",IF(OR(AND(E3420&lt;&gt;"",E3420&lt;B3420),AND(F3420&lt;&gt;"",F3420&lt;B3420)),"Evento anterior à entrada",IF(AND(F3420&lt;&gt;"",E3420=""),"Conversa sem agendamento",IF(OR(E3420&gt;TODAY(),F3420&gt;TODAY()),"Verificar evento futuro","OK"))))))</f>
        <v/>
      </c>
    </row>
    <row r="3421" spans="9:12">
      <c r="I3421" s="5">
        <f>IF(OR(A3421="",B3421=""),"",B3421-WEEKDAY(B3421,2)+1)</f>
        <v/>
      </c>
      <c r="J3421" s="5">
        <f>IF(I3421="","",I3421+6)</f>
        <v/>
      </c>
      <c r="K3421" s="6">
        <f>IF(OR(A3421="",B3421=""),"",DATE(YEAR(B3421),MONTH(B3421),1))</f>
        <v/>
      </c>
      <c r="L3421" s="7">
        <f>IF(COUNTA(A3421,B3421)=0,"",IF(OR(A3421="",B3421=""),"Preencher CPF e entrada",IF(COUNTIFS($A$12:$A$5011,A3421,$B$12:$B$5011,B3421)&gt;1,"CPF + dia duplicado",IF(OR(AND(E3421&lt;&gt;"",E3421&lt;B3421),AND(F3421&lt;&gt;"",F3421&lt;B3421)),"Evento anterior à entrada",IF(AND(F3421&lt;&gt;"",E3421=""),"Conversa sem agendamento",IF(OR(E3421&gt;TODAY(),F3421&gt;TODAY()),"Verificar evento futuro","OK"))))))</f>
        <v/>
      </c>
    </row>
    <row r="3422" spans="9:12">
      <c r="I3422" s="5">
        <f>IF(OR(A3422="",B3422=""),"",B3422-WEEKDAY(B3422,2)+1)</f>
        <v/>
      </c>
      <c r="J3422" s="5">
        <f>IF(I3422="","",I3422+6)</f>
        <v/>
      </c>
      <c r="K3422" s="6">
        <f>IF(OR(A3422="",B3422=""),"",DATE(YEAR(B3422),MONTH(B3422),1))</f>
        <v/>
      </c>
      <c r="L3422" s="7">
        <f>IF(COUNTA(A3422,B3422)=0,"",IF(OR(A3422="",B3422=""),"Preencher CPF e entrada",IF(COUNTIFS($A$12:$A$5011,A3422,$B$12:$B$5011,B3422)&gt;1,"CPF + dia duplicado",IF(OR(AND(E3422&lt;&gt;"",E3422&lt;B3422),AND(F3422&lt;&gt;"",F3422&lt;B3422)),"Evento anterior à entrada",IF(AND(F3422&lt;&gt;"",E3422=""),"Conversa sem agendamento",IF(OR(E3422&gt;TODAY(),F3422&gt;TODAY()),"Verificar evento futuro","OK"))))))</f>
        <v/>
      </c>
    </row>
    <row r="3423" spans="9:12">
      <c r="I3423" s="5">
        <f>IF(OR(A3423="",B3423=""),"",B3423-WEEKDAY(B3423,2)+1)</f>
        <v/>
      </c>
      <c r="J3423" s="5">
        <f>IF(I3423="","",I3423+6)</f>
        <v/>
      </c>
      <c r="K3423" s="6">
        <f>IF(OR(A3423="",B3423=""),"",DATE(YEAR(B3423),MONTH(B3423),1))</f>
        <v/>
      </c>
      <c r="L3423" s="7">
        <f>IF(COUNTA(A3423,B3423)=0,"",IF(OR(A3423="",B3423=""),"Preencher CPF e entrada",IF(COUNTIFS($A$12:$A$5011,A3423,$B$12:$B$5011,B3423)&gt;1,"CPF + dia duplicado",IF(OR(AND(E3423&lt;&gt;"",E3423&lt;B3423),AND(F3423&lt;&gt;"",F3423&lt;B3423)),"Evento anterior à entrada",IF(AND(F3423&lt;&gt;"",E3423=""),"Conversa sem agendamento",IF(OR(E3423&gt;TODAY(),F3423&gt;TODAY()),"Verificar evento futuro","OK"))))))</f>
        <v/>
      </c>
    </row>
    <row r="3424" spans="9:12">
      <c r="I3424" s="5">
        <f>IF(OR(A3424="",B3424=""),"",B3424-WEEKDAY(B3424,2)+1)</f>
        <v/>
      </c>
      <c r="J3424" s="5">
        <f>IF(I3424="","",I3424+6)</f>
        <v/>
      </c>
      <c r="K3424" s="6">
        <f>IF(OR(A3424="",B3424=""),"",DATE(YEAR(B3424),MONTH(B3424),1))</f>
        <v/>
      </c>
      <c r="L3424" s="7">
        <f>IF(COUNTA(A3424,B3424)=0,"",IF(OR(A3424="",B3424=""),"Preencher CPF e entrada",IF(COUNTIFS($A$12:$A$5011,A3424,$B$12:$B$5011,B3424)&gt;1,"CPF + dia duplicado",IF(OR(AND(E3424&lt;&gt;"",E3424&lt;B3424),AND(F3424&lt;&gt;"",F3424&lt;B3424)),"Evento anterior à entrada",IF(AND(F3424&lt;&gt;"",E3424=""),"Conversa sem agendamento",IF(OR(E3424&gt;TODAY(),F3424&gt;TODAY()),"Verificar evento futuro","OK"))))))</f>
        <v/>
      </c>
    </row>
    <row r="3425" spans="9:12">
      <c r="I3425" s="5">
        <f>IF(OR(A3425="",B3425=""),"",B3425-WEEKDAY(B3425,2)+1)</f>
        <v/>
      </c>
      <c r="J3425" s="5">
        <f>IF(I3425="","",I3425+6)</f>
        <v/>
      </c>
      <c r="K3425" s="6">
        <f>IF(OR(A3425="",B3425=""),"",DATE(YEAR(B3425),MONTH(B3425),1))</f>
        <v/>
      </c>
      <c r="L3425" s="7">
        <f>IF(COUNTA(A3425,B3425)=0,"",IF(OR(A3425="",B3425=""),"Preencher CPF e entrada",IF(COUNTIFS($A$12:$A$5011,A3425,$B$12:$B$5011,B3425)&gt;1,"CPF + dia duplicado",IF(OR(AND(E3425&lt;&gt;"",E3425&lt;B3425),AND(F3425&lt;&gt;"",F3425&lt;B3425)),"Evento anterior à entrada",IF(AND(F3425&lt;&gt;"",E3425=""),"Conversa sem agendamento",IF(OR(E3425&gt;TODAY(),F3425&gt;TODAY()),"Verificar evento futuro","OK"))))))</f>
        <v/>
      </c>
    </row>
    <row r="3426" spans="9:12">
      <c r="I3426" s="5">
        <f>IF(OR(A3426="",B3426=""),"",B3426-WEEKDAY(B3426,2)+1)</f>
        <v/>
      </c>
      <c r="J3426" s="5">
        <f>IF(I3426="","",I3426+6)</f>
        <v/>
      </c>
      <c r="K3426" s="6">
        <f>IF(OR(A3426="",B3426=""),"",DATE(YEAR(B3426),MONTH(B3426),1))</f>
        <v/>
      </c>
      <c r="L3426" s="7">
        <f>IF(COUNTA(A3426,B3426)=0,"",IF(OR(A3426="",B3426=""),"Preencher CPF e entrada",IF(COUNTIFS($A$12:$A$5011,A3426,$B$12:$B$5011,B3426)&gt;1,"CPF + dia duplicado",IF(OR(AND(E3426&lt;&gt;"",E3426&lt;B3426),AND(F3426&lt;&gt;"",F3426&lt;B3426)),"Evento anterior à entrada",IF(AND(F3426&lt;&gt;"",E3426=""),"Conversa sem agendamento",IF(OR(E3426&gt;TODAY(),F3426&gt;TODAY()),"Verificar evento futuro","OK"))))))</f>
        <v/>
      </c>
    </row>
    <row r="3427" spans="9:12">
      <c r="I3427" s="5">
        <f>IF(OR(A3427="",B3427=""),"",B3427-WEEKDAY(B3427,2)+1)</f>
        <v/>
      </c>
      <c r="J3427" s="5">
        <f>IF(I3427="","",I3427+6)</f>
        <v/>
      </c>
      <c r="K3427" s="6">
        <f>IF(OR(A3427="",B3427=""),"",DATE(YEAR(B3427),MONTH(B3427),1))</f>
        <v/>
      </c>
      <c r="L3427" s="7">
        <f>IF(COUNTA(A3427,B3427)=0,"",IF(OR(A3427="",B3427=""),"Preencher CPF e entrada",IF(COUNTIFS($A$12:$A$5011,A3427,$B$12:$B$5011,B3427)&gt;1,"CPF + dia duplicado",IF(OR(AND(E3427&lt;&gt;"",E3427&lt;B3427),AND(F3427&lt;&gt;"",F3427&lt;B3427)),"Evento anterior à entrada",IF(AND(F3427&lt;&gt;"",E3427=""),"Conversa sem agendamento",IF(OR(E3427&gt;TODAY(),F3427&gt;TODAY()),"Verificar evento futuro","OK"))))))</f>
        <v/>
      </c>
    </row>
    <row r="3428" spans="9:12">
      <c r="I3428" s="5">
        <f>IF(OR(A3428="",B3428=""),"",B3428-WEEKDAY(B3428,2)+1)</f>
        <v/>
      </c>
      <c r="J3428" s="5">
        <f>IF(I3428="","",I3428+6)</f>
        <v/>
      </c>
      <c r="K3428" s="6">
        <f>IF(OR(A3428="",B3428=""),"",DATE(YEAR(B3428),MONTH(B3428),1))</f>
        <v/>
      </c>
      <c r="L3428" s="7">
        <f>IF(COUNTA(A3428,B3428)=0,"",IF(OR(A3428="",B3428=""),"Preencher CPF e entrada",IF(COUNTIFS($A$12:$A$5011,A3428,$B$12:$B$5011,B3428)&gt;1,"CPF + dia duplicado",IF(OR(AND(E3428&lt;&gt;"",E3428&lt;B3428),AND(F3428&lt;&gt;"",F3428&lt;B3428)),"Evento anterior à entrada",IF(AND(F3428&lt;&gt;"",E3428=""),"Conversa sem agendamento",IF(OR(E3428&gt;TODAY(),F3428&gt;TODAY()),"Verificar evento futuro","OK"))))))</f>
        <v/>
      </c>
    </row>
    <row r="3429" spans="9:12">
      <c r="I3429" s="5">
        <f>IF(OR(A3429="",B3429=""),"",B3429-WEEKDAY(B3429,2)+1)</f>
        <v/>
      </c>
      <c r="J3429" s="5">
        <f>IF(I3429="","",I3429+6)</f>
        <v/>
      </c>
      <c r="K3429" s="6">
        <f>IF(OR(A3429="",B3429=""),"",DATE(YEAR(B3429),MONTH(B3429),1))</f>
        <v/>
      </c>
      <c r="L3429" s="7">
        <f>IF(COUNTA(A3429,B3429)=0,"",IF(OR(A3429="",B3429=""),"Preencher CPF e entrada",IF(COUNTIFS($A$12:$A$5011,A3429,$B$12:$B$5011,B3429)&gt;1,"CPF + dia duplicado",IF(OR(AND(E3429&lt;&gt;"",E3429&lt;B3429),AND(F3429&lt;&gt;"",F3429&lt;B3429)),"Evento anterior à entrada",IF(AND(F3429&lt;&gt;"",E3429=""),"Conversa sem agendamento",IF(OR(E3429&gt;TODAY(),F3429&gt;TODAY()),"Verificar evento futuro","OK"))))))</f>
        <v/>
      </c>
    </row>
    <row r="3430" spans="9:12">
      <c r="I3430" s="5">
        <f>IF(OR(A3430="",B3430=""),"",B3430-WEEKDAY(B3430,2)+1)</f>
        <v/>
      </c>
      <c r="J3430" s="5">
        <f>IF(I3430="","",I3430+6)</f>
        <v/>
      </c>
      <c r="K3430" s="6">
        <f>IF(OR(A3430="",B3430=""),"",DATE(YEAR(B3430),MONTH(B3430),1))</f>
        <v/>
      </c>
      <c r="L3430" s="7">
        <f>IF(COUNTA(A3430,B3430)=0,"",IF(OR(A3430="",B3430=""),"Preencher CPF e entrada",IF(COUNTIFS($A$12:$A$5011,A3430,$B$12:$B$5011,B3430)&gt;1,"CPF + dia duplicado",IF(OR(AND(E3430&lt;&gt;"",E3430&lt;B3430),AND(F3430&lt;&gt;"",F3430&lt;B3430)),"Evento anterior à entrada",IF(AND(F3430&lt;&gt;"",E3430=""),"Conversa sem agendamento",IF(OR(E3430&gt;TODAY(),F3430&gt;TODAY()),"Verificar evento futuro","OK"))))))</f>
        <v/>
      </c>
    </row>
    <row r="3431" spans="9:12">
      <c r="I3431" s="5">
        <f>IF(OR(A3431="",B3431=""),"",B3431-WEEKDAY(B3431,2)+1)</f>
        <v/>
      </c>
      <c r="J3431" s="5">
        <f>IF(I3431="","",I3431+6)</f>
        <v/>
      </c>
      <c r="K3431" s="6">
        <f>IF(OR(A3431="",B3431=""),"",DATE(YEAR(B3431),MONTH(B3431),1))</f>
        <v/>
      </c>
      <c r="L3431" s="7">
        <f>IF(COUNTA(A3431,B3431)=0,"",IF(OR(A3431="",B3431=""),"Preencher CPF e entrada",IF(COUNTIFS($A$12:$A$5011,A3431,$B$12:$B$5011,B3431)&gt;1,"CPF + dia duplicado",IF(OR(AND(E3431&lt;&gt;"",E3431&lt;B3431),AND(F3431&lt;&gt;"",F3431&lt;B3431)),"Evento anterior à entrada",IF(AND(F3431&lt;&gt;"",E3431=""),"Conversa sem agendamento",IF(OR(E3431&gt;TODAY(),F3431&gt;TODAY()),"Verificar evento futuro","OK"))))))</f>
        <v/>
      </c>
    </row>
    <row r="3432" spans="9:12">
      <c r="I3432" s="5">
        <f>IF(OR(A3432="",B3432=""),"",B3432-WEEKDAY(B3432,2)+1)</f>
        <v/>
      </c>
      <c r="J3432" s="5">
        <f>IF(I3432="","",I3432+6)</f>
        <v/>
      </c>
      <c r="K3432" s="6">
        <f>IF(OR(A3432="",B3432=""),"",DATE(YEAR(B3432),MONTH(B3432),1))</f>
        <v/>
      </c>
      <c r="L3432" s="7">
        <f>IF(COUNTA(A3432,B3432)=0,"",IF(OR(A3432="",B3432=""),"Preencher CPF e entrada",IF(COUNTIFS($A$12:$A$5011,A3432,$B$12:$B$5011,B3432)&gt;1,"CPF + dia duplicado",IF(OR(AND(E3432&lt;&gt;"",E3432&lt;B3432),AND(F3432&lt;&gt;"",F3432&lt;B3432)),"Evento anterior à entrada",IF(AND(F3432&lt;&gt;"",E3432=""),"Conversa sem agendamento",IF(OR(E3432&gt;TODAY(),F3432&gt;TODAY()),"Verificar evento futuro","OK"))))))</f>
        <v/>
      </c>
    </row>
    <row r="3433" spans="9:12">
      <c r="I3433" s="5">
        <f>IF(OR(A3433="",B3433=""),"",B3433-WEEKDAY(B3433,2)+1)</f>
        <v/>
      </c>
      <c r="J3433" s="5">
        <f>IF(I3433="","",I3433+6)</f>
        <v/>
      </c>
      <c r="K3433" s="6">
        <f>IF(OR(A3433="",B3433=""),"",DATE(YEAR(B3433),MONTH(B3433),1))</f>
        <v/>
      </c>
      <c r="L3433" s="7">
        <f>IF(COUNTA(A3433,B3433)=0,"",IF(OR(A3433="",B3433=""),"Preencher CPF e entrada",IF(COUNTIFS($A$12:$A$5011,A3433,$B$12:$B$5011,B3433)&gt;1,"CPF + dia duplicado",IF(OR(AND(E3433&lt;&gt;"",E3433&lt;B3433),AND(F3433&lt;&gt;"",F3433&lt;B3433)),"Evento anterior à entrada",IF(AND(F3433&lt;&gt;"",E3433=""),"Conversa sem agendamento",IF(OR(E3433&gt;TODAY(),F3433&gt;TODAY()),"Verificar evento futuro","OK"))))))</f>
        <v/>
      </c>
    </row>
    <row r="3434" spans="9:12">
      <c r="I3434" s="5">
        <f>IF(OR(A3434="",B3434=""),"",B3434-WEEKDAY(B3434,2)+1)</f>
        <v/>
      </c>
      <c r="J3434" s="5">
        <f>IF(I3434="","",I3434+6)</f>
        <v/>
      </c>
      <c r="K3434" s="6">
        <f>IF(OR(A3434="",B3434=""),"",DATE(YEAR(B3434),MONTH(B3434),1))</f>
        <v/>
      </c>
      <c r="L3434" s="7">
        <f>IF(COUNTA(A3434,B3434)=0,"",IF(OR(A3434="",B3434=""),"Preencher CPF e entrada",IF(COUNTIFS($A$12:$A$5011,A3434,$B$12:$B$5011,B3434)&gt;1,"CPF + dia duplicado",IF(OR(AND(E3434&lt;&gt;"",E3434&lt;B3434),AND(F3434&lt;&gt;"",F3434&lt;B3434)),"Evento anterior à entrada",IF(AND(F3434&lt;&gt;"",E3434=""),"Conversa sem agendamento",IF(OR(E3434&gt;TODAY(),F3434&gt;TODAY()),"Verificar evento futuro","OK"))))))</f>
        <v/>
      </c>
    </row>
    <row r="3435" spans="9:12">
      <c r="I3435" s="5">
        <f>IF(OR(A3435="",B3435=""),"",B3435-WEEKDAY(B3435,2)+1)</f>
        <v/>
      </c>
      <c r="J3435" s="5">
        <f>IF(I3435="","",I3435+6)</f>
        <v/>
      </c>
      <c r="K3435" s="6">
        <f>IF(OR(A3435="",B3435=""),"",DATE(YEAR(B3435),MONTH(B3435),1))</f>
        <v/>
      </c>
      <c r="L3435" s="7">
        <f>IF(COUNTA(A3435,B3435)=0,"",IF(OR(A3435="",B3435=""),"Preencher CPF e entrada",IF(COUNTIFS($A$12:$A$5011,A3435,$B$12:$B$5011,B3435)&gt;1,"CPF + dia duplicado",IF(OR(AND(E3435&lt;&gt;"",E3435&lt;B3435),AND(F3435&lt;&gt;"",F3435&lt;B3435)),"Evento anterior à entrada",IF(AND(F3435&lt;&gt;"",E3435=""),"Conversa sem agendamento",IF(OR(E3435&gt;TODAY(),F3435&gt;TODAY()),"Verificar evento futuro","OK"))))))</f>
        <v/>
      </c>
    </row>
    <row r="3436" spans="9:12">
      <c r="I3436" s="5">
        <f>IF(OR(A3436="",B3436=""),"",B3436-WEEKDAY(B3436,2)+1)</f>
        <v/>
      </c>
      <c r="J3436" s="5">
        <f>IF(I3436="","",I3436+6)</f>
        <v/>
      </c>
      <c r="K3436" s="6">
        <f>IF(OR(A3436="",B3436=""),"",DATE(YEAR(B3436),MONTH(B3436),1))</f>
        <v/>
      </c>
      <c r="L3436" s="7">
        <f>IF(COUNTA(A3436,B3436)=0,"",IF(OR(A3436="",B3436=""),"Preencher CPF e entrada",IF(COUNTIFS($A$12:$A$5011,A3436,$B$12:$B$5011,B3436)&gt;1,"CPF + dia duplicado",IF(OR(AND(E3436&lt;&gt;"",E3436&lt;B3436),AND(F3436&lt;&gt;"",F3436&lt;B3436)),"Evento anterior à entrada",IF(AND(F3436&lt;&gt;"",E3436=""),"Conversa sem agendamento",IF(OR(E3436&gt;TODAY(),F3436&gt;TODAY()),"Verificar evento futuro","OK"))))))</f>
        <v/>
      </c>
    </row>
    <row r="3437" spans="9:12">
      <c r="I3437" s="5">
        <f>IF(OR(A3437="",B3437=""),"",B3437-WEEKDAY(B3437,2)+1)</f>
        <v/>
      </c>
      <c r="J3437" s="5">
        <f>IF(I3437="","",I3437+6)</f>
        <v/>
      </c>
      <c r="K3437" s="6">
        <f>IF(OR(A3437="",B3437=""),"",DATE(YEAR(B3437),MONTH(B3437),1))</f>
        <v/>
      </c>
      <c r="L3437" s="7">
        <f>IF(COUNTA(A3437,B3437)=0,"",IF(OR(A3437="",B3437=""),"Preencher CPF e entrada",IF(COUNTIFS($A$12:$A$5011,A3437,$B$12:$B$5011,B3437)&gt;1,"CPF + dia duplicado",IF(OR(AND(E3437&lt;&gt;"",E3437&lt;B3437),AND(F3437&lt;&gt;"",F3437&lt;B3437)),"Evento anterior à entrada",IF(AND(F3437&lt;&gt;"",E3437=""),"Conversa sem agendamento",IF(OR(E3437&gt;TODAY(),F3437&gt;TODAY()),"Verificar evento futuro","OK"))))))</f>
        <v/>
      </c>
    </row>
    <row r="3438" spans="9:12">
      <c r="I3438" s="5">
        <f>IF(OR(A3438="",B3438=""),"",B3438-WEEKDAY(B3438,2)+1)</f>
        <v/>
      </c>
      <c r="J3438" s="5">
        <f>IF(I3438="","",I3438+6)</f>
        <v/>
      </c>
      <c r="K3438" s="6">
        <f>IF(OR(A3438="",B3438=""),"",DATE(YEAR(B3438),MONTH(B3438),1))</f>
        <v/>
      </c>
      <c r="L3438" s="7">
        <f>IF(COUNTA(A3438,B3438)=0,"",IF(OR(A3438="",B3438=""),"Preencher CPF e entrada",IF(COUNTIFS($A$12:$A$5011,A3438,$B$12:$B$5011,B3438)&gt;1,"CPF + dia duplicado",IF(OR(AND(E3438&lt;&gt;"",E3438&lt;B3438),AND(F3438&lt;&gt;"",F3438&lt;B3438)),"Evento anterior à entrada",IF(AND(F3438&lt;&gt;"",E3438=""),"Conversa sem agendamento",IF(OR(E3438&gt;TODAY(),F3438&gt;TODAY()),"Verificar evento futuro","OK"))))))</f>
        <v/>
      </c>
    </row>
    <row r="3439" spans="9:12">
      <c r="I3439" s="5">
        <f>IF(OR(A3439="",B3439=""),"",B3439-WEEKDAY(B3439,2)+1)</f>
        <v/>
      </c>
      <c r="J3439" s="5">
        <f>IF(I3439="","",I3439+6)</f>
        <v/>
      </c>
      <c r="K3439" s="6">
        <f>IF(OR(A3439="",B3439=""),"",DATE(YEAR(B3439),MONTH(B3439),1))</f>
        <v/>
      </c>
      <c r="L3439" s="7">
        <f>IF(COUNTA(A3439,B3439)=0,"",IF(OR(A3439="",B3439=""),"Preencher CPF e entrada",IF(COUNTIFS($A$12:$A$5011,A3439,$B$12:$B$5011,B3439)&gt;1,"CPF + dia duplicado",IF(OR(AND(E3439&lt;&gt;"",E3439&lt;B3439),AND(F3439&lt;&gt;"",F3439&lt;B3439)),"Evento anterior à entrada",IF(AND(F3439&lt;&gt;"",E3439=""),"Conversa sem agendamento",IF(OR(E3439&gt;TODAY(),F3439&gt;TODAY()),"Verificar evento futuro","OK"))))))</f>
        <v/>
      </c>
    </row>
    <row r="3440" spans="9:12">
      <c r="I3440" s="5">
        <f>IF(OR(A3440="",B3440=""),"",B3440-WEEKDAY(B3440,2)+1)</f>
        <v/>
      </c>
      <c r="J3440" s="5">
        <f>IF(I3440="","",I3440+6)</f>
        <v/>
      </c>
      <c r="K3440" s="6">
        <f>IF(OR(A3440="",B3440=""),"",DATE(YEAR(B3440),MONTH(B3440),1))</f>
        <v/>
      </c>
      <c r="L3440" s="7">
        <f>IF(COUNTA(A3440,B3440)=0,"",IF(OR(A3440="",B3440=""),"Preencher CPF e entrada",IF(COUNTIFS($A$12:$A$5011,A3440,$B$12:$B$5011,B3440)&gt;1,"CPF + dia duplicado",IF(OR(AND(E3440&lt;&gt;"",E3440&lt;B3440),AND(F3440&lt;&gt;"",F3440&lt;B3440)),"Evento anterior à entrada",IF(AND(F3440&lt;&gt;"",E3440=""),"Conversa sem agendamento",IF(OR(E3440&gt;TODAY(),F3440&gt;TODAY()),"Verificar evento futuro","OK"))))))</f>
        <v/>
      </c>
    </row>
    <row r="3441" spans="9:12">
      <c r="I3441" s="5">
        <f>IF(OR(A3441="",B3441=""),"",B3441-WEEKDAY(B3441,2)+1)</f>
        <v/>
      </c>
      <c r="J3441" s="5">
        <f>IF(I3441="","",I3441+6)</f>
        <v/>
      </c>
      <c r="K3441" s="6">
        <f>IF(OR(A3441="",B3441=""),"",DATE(YEAR(B3441),MONTH(B3441),1))</f>
        <v/>
      </c>
      <c r="L3441" s="7">
        <f>IF(COUNTA(A3441,B3441)=0,"",IF(OR(A3441="",B3441=""),"Preencher CPF e entrada",IF(COUNTIFS($A$12:$A$5011,A3441,$B$12:$B$5011,B3441)&gt;1,"CPF + dia duplicado",IF(OR(AND(E3441&lt;&gt;"",E3441&lt;B3441),AND(F3441&lt;&gt;"",F3441&lt;B3441)),"Evento anterior à entrada",IF(AND(F3441&lt;&gt;"",E3441=""),"Conversa sem agendamento",IF(OR(E3441&gt;TODAY(),F3441&gt;TODAY()),"Verificar evento futuro","OK"))))))</f>
        <v/>
      </c>
    </row>
    <row r="3442" spans="9:12">
      <c r="I3442" s="5">
        <f>IF(OR(A3442="",B3442=""),"",B3442-WEEKDAY(B3442,2)+1)</f>
        <v/>
      </c>
      <c r="J3442" s="5">
        <f>IF(I3442="","",I3442+6)</f>
        <v/>
      </c>
      <c r="K3442" s="6">
        <f>IF(OR(A3442="",B3442=""),"",DATE(YEAR(B3442),MONTH(B3442),1))</f>
        <v/>
      </c>
      <c r="L3442" s="7">
        <f>IF(COUNTA(A3442,B3442)=0,"",IF(OR(A3442="",B3442=""),"Preencher CPF e entrada",IF(COUNTIFS($A$12:$A$5011,A3442,$B$12:$B$5011,B3442)&gt;1,"CPF + dia duplicado",IF(OR(AND(E3442&lt;&gt;"",E3442&lt;B3442),AND(F3442&lt;&gt;"",F3442&lt;B3442)),"Evento anterior à entrada",IF(AND(F3442&lt;&gt;"",E3442=""),"Conversa sem agendamento",IF(OR(E3442&gt;TODAY(),F3442&gt;TODAY()),"Verificar evento futuro","OK"))))))</f>
        <v/>
      </c>
    </row>
    <row r="3443" spans="9:12">
      <c r="I3443" s="5">
        <f>IF(OR(A3443="",B3443=""),"",B3443-WEEKDAY(B3443,2)+1)</f>
        <v/>
      </c>
      <c r="J3443" s="5">
        <f>IF(I3443="","",I3443+6)</f>
        <v/>
      </c>
      <c r="K3443" s="6">
        <f>IF(OR(A3443="",B3443=""),"",DATE(YEAR(B3443),MONTH(B3443),1))</f>
        <v/>
      </c>
      <c r="L3443" s="7">
        <f>IF(COUNTA(A3443,B3443)=0,"",IF(OR(A3443="",B3443=""),"Preencher CPF e entrada",IF(COUNTIFS($A$12:$A$5011,A3443,$B$12:$B$5011,B3443)&gt;1,"CPF + dia duplicado",IF(OR(AND(E3443&lt;&gt;"",E3443&lt;B3443),AND(F3443&lt;&gt;"",F3443&lt;B3443)),"Evento anterior à entrada",IF(AND(F3443&lt;&gt;"",E3443=""),"Conversa sem agendamento",IF(OR(E3443&gt;TODAY(),F3443&gt;TODAY()),"Verificar evento futuro","OK"))))))</f>
        <v/>
      </c>
    </row>
    <row r="3444" spans="9:12">
      <c r="I3444" s="5">
        <f>IF(OR(A3444="",B3444=""),"",B3444-WEEKDAY(B3444,2)+1)</f>
        <v/>
      </c>
      <c r="J3444" s="5">
        <f>IF(I3444="","",I3444+6)</f>
        <v/>
      </c>
      <c r="K3444" s="6">
        <f>IF(OR(A3444="",B3444=""),"",DATE(YEAR(B3444),MONTH(B3444),1))</f>
        <v/>
      </c>
      <c r="L3444" s="7">
        <f>IF(COUNTA(A3444,B3444)=0,"",IF(OR(A3444="",B3444=""),"Preencher CPF e entrada",IF(COUNTIFS($A$12:$A$5011,A3444,$B$12:$B$5011,B3444)&gt;1,"CPF + dia duplicado",IF(OR(AND(E3444&lt;&gt;"",E3444&lt;B3444),AND(F3444&lt;&gt;"",F3444&lt;B3444)),"Evento anterior à entrada",IF(AND(F3444&lt;&gt;"",E3444=""),"Conversa sem agendamento",IF(OR(E3444&gt;TODAY(),F3444&gt;TODAY()),"Verificar evento futuro","OK"))))))</f>
        <v/>
      </c>
    </row>
    <row r="3445" spans="9:12">
      <c r="I3445" s="5">
        <f>IF(OR(A3445="",B3445=""),"",B3445-WEEKDAY(B3445,2)+1)</f>
        <v/>
      </c>
      <c r="J3445" s="5">
        <f>IF(I3445="","",I3445+6)</f>
        <v/>
      </c>
      <c r="K3445" s="6">
        <f>IF(OR(A3445="",B3445=""),"",DATE(YEAR(B3445),MONTH(B3445),1))</f>
        <v/>
      </c>
      <c r="L3445" s="7">
        <f>IF(COUNTA(A3445,B3445)=0,"",IF(OR(A3445="",B3445=""),"Preencher CPF e entrada",IF(COUNTIFS($A$12:$A$5011,A3445,$B$12:$B$5011,B3445)&gt;1,"CPF + dia duplicado",IF(OR(AND(E3445&lt;&gt;"",E3445&lt;B3445),AND(F3445&lt;&gt;"",F3445&lt;B3445)),"Evento anterior à entrada",IF(AND(F3445&lt;&gt;"",E3445=""),"Conversa sem agendamento",IF(OR(E3445&gt;TODAY(),F3445&gt;TODAY()),"Verificar evento futuro","OK"))))))</f>
        <v/>
      </c>
    </row>
    <row r="3446" spans="9:12">
      <c r="I3446" s="5">
        <f>IF(OR(A3446="",B3446=""),"",B3446-WEEKDAY(B3446,2)+1)</f>
        <v/>
      </c>
      <c r="J3446" s="5">
        <f>IF(I3446="","",I3446+6)</f>
        <v/>
      </c>
      <c r="K3446" s="6">
        <f>IF(OR(A3446="",B3446=""),"",DATE(YEAR(B3446),MONTH(B3446),1))</f>
        <v/>
      </c>
      <c r="L3446" s="7">
        <f>IF(COUNTA(A3446,B3446)=0,"",IF(OR(A3446="",B3446=""),"Preencher CPF e entrada",IF(COUNTIFS($A$12:$A$5011,A3446,$B$12:$B$5011,B3446)&gt;1,"CPF + dia duplicado",IF(OR(AND(E3446&lt;&gt;"",E3446&lt;B3446),AND(F3446&lt;&gt;"",F3446&lt;B3446)),"Evento anterior à entrada",IF(AND(F3446&lt;&gt;"",E3446=""),"Conversa sem agendamento",IF(OR(E3446&gt;TODAY(),F3446&gt;TODAY()),"Verificar evento futuro","OK"))))))</f>
        <v/>
      </c>
    </row>
    <row r="3447" spans="9:12">
      <c r="I3447" s="5">
        <f>IF(OR(A3447="",B3447=""),"",B3447-WEEKDAY(B3447,2)+1)</f>
        <v/>
      </c>
      <c r="J3447" s="5">
        <f>IF(I3447="","",I3447+6)</f>
        <v/>
      </c>
      <c r="K3447" s="6">
        <f>IF(OR(A3447="",B3447=""),"",DATE(YEAR(B3447),MONTH(B3447),1))</f>
        <v/>
      </c>
      <c r="L3447" s="7">
        <f>IF(COUNTA(A3447,B3447)=0,"",IF(OR(A3447="",B3447=""),"Preencher CPF e entrada",IF(COUNTIFS($A$12:$A$5011,A3447,$B$12:$B$5011,B3447)&gt;1,"CPF + dia duplicado",IF(OR(AND(E3447&lt;&gt;"",E3447&lt;B3447),AND(F3447&lt;&gt;"",F3447&lt;B3447)),"Evento anterior à entrada",IF(AND(F3447&lt;&gt;"",E3447=""),"Conversa sem agendamento",IF(OR(E3447&gt;TODAY(),F3447&gt;TODAY()),"Verificar evento futuro","OK"))))))</f>
        <v/>
      </c>
    </row>
    <row r="3448" spans="9:12">
      <c r="I3448" s="5">
        <f>IF(OR(A3448="",B3448=""),"",B3448-WEEKDAY(B3448,2)+1)</f>
        <v/>
      </c>
      <c r="J3448" s="5">
        <f>IF(I3448="","",I3448+6)</f>
        <v/>
      </c>
      <c r="K3448" s="6">
        <f>IF(OR(A3448="",B3448=""),"",DATE(YEAR(B3448),MONTH(B3448),1))</f>
        <v/>
      </c>
      <c r="L3448" s="7">
        <f>IF(COUNTA(A3448,B3448)=0,"",IF(OR(A3448="",B3448=""),"Preencher CPF e entrada",IF(COUNTIFS($A$12:$A$5011,A3448,$B$12:$B$5011,B3448)&gt;1,"CPF + dia duplicado",IF(OR(AND(E3448&lt;&gt;"",E3448&lt;B3448),AND(F3448&lt;&gt;"",F3448&lt;B3448)),"Evento anterior à entrada",IF(AND(F3448&lt;&gt;"",E3448=""),"Conversa sem agendamento",IF(OR(E3448&gt;TODAY(),F3448&gt;TODAY()),"Verificar evento futuro","OK"))))))</f>
        <v/>
      </c>
    </row>
    <row r="3449" spans="9:12">
      <c r="I3449" s="5">
        <f>IF(OR(A3449="",B3449=""),"",B3449-WEEKDAY(B3449,2)+1)</f>
        <v/>
      </c>
      <c r="J3449" s="5">
        <f>IF(I3449="","",I3449+6)</f>
        <v/>
      </c>
      <c r="K3449" s="6">
        <f>IF(OR(A3449="",B3449=""),"",DATE(YEAR(B3449),MONTH(B3449),1))</f>
        <v/>
      </c>
      <c r="L3449" s="7">
        <f>IF(COUNTA(A3449,B3449)=0,"",IF(OR(A3449="",B3449=""),"Preencher CPF e entrada",IF(COUNTIFS($A$12:$A$5011,A3449,$B$12:$B$5011,B3449)&gt;1,"CPF + dia duplicado",IF(OR(AND(E3449&lt;&gt;"",E3449&lt;B3449),AND(F3449&lt;&gt;"",F3449&lt;B3449)),"Evento anterior à entrada",IF(AND(F3449&lt;&gt;"",E3449=""),"Conversa sem agendamento",IF(OR(E3449&gt;TODAY(),F3449&gt;TODAY()),"Verificar evento futuro","OK"))))))</f>
        <v/>
      </c>
    </row>
    <row r="3450" spans="9:12">
      <c r="I3450" s="5">
        <f>IF(OR(A3450="",B3450=""),"",B3450-WEEKDAY(B3450,2)+1)</f>
        <v/>
      </c>
      <c r="J3450" s="5">
        <f>IF(I3450="","",I3450+6)</f>
        <v/>
      </c>
      <c r="K3450" s="6">
        <f>IF(OR(A3450="",B3450=""),"",DATE(YEAR(B3450),MONTH(B3450),1))</f>
        <v/>
      </c>
      <c r="L3450" s="7">
        <f>IF(COUNTA(A3450,B3450)=0,"",IF(OR(A3450="",B3450=""),"Preencher CPF e entrada",IF(COUNTIFS($A$12:$A$5011,A3450,$B$12:$B$5011,B3450)&gt;1,"CPF + dia duplicado",IF(OR(AND(E3450&lt;&gt;"",E3450&lt;B3450),AND(F3450&lt;&gt;"",F3450&lt;B3450)),"Evento anterior à entrada",IF(AND(F3450&lt;&gt;"",E3450=""),"Conversa sem agendamento",IF(OR(E3450&gt;TODAY(),F3450&gt;TODAY()),"Verificar evento futuro","OK"))))))</f>
        <v/>
      </c>
    </row>
    <row r="3451" spans="9:12">
      <c r="I3451" s="5">
        <f>IF(OR(A3451="",B3451=""),"",B3451-WEEKDAY(B3451,2)+1)</f>
        <v/>
      </c>
      <c r="J3451" s="5">
        <f>IF(I3451="","",I3451+6)</f>
        <v/>
      </c>
      <c r="K3451" s="6">
        <f>IF(OR(A3451="",B3451=""),"",DATE(YEAR(B3451),MONTH(B3451),1))</f>
        <v/>
      </c>
      <c r="L3451" s="7">
        <f>IF(COUNTA(A3451,B3451)=0,"",IF(OR(A3451="",B3451=""),"Preencher CPF e entrada",IF(COUNTIFS($A$12:$A$5011,A3451,$B$12:$B$5011,B3451)&gt;1,"CPF + dia duplicado",IF(OR(AND(E3451&lt;&gt;"",E3451&lt;B3451),AND(F3451&lt;&gt;"",F3451&lt;B3451)),"Evento anterior à entrada",IF(AND(F3451&lt;&gt;"",E3451=""),"Conversa sem agendamento",IF(OR(E3451&gt;TODAY(),F3451&gt;TODAY()),"Verificar evento futuro","OK"))))))</f>
        <v/>
      </c>
    </row>
    <row r="3452" spans="9:12">
      <c r="I3452" s="5">
        <f>IF(OR(A3452="",B3452=""),"",B3452-WEEKDAY(B3452,2)+1)</f>
        <v/>
      </c>
      <c r="J3452" s="5">
        <f>IF(I3452="","",I3452+6)</f>
        <v/>
      </c>
      <c r="K3452" s="6">
        <f>IF(OR(A3452="",B3452=""),"",DATE(YEAR(B3452),MONTH(B3452),1))</f>
        <v/>
      </c>
      <c r="L3452" s="7">
        <f>IF(COUNTA(A3452,B3452)=0,"",IF(OR(A3452="",B3452=""),"Preencher CPF e entrada",IF(COUNTIFS($A$12:$A$5011,A3452,$B$12:$B$5011,B3452)&gt;1,"CPF + dia duplicado",IF(OR(AND(E3452&lt;&gt;"",E3452&lt;B3452),AND(F3452&lt;&gt;"",F3452&lt;B3452)),"Evento anterior à entrada",IF(AND(F3452&lt;&gt;"",E3452=""),"Conversa sem agendamento",IF(OR(E3452&gt;TODAY(),F3452&gt;TODAY()),"Verificar evento futuro","OK"))))))</f>
        <v/>
      </c>
    </row>
    <row r="3453" spans="9:12">
      <c r="I3453" s="5">
        <f>IF(OR(A3453="",B3453=""),"",B3453-WEEKDAY(B3453,2)+1)</f>
        <v/>
      </c>
      <c r="J3453" s="5">
        <f>IF(I3453="","",I3453+6)</f>
        <v/>
      </c>
      <c r="K3453" s="6">
        <f>IF(OR(A3453="",B3453=""),"",DATE(YEAR(B3453),MONTH(B3453),1))</f>
        <v/>
      </c>
      <c r="L3453" s="7">
        <f>IF(COUNTA(A3453,B3453)=0,"",IF(OR(A3453="",B3453=""),"Preencher CPF e entrada",IF(COUNTIFS($A$12:$A$5011,A3453,$B$12:$B$5011,B3453)&gt;1,"CPF + dia duplicado",IF(OR(AND(E3453&lt;&gt;"",E3453&lt;B3453),AND(F3453&lt;&gt;"",F3453&lt;B3453)),"Evento anterior à entrada",IF(AND(F3453&lt;&gt;"",E3453=""),"Conversa sem agendamento",IF(OR(E3453&gt;TODAY(),F3453&gt;TODAY()),"Verificar evento futuro","OK"))))))</f>
        <v/>
      </c>
    </row>
    <row r="3454" spans="9:12">
      <c r="I3454" s="5">
        <f>IF(OR(A3454="",B3454=""),"",B3454-WEEKDAY(B3454,2)+1)</f>
        <v/>
      </c>
      <c r="J3454" s="5">
        <f>IF(I3454="","",I3454+6)</f>
        <v/>
      </c>
      <c r="K3454" s="6">
        <f>IF(OR(A3454="",B3454=""),"",DATE(YEAR(B3454),MONTH(B3454),1))</f>
        <v/>
      </c>
      <c r="L3454" s="7">
        <f>IF(COUNTA(A3454,B3454)=0,"",IF(OR(A3454="",B3454=""),"Preencher CPF e entrada",IF(COUNTIFS($A$12:$A$5011,A3454,$B$12:$B$5011,B3454)&gt;1,"CPF + dia duplicado",IF(OR(AND(E3454&lt;&gt;"",E3454&lt;B3454),AND(F3454&lt;&gt;"",F3454&lt;B3454)),"Evento anterior à entrada",IF(AND(F3454&lt;&gt;"",E3454=""),"Conversa sem agendamento",IF(OR(E3454&gt;TODAY(),F3454&gt;TODAY()),"Verificar evento futuro","OK"))))))</f>
        <v/>
      </c>
    </row>
    <row r="3455" spans="9:12">
      <c r="I3455" s="5">
        <f>IF(OR(A3455="",B3455=""),"",B3455-WEEKDAY(B3455,2)+1)</f>
        <v/>
      </c>
      <c r="J3455" s="5">
        <f>IF(I3455="","",I3455+6)</f>
        <v/>
      </c>
      <c r="K3455" s="6">
        <f>IF(OR(A3455="",B3455=""),"",DATE(YEAR(B3455),MONTH(B3455),1))</f>
        <v/>
      </c>
      <c r="L3455" s="7">
        <f>IF(COUNTA(A3455,B3455)=0,"",IF(OR(A3455="",B3455=""),"Preencher CPF e entrada",IF(COUNTIFS($A$12:$A$5011,A3455,$B$12:$B$5011,B3455)&gt;1,"CPF + dia duplicado",IF(OR(AND(E3455&lt;&gt;"",E3455&lt;B3455),AND(F3455&lt;&gt;"",F3455&lt;B3455)),"Evento anterior à entrada",IF(AND(F3455&lt;&gt;"",E3455=""),"Conversa sem agendamento",IF(OR(E3455&gt;TODAY(),F3455&gt;TODAY()),"Verificar evento futuro","OK"))))))</f>
        <v/>
      </c>
    </row>
    <row r="3456" spans="9:12">
      <c r="I3456" s="5">
        <f>IF(OR(A3456="",B3456=""),"",B3456-WEEKDAY(B3456,2)+1)</f>
        <v/>
      </c>
      <c r="J3456" s="5">
        <f>IF(I3456="","",I3456+6)</f>
        <v/>
      </c>
      <c r="K3456" s="6">
        <f>IF(OR(A3456="",B3456=""),"",DATE(YEAR(B3456),MONTH(B3456),1))</f>
        <v/>
      </c>
      <c r="L3456" s="7">
        <f>IF(COUNTA(A3456,B3456)=0,"",IF(OR(A3456="",B3456=""),"Preencher CPF e entrada",IF(COUNTIFS($A$12:$A$5011,A3456,$B$12:$B$5011,B3456)&gt;1,"CPF + dia duplicado",IF(OR(AND(E3456&lt;&gt;"",E3456&lt;B3456),AND(F3456&lt;&gt;"",F3456&lt;B3456)),"Evento anterior à entrada",IF(AND(F3456&lt;&gt;"",E3456=""),"Conversa sem agendamento",IF(OR(E3456&gt;TODAY(),F3456&gt;TODAY()),"Verificar evento futuro","OK"))))))</f>
        <v/>
      </c>
    </row>
    <row r="3457" spans="9:12">
      <c r="I3457" s="5">
        <f>IF(OR(A3457="",B3457=""),"",B3457-WEEKDAY(B3457,2)+1)</f>
        <v/>
      </c>
      <c r="J3457" s="5">
        <f>IF(I3457="","",I3457+6)</f>
        <v/>
      </c>
      <c r="K3457" s="6">
        <f>IF(OR(A3457="",B3457=""),"",DATE(YEAR(B3457),MONTH(B3457),1))</f>
        <v/>
      </c>
      <c r="L3457" s="7">
        <f>IF(COUNTA(A3457,B3457)=0,"",IF(OR(A3457="",B3457=""),"Preencher CPF e entrada",IF(COUNTIFS($A$12:$A$5011,A3457,$B$12:$B$5011,B3457)&gt;1,"CPF + dia duplicado",IF(OR(AND(E3457&lt;&gt;"",E3457&lt;B3457),AND(F3457&lt;&gt;"",F3457&lt;B3457)),"Evento anterior à entrada",IF(AND(F3457&lt;&gt;"",E3457=""),"Conversa sem agendamento",IF(OR(E3457&gt;TODAY(),F3457&gt;TODAY()),"Verificar evento futuro","OK"))))))</f>
        <v/>
      </c>
    </row>
    <row r="3458" spans="9:12">
      <c r="I3458" s="5">
        <f>IF(OR(A3458="",B3458=""),"",B3458-WEEKDAY(B3458,2)+1)</f>
        <v/>
      </c>
      <c r="J3458" s="5">
        <f>IF(I3458="","",I3458+6)</f>
        <v/>
      </c>
      <c r="K3458" s="6">
        <f>IF(OR(A3458="",B3458=""),"",DATE(YEAR(B3458),MONTH(B3458),1))</f>
        <v/>
      </c>
      <c r="L3458" s="7">
        <f>IF(COUNTA(A3458,B3458)=0,"",IF(OR(A3458="",B3458=""),"Preencher CPF e entrada",IF(COUNTIFS($A$12:$A$5011,A3458,$B$12:$B$5011,B3458)&gt;1,"CPF + dia duplicado",IF(OR(AND(E3458&lt;&gt;"",E3458&lt;B3458),AND(F3458&lt;&gt;"",F3458&lt;B3458)),"Evento anterior à entrada",IF(AND(F3458&lt;&gt;"",E3458=""),"Conversa sem agendamento",IF(OR(E3458&gt;TODAY(),F3458&gt;TODAY()),"Verificar evento futuro","OK"))))))</f>
        <v/>
      </c>
    </row>
    <row r="3459" spans="9:12">
      <c r="I3459" s="5">
        <f>IF(OR(A3459="",B3459=""),"",B3459-WEEKDAY(B3459,2)+1)</f>
        <v/>
      </c>
      <c r="J3459" s="5">
        <f>IF(I3459="","",I3459+6)</f>
        <v/>
      </c>
      <c r="K3459" s="6">
        <f>IF(OR(A3459="",B3459=""),"",DATE(YEAR(B3459),MONTH(B3459),1))</f>
        <v/>
      </c>
      <c r="L3459" s="7">
        <f>IF(COUNTA(A3459,B3459)=0,"",IF(OR(A3459="",B3459=""),"Preencher CPF e entrada",IF(COUNTIFS($A$12:$A$5011,A3459,$B$12:$B$5011,B3459)&gt;1,"CPF + dia duplicado",IF(OR(AND(E3459&lt;&gt;"",E3459&lt;B3459),AND(F3459&lt;&gt;"",F3459&lt;B3459)),"Evento anterior à entrada",IF(AND(F3459&lt;&gt;"",E3459=""),"Conversa sem agendamento",IF(OR(E3459&gt;TODAY(),F3459&gt;TODAY()),"Verificar evento futuro","OK"))))))</f>
        <v/>
      </c>
    </row>
    <row r="3460" spans="9:12">
      <c r="I3460" s="5">
        <f>IF(OR(A3460="",B3460=""),"",B3460-WEEKDAY(B3460,2)+1)</f>
        <v/>
      </c>
      <c r="J3460" s="5">
        <f>IF(I3460="","",I3460+6)</f>
        <v/>
      </c>
      <c r="K3460" s="6">
        <f>IF(OR(A3460="",B3460=""),"",DATE(YEAR(B3460),MONTH(B3460),1))</f>
        <v/>
      </c>
      <c r="L3460" s="7">
        <f>IF(COUNTA(A3460,B3460)=0,"",IF(OR(A3460="",B3460=""),"Preencher CPF e entrada",IF(COUNTIFS($A$12:$A$5011,A3460,$B$12:$B$5011,B3460)&gt;1,"CPF + dia duplicado",IF(OR(AND(E3460&lt;&gt;"",E3460&lt;B3460),AND(F3460&lt;&gt;"",F3460&lt;B3460)),"Evento anterior à entrada",IF(AND(F3460&lt;&gt;"",E3460=""),"Conversa sem agendamento",IF(OR(E3460&gt;TODAY(),F3460&gt;TODAY()),"Verificar evento futuro","OK"))))))</f>
        <v/>
      </c>
    </row>
    <row r="3461" spans="9:12">
      <c r="I3461" s="5">
        <f>IF(OR(A3461="",B3461=""),"",B3461-WEEKDAY(B3461,2)+1)</f>
        <v/>
      </c>
      <c r="J3461" s="5">
        <f>IF(I3461="","",I3461+6)</f>
        <v/>
      </c>
      <c r="K3461" s="6">
        <f>IF(OR(A3461="",B3461=""),"",DATE(YEAR(B3461),MONTH(B3461),1))</f>
        <v/>
      </c>
      <c r="L3461" s="7">
        <f>IF(COUNTA(A3461,B3461)=0,"",IF(OR(A3461="",B3461=""),"Preencher CPF e entrada",IF(COUNTIFS($A$12:$A$5011,A3461,$B$12:$B$5011,B3461)&gt;1,"CPF + dia duplicado",IF(OR(AND(E3461&lt;&gt;"",E3461&lt;B3461),AND(F3461&lt;&gt;"",F3461&lt;B3461)),"Evento anterior à entrada",IF(AND(F3461&lt;&gt;"",E3461=""),"Conversa sem agendamento",IF(OR(E3461&gt;TODAY(),F3461&gt;TODAY()),"Verificar evento futuro","OK"))))))</f>
        <v/>
      </c>
    </row>
    <row r="3462" spans="9:12">
      <c r="I3462" s="5">
        <f>IF(OR(A3462="",B3462=""),"",B3462-WEEKDAY(B3462,2)+1)</f>
        <v/>
      </c>
      <c r="J3462" s="5">
        <f>IF(I3462="","",I3462+6)</f>
        <v/>
      </c>
      <c r="K3462" s="6">
        <f>IF(OR(A3462="",B3462=""),"",DATE(YEAR(B3462),MONTH(B3462),1))</f>
        <v/>
      </c>
      <c r="L3462" s="7">
        <f>IF(COUNTA(A3462,B3462)=0,"",IF(OR(A3462="",B3462=""),"Preencher CPF e entrada",IF(COUNTIFS($A$12:$A$5011,A3462,$B$12:$B$5011,B3462)&gt;1,"CPF + dia duplicado",IF(OR(AND(E3462&lt;&gt;"",E3462&lt;B3462),AND(F3462&lt;&gt;"",F3462&lt;B3462)),"Evento anterior à entrada",IF(AND(F3462&lt;&gt;"",E3462=""),"Conversa sem agendamento",IF(OR(E3462&gt;TODAY(),F3462&gt;TODAY()),"Verificar evento futuro","OK"))))))</f>
        <v/>
      </c>
    </row>
    <row r="3463" spans="9:12">
      <c r="I3463" s="5">
        <f>IF(OR(A3463="",B3463=""),"",B3463-WEEKDAY(B3463,2)+1)</f>
        <v/>
      </c>
      <c r="J3463" s="5">
        <f>IF(I3463="","",I3463+6)</f>
        <v/>
      </c>
      <c r="K3463" s="6">
        <f>IF(OR(A3463="",B3463=""),"",DATE(YEAR(B3463),MONTH(B3463),1))</f>
        <v/>
      </c>
      <c r="L3463" s="7">
        <f>IF(COUNTA(A3463,B3463)=0,"",IF(OR(A3463="",B3463=""),"Preencher CPF e entrada",IF(COUNTIFS($A$12:$A$5011,A3463,$B$12:$B$5011,B3463)&gt;1,"CPF + dia duplicado",IF(OR(AND(E3463&lt;&gt;"",E3463&lt;B3463),AND(F3463&lt;&gt;"",F3463&lt;B3463)),"Evento anterior à entrada",IF(AND(F3463&lt;&gt;"",E3463=""),"Conversa sem agendamento",IF(OR(E3463&gt;TODAY(),F3463&gt;TODAY()),"Verificar evento futuro","OK"))))))</f>
        <v/>
      </c>
    </row>
    <row r="3464" spans="9:12">
      <c r="I3464" s="5">
        <f>IF(OR(A3464="",B3464=""),"",B3464-WEEKDAY(B3464,2)+1)</f>
        <v/>
      </c>
      <c r="J3464" s="5">
        <f>IF(I3464="","",I3464+6)</f>
        <v/>
      </c>
      <c r="K3464" s="6">
        <f>IF(OR(A3464="",B3464=""),"",DATE(YEAR(B3464),MONTH(B3464),1))</f>
        <v/>
      </c>
      <c r="L3464" s="7">
        <f>IF(COUNTA(A3464,B3464)=0,"",IF(OR(A3464="",B3464=""),"Preencher CPF e entrada",IF(COUNTIFS($A$12:$A$5011,A3464,$B$12:$B$5011,B3464)&gt;1,"CPF + dia duplicado",IF(OR(AND(E3464&lt;&gt;"",E3464&lt;B3464),AND(F3464&lt;&gt;"",F3464&lt;B3464)),"Evento anterior à entrada",IF(AND(F3464&lt;&gt;"",E3464=""),"Conversa sem agendamento",IF(OR(E3464&gt;TODAY(),F3464&gt;TODAY()),"Verificar evento futuro","OK"))))))</f>
        <v/>
      </c>
    </row>
    <row r="3465" spans="9:12">
      <c r="I3465" s="5">
        <f>IF(OR(A3465="",B3465=""),"",B3465-WEEKDAY(B3465,2)+1)</f>
        <v/>
      </c>
      <c r="J3465" s="5">
        <f>IF(I3465="","",I3465+6)</f>
        <v/>
      </c>
      <c r="K3465" s="6">
        <f>IF(OR(A3465="",B3465=""),"",DATE(YEAR(B3465),MONTH(B3465),1))</f>
        <v/>
      </c>
      <c r="L3465" s="7">
        <f>IF(COUNTA(A3465,B3465)=0,"",IF(OR(A3465="",B3465=""),"Preencher CPF e entrada",IF(COUNTIFS($A$12:$A$5011,A3465,$B$12:$B$5011,B3465)&gt;1,"CPF + dia duplicado",IF(OR(AND(E3465&lt;&gt;"",E3465&lt;B3465),AND(F3465&lt;&gt;"",F3465&lt;B3465)),"Evento anterior à entrada",IF(AND(F3465&lt;&gt;"",E3465=""),"Conversa sem agendamento",IF(OR(E3465&gt;TODAY(),F3465&gt;TODAY()),"Verificar evento futuro","OK"))))))</f>
        <v/>
      </c>
    </row>
    <row r="3466" spans="9:12">
      <c r="I3466" s="5">
        <f>IF(OR(A3466="",B3466=""),"",B3466-WEEKDAY(B3466,2)+1)</f>
        <v/>
      </c>
      <c r="J3466" s="5">
        <f>IF(I3466="","",I3466+6)</f>
        <v/>
      </c>
      <c r="K3466" s="6">
        <f>IF(OR(A3466="",B3466=""),"",DATE(YEAR(B3466),MONTH(B3466),1))</f>
        <v/>
      </c>
      <c r="L3466" s="7">
        <f>IF(COUNTA(A3466,B3466)=0,"",IF(OR(A3466="",B3466=""),"Preencher CPF e entrada",IF(COUNTIFS($A$12:$A$5011,A3466,$B$12:$B$5011,B3466)&gt;1,"CPF + dia duplicado",IF(OR(AND(E3466&lt;&gt;"",E3466&lt;B3466),AND(F3466&lt;&gt;"",F3466&lt;B3466)),"Evento anterior à entrada",IF(AND(F3466&lt;&gt;"",E3466=""),"Conversa sem agendamento",IF(OR(E3466&gt;TODAY(),F3466&gt;TODAY()),"Verificar evento futuro","OK"))))))</f>
        <v/>
      </c>
    </row>
    <row r="3467" spans="9:12">
      <c r="I3467" s="5">
        <f>IF(OR(A3467="",B3467=""),"",B3467-WEEKDAY(B3467,2)+1)</f>
        <v/>
      </c>
      <c r="J3467" s="5">
        <f>IF(I3467="","",I3467+6)</f>
        <v/>
      </c>
      <c r="K3467" s="6">
        <f>IF(OR(A3467="",B3467=""),"",DATE(YEAR(B3467),MONTH(B3467),1))</f>
        <v/>
      </c>
      <c r="L3467" s="7">
        <f>IF(COUNTA(A3467,B3467)=0,"",IF(OR(A3467="",B3467=""),"Preencher CPF e entrada",IF(COUNTIFS($A$12:$A$5011,A3467,$B$12:$B$5011,B3467)&gt;1,"CPF + dia duplicado",IF(OR(AND(E3467&lt;&gt;"",E3467&lt;B3467),AND(F3467&lt;&gt;"",F3467&lt;B3467)),"Evento anterior à entrada",IF(AND(F3467&lt;&gt;"",E3467=""),"Conversa sem agendamento",IF(OR(E3467&gt;TODAY(),F3467&gt;TODAY()),"Verificar evento futuro","OK"))))))</f>
        <v/>
      </c>
    </row>
    <row r="3468" spans="9:12">
      <c r="I3468" s="5">
        <f>IF(OR(A3468="",B3468=""),"",B3468-WEEKDAY(B3468,2)+1)</f>
        <v/>
      </c>
      <c r="J3468" s="5">
        <f>IF(I3468="","",I3468+6)</f>
        <v/>
      </c>
      <c r="K3468" s="6">
        <f>IF(OR(A3468="",B3468=""),"",DATE(YEAR(B3468),MONTH(B3468),1))</f>
        <v/>
      </c>
      <c r="L3468" s="7">
        <f>IF(COUNTA(A3468,B3468)=0,"",IF(OR(A3468="",B3468=""),"Preencher CPF e entrada",IF(COUNTIFS($A$12:$A$5011,A3468,$B$12:$B$5011,B3468)&gt;1,"CPF + dia duplicado",IF(OR(AND(E3468&lt;&gt;"",E3468&lt;B3468),AND(F3468&lt;&gt;"",F3468&lt;B3468)),"Evento anterior à entrada",IF(AND(F3468&lt;&gt;"",E3468=""),"Conversa sem agendamento",IF(OR(E3468&gt;TODAY(),F3468&gt;TODAY()),"Verificar evento futuro","OK"))))))</f>
        <v/>
      </c>
    </row>
    <row r="3469" spans="9:12">
      <c r="I3469" s="5">
        <f>IF(OR(A3469="",B3469=""),"",B3469-WEEKDAY(B3469,2)+1)</f>
        <v/>
      </c>
      <c r="J3469" s="5">
        <f>IF(I3469="","",I3469+6)</f>
        <v/>
      </c>
      <c r="K3469" s="6">
        <f>IF(OR(A3469="",B3469=""),"",DATE(YEAR(B3469),MONTH(B3469),1))</f>
        <v/>
      </c>
      <c r="L3469" s="7">
        <f>IF(COUNTA(A3469,B3469)=0,"",IF(OR(A3469="",B3469=""),"Preencher CPF e entrada",IF(COUNTIFS($A$12:$A$5011,A3469,$B$12:$B$5011,B3469)&gt;1,"CPF + dia duplicado",IF(OR(AND(E3469&lt;&gt;"",E3469&lt;B3469),AND(F3469&lt;&gt;"",F3469&lt;B3469)),"Evento anterior à entrada",IF(AND(F3469&lt;&gt;"",E3469=""),"Conversa sem agendamento",IF(OR(E3469&gt;TODAY(),F3469&gt;TODAY()),"Verificar evento futuro","OK"))))))</f>
        <v/>
      </c>
    </row>
    <row r="3470" spans="9:12">
      <c r="I3470" s="5">
        <f>IF(OR(A3470="",B3470=""),"",B3470-WEEKDAY(B3470,2)+1)</f>
        <v/>
      </c>
      <c r="J3470" s="5">
        <f>IF(I3470="","",I3470+6)</f>
        <v/>
      </c>
      <c r="K3470" s="6">
        <f>IF(OR(A3470="",B3470=""),"",DATE(YEAR(B3470),MONTH(B3470),1))</f>
        <v/>
      </c>
      <c r="L3470" s="7">
        <f>IF(COUNTA(A3470,B3470)=0,"",IF(OR(A3470="",B3470=""),"Preencher CPF e entrada",IF(COUNTIFS($A$12:$A$5011,A3470,$B$12:$B$5011,B3470)&gt;1,"CPF + dia duplicado",IF(OR(AND(E3470&lt;&gt;"",E3470&lt;B3470),AND(F3470&lt;&gt;"",F3470&lt;B3470)),"Evento anterior à entrada",IF(AND(F3470&lt;&gt;"",E3470=""),"Conversa sem agendamento",IF(OR(E3470&gt;TODAY(),F3470&gt;TODAY()),"Verificar evento futuro","OK"))))))</f>
        <v/>
      </c>
    </row>
    <row r="3471" spans="9:12">
      <c r="I3471" s="5">
        <f>IF(OR(A3471="",B3471=""),"",B3471-WEEKDAY(B3471,2)+1)</f>
        <v/>
      </c>
      <c r="J3471" s="5">
        <f>IF(I3471="","",I3471+6)</f>
        <v/>
      </c>
      <c r="K3471" s="6">
        <f>IF(OR(A3471="",B3471=""),"",DATE(YEAR(B3471),MONTH(B3471),1))</f>
        <v/>
      </c>
      <c r="L3471" s="7">
        <f>IF(COUNTA(A3471,B3471)=0,"",IF(OR(A3471="",B3471=""),"Preencher CPF e entrada",IF(COUNTIFS($A$12:$A$5011,A3471,$B$12:$B$5011,B3471)&gt;1,"CPF + dia duplicado",IF(OR(AND(E3471&lt;&gt;"",E3471&lt;B3471),AND(F3471&lt;&gt;"",F3471&lt;B3471)),"Evento anterior à entrada",IF(AND(F3471&lt;&gt;"",E3471=""),"Conversa sem agendamento",IF(OR(E3471&gt;TODAY(),F3471&gt;TODAY()),"Verificar evento futuro","OK"))))))</f>
        <v/>
      </c>
    </row>
    <row r="3472" spans="9:12">
      <c r="I3472" s="5">
        <f>IF(OR(A3472="",B3472=""),"",B3472-WEEKDAY(B3472,2)+1)</f>
        <v/>
      </c>
      <c r="J3472" s="5">
        <f>IF(I3472="","",I3472+6)</f>
        <v/>
      </c>
      <c r="K3472" s="6">
        <f>IF(OR(A3472="",B3472=""),"",DATE(YEAR(B3472),MONTH(B3472),1))</f>
        <v/>
      </c>
      <c r="L3472" s="7">
        <f>IF(COUNTA(A3472,B3472)=0,"",IF(OR(A3472="",B3472=""),"Preencher CPF e entrada",IF(COUNTIFS($A$12:$A$5011,A3472,$B$12:$B$5011,B3472)&gt;1,"CPF + dia duplicado",IF(OR(AND(E3472&lt;&gt;"",E3472&lt;B3472),AND(F3472&lt;&gt;"",F3472&lt;B3472)),"Evento anterior à entrada",IF(AND(F3472&lt;&gt;"",E3472=""),"Conversa sem agendamento",IF(OR(E3472&gt;TODAY(),F3472&gt;TODAY()),"Verificar evento futuro","OK"))))))</f>
        <v/>
      </c>
    </row>
    <row r="3473" spans="9:12">
      <c r="I3473" s="5">
        <f>IF(OR(A3473="",B3473=""),"",B3473-WEEKDAY(B3473,2)+1)</f>
        <v/>
      </c>
      <c r="J3473" s="5">
        <f>IF(I3473="","",I3473+6)</f>
        <v/>
      </c>
      <c r="K3473" s="6">
        <f>IF(OR(A3473="",B3473=""),"",DATE(YEAR(B3473),MONTH(B3473),1))</f>
        <v/>
      </c>
      <c r="L3473" s="7">
        <f>IF(COUNTA(A3473,B3473)=0,"",IF(OR(A3473="",B3473=""),"Preencher CPF e entrada",IF(COUNTIFS($A$12:$A$5011,A3473,$B$12:$B$5011,B3473)&gt;1,"CPF + dia duplicado",IF(OR(AND(E3473&lt;&gt;"",E3473&lt;B3473),AND(F3473&lt;&gt;"",F3473&lt;B3473)),"Evento anterior à entrada",IF(AND(F3473&lt;&gt;"",E3473=""),"Conversa sem agendamento",IF(OR(E3473&gt;TODAY(),F3473&gt;TODAY()),"Verificar evento futuro","OK"))))))</f>
        <v/>
      </c>
    </row>
    <row r="3474" spans="9:12">
      <c r="I3474" s="5">
        <f>IF(OR(A3474="",B3474=""),"",B3474-WEEKDAY(B3474,2)+1)</f>
        <v/>
      </c>
      <c r="J3474" s="5">
        <f>IF(I3474="","",I3474+6)</f>
        <v/>
      </c>
      <c r="K3474" s="6">
        <f>IF(OR(A3474="",B3474=""),"",DATE(YEAR(B3474),MONTH(B3474),1))</f>
        <v/>
      </c>
      <c r="L3474" s="7">
        <f>IF(COUNTA(A3474,B3474)=0,"",IF(OR(A3474="",B3474=""),"Preencher CPF e entrada",IF(COUNTIFS($A$12:$A$5011,A3474,$B$12:$B$5011,B3474)&gt;1,"CPF + dia duplicado",IF(OR(AND(E3474&lt;&gt;"",E3474&lt;B3474),AND(F3474&lt;&gt;"",F3474&lt;B3474)),"Evento anterior à entrada",IF(AND(F3474&lt;&gt;"",E3474=""),"Conversa sem agendamento",IF(OR(E3474&gt;TODAY(),F3474&gt;TODAY()),"Verificar evento futuro","OK"))))))</f>
        <v/>
      </c>
    </row>
    <row r="3475" spans="9:12">
      <c r="I3475" s="5">
        <f>IF(OR(A3475="",B3475=""),"",B3475-WEEKDAY(B3475,2)+1)</f>
        <v/>
      </c>
      <c r="J3475" s="5">
        <f>IF(I3475="","",I3475+6)</f>
        <v/>
      </c>
      <c r="K3475" s="6">
        <f>IF(OR(A3475="",B3475=""),"",DATE(YEAR(B3475),MONTH(B3475),1))</f>
        <v/>
      </c>
      <c r="L3475" s="7">
        <f>IF(COUNTA(A3475,B3475)=0,"",IF(OR(A3475="",B3475=""),"Preencher CPF e entrada",IF(COUNTIFS($A$12:$A$5011,A3475,$B$12:$B$5011,B3475)&gt;1,"CPF + dia duplicado",IF(OR(AND(E3475&lt;&gt;"",E3475&lt;B3475),AND(F3475&lt;&gt;"",F3475&lt;B3475)),"Evento anterior à entrada",IF(AND(F3475&lt;&gt;"",E3475=""),"Conversa sem agendamento",IF(OR(E3475&gt;TODAY(),F3475&gt;TODAY()),"Verificar evento futuro","OK"))))))</f>
        <v/>
      </c>
    </row>
    <row r="3476" spans="9:12">
      <c r="I3476" s="5">
        <f>IF(OR(A3476="",B3476=""),"",B3476-WEEKDAY(B3476,2)+1)</f>
        <v/>
      </c>
      <c r="J3476" s="5">
        <f>IF(I3476="","",I3476+6)</f>
        <v/>
      </c>
      <c r="K3476" s="6">
        <f>IF(OR(A3476="",B3476=""),"",DATE(YEAR(B3476),MONTH(B3476),1))</f>
        <v/>
      </c>
      <c r="L3476" s="7">
        <f>IF(COUNTA(A3476,B3476)=0,"",IF(OR(A3476="",B3476=""),"Preencher CPF e entrada",IF(COUNTIFS($A$12:$A$5011,A3476,$B$12:$B$5011,B3476)&gt;1,"CPF + dia duplicado",IF(OR(AND(E3476&lt;&gt;"",E3476&lt;B3476),AND(F3476&lt;&gt;"",F3476&lt;B3476)),"Evento anterior à entrada",IF(AND(F3476&lt;&gt;"",E3476=""),"Conversa sem agendamento",IF(OR(E3476&gt;TODAY(),F3476&gt;TODAY()),"Verificar evento futuro","OK"))))))</f>
        <v/>
      </c>
    </row>
    <row r="3477" spans="9:12">
      <c r="I3477" s="5">
        <f>IF(OR(A3477="",B3477=""),"",B3477-WEEKDAY(B3477,2)+1)</f>
        <v/>
      </c>
      <c r="J3477" s="5">
        <f>IF(I3477="","",I3477+6)</f>
        <v/>
      </c>
      <c r="K3477" s="6">
        <f>IF(OR(A3477="",B3477=""),"",DATE(YEAR(B3477),MONTH(B3477),1))</f>
        <v/>
      </c>
      <c r="L3477" s="7">
        <f>IF(COUNTA(A3477,B3477)=0,"",IF(OR(A3477="",B3477=""),"Preencher CPF e entrada",IF(COUNTIFS($A$12:$A$5011,A3477,$B$12:$B$5011,B3477)&gt;1,"CPF + dia duplicado",IF(OR(AND(E3477&lt;&gt;"",E3477&lt;B3477),AND(F3477&lt;&gt;"",F3477&lt;B3477)),"Evento anterior à entrada",IF(AND(F3477&lt;&gt;"",E3477=""),"Conversa sem agendamento",IF(OR(E3477&gt;TODAY(),F3477&gt;TODAY()),"Verificar evento futuro","OK"))))))</f>
        <v/>
      </c>
    </row>
    <row r="3478" spans="9:12">
      <c r="I3478" s="5">
        <f>IF(OR(A3478="",B3478=""),"",B3478-WEEKDAY(B3478,2)+1)</f>
        <v/>
      </c>
      <c r="J3478" s="5">
        <f>IF(I3478="","",I3478+6)</f>
        <v/>
      </c>
      <c r="K3478" s="6">
        <f>IF(OR(A3478="",B3478=""),"",DATE(YEAR(B3478),MONTH(B3478),1))</f>
        <v/>
      </c>
      <c r="L3478" s="7">
        <f>IF(COUNTA(A3478,B3478)=0,"",IF(OR(A3478="",B3478=""),"Preencher CPF e entrada",IF(COUNTIFS($A$12:$A$5011,A3478,$B$12:$B$5011,B3478)&gt;1,"CPF + dia duplicado",IF(OR(AND(E3478&lt;&gt;"",E3478&lt;B3478),AND(F3478&lt;&gt;"",F3478&lt;B3478)),"Evento anterior à entrada",IF(AND(F3478&lt;&gt;"",E3478=""),"Conversa sem agendamento",IF(OR(E3478&gt;TODAY(),F3478&gt;TODAY()),"Verificar evento futuro","OK"))))))</f>
        <v/>
      </c>
    </row>
    <row r="3479" spans="9:12">
      <c r="I3479" s="5">
        <f>IF(OR(A3479="",B3479=""),"",B3479-WEEKDAY(B3479,2)+1)</f>
        <v/>
      </c>
      <c r="J3479" s="5">
        <f>IF(I3479="","",I3479+6)</f>
        <v/>
      </c>
      <c r="K3479" s="6">
        <f>IF(OR(A3479="",B3479=""),"",DATE(YEAR(B3479),MONTH(B3479),1))</f>
        <v/>
      </c>
      <c r="L3479" s="7">
        <f>IF(COUNTA(A3479,B3479)=0,"",IF(OR(A3479="",B3479=""),"Preencher CPF e entrada",IF(COUNTIFS($A$12:$A$5011,A3479,$B$12:$B$5011,B3479)&gt;1,"CPF + dia duplicado",IF(OR(AND(E3479&lt;&gt;"",E3479&lt;B3479),AND(F3479&lt;&gt;"",F3479&lt;B3479)),"Evento anterior à entrada",IF(AND(F3479&lt;&gt;"",E3479=""),"Conversa sem agendamento",IF(OR(E3479&gt;TODAY(),F3479&gt;TODAY()),"Verificar evento futuro","OK"))))))</f>
        <v/>
      </c>
    </row>
    <row r="3480" spans="9:12">
      <c r="I3480" s="5">
        <f>IF(OR(A3480="",B3480=""),"",B3480-WEEKDAY(B3480,2)+1)</f>
        <v/>
      </c>
      <c r="J3480" s="5">
        <f>IF(I3480="","",I3480+6)</f>
        <v/>
      </c>
      <c r="K3480" s="6">
        <f>IF(OR(A3480="",B3480=""),"",DATE(YEAR(B3480),MONTH(B3480),1))</f>
        <v/>
      </c>
      <c r="L3480" s="7">
        <f>IF(COUNTA(A3480,B3480)=0,"",IF(OR(A3480="",B3480=""),"Preencher CPF e entrada",IF(COUNTIFS($A$12:$A$5011,A3480,$B$12:$B$5011,B3480)&gt;1,"CPF + dia duplicado",IF(OR(AND(E3480&lt;&gt;"",E3480&lt;B3480),AND(F3480&lt;&gt;"",F3480&lt;B3480)),"Evento anterior à entrada",IF(AND(F3480&lt;&gt;"",E3480=""),"Conversa sem agendamento",IF(OR(E3480&gt;TODAY(),F3480&gt;TODAY()),"Verificar evento futuro","OK"))))))</f>
        <v/>
      </c>
    </row>
    <row r="3481" spans="9:12">
      <c r="I3481" s="5">
        <f>IF(OR(A3481="",B3481=""),"",B3481-WEEKDAY(B3481,2)+1)</f>
        <v/>
      </c>
      <c r="J3481" s="5">
        <f>IF(I3481="","",I3481+6)</f>
        <v/>
      </c>
      <c r="K3481" s="6">
        <f>IF(OR(A3481="",B3481=""),"",DATE(YEAR(B3481),MONTH(B3481),1))</f>
        <v/>
      </c>
      <c r="L3481" s="7">
        <f>IF(COUNTA(A3481,B3481)=0,"",IF(OR(A3481="",B3481=""),"Preencher CPF e entrada",IF(COUNTIFS($A$12:$A$5011,A3481,$B$12:$B$5011,B3481)&gt;1,"CPF + dia duplicado",IF(OR(AND(E3481&lt;&gt;"",E3481&lt;B3481),AND(F3481&lt;&gt;"",F3481&lt;B3481)),"Evento anterior à entrada",IF(AND(F3481&lt;&gt;"",E3481=""),"Conversa sem agendamento",IF(OR(E3481&gt;TODAY(),F3481&gt;TODAY()),"Verificar evento futuro","OK"))))))</f>
        <v/>
      </c>
    </row>
    <row r="3482" spans="9:12">
      <c r="I3482" s="5">
        <f>IF(OR(A3482="",B3482=""),"",B3482-WEEKDAY(B3482,2)+1)</f>
        <v/>
      </c>
      <c r="J3482" s="5">
        <f>IF(I3482="","",I3482+6)</f>
        <v/>
      </c>
      <c r="K3482" s="6">
        <f>IF(OR(A3482="",B3482=""),"",DATE(YEAR(B3482),MONTH(B3482),1))</f>
        <v/>
      </c>
      <c r="L3482" s="7">
        <f>IF(COUNTA(A3482,B3482)=0,"",IF(OR(A3482="",B3482=""),"Preencher CPF e entrada",IF(COUNTIFS($A$12:$A$5011,A3482,$B$12:$B$5011,B3482)&gt;1,"CPF + dia duplicado",IF(OR(AND(E3482&lt;&gt;"",E3482&lt;B3482),AND(F3482&lt;&gt;"",F3482&lt;B3482)),"Evento anterior à entrada",IF(AND(F3482&lt;&gt;"",E3482=""),"Conversa sem agendamento",IF(OR(E3482&gt;TODAY(),F3482&gt;TODAY()),"Verificar evento futuro","OK"))))))</f>
        <v/>
      </c>
    </row>
    <row r="3483" spans="9:12">
      <c r="I3483" s="5">
        <f>IF(OR(A3483="",B3483=""),"",B3483-WEEKDAY(B3483,2)+1)</f>
        <v/>
      </c>
      <c r="J3483" s="5">
        <f>IF(I3483="","",I3483+6)</f>
        <v/>
      </c>
      <c r="K3483" s="6">
        <f>IF(OR(A3483="",B3483=""),"",DATE(YEAR(B3483),MONTH(B3483),1))</f>
        <v/>
      </c>
      <c r="L3483" s="7">
        <f>IF(COUNTA(A3483,B3483)=0,"",IF(OR(A3483="",B3483=""),"Preencher CPF e entrada",IF(COUNTIFS($A$12:$A$5011,A3483,$B$12:$B$5011,B3483)&gt;1,"CPF + dia duplicado",IF(OR(AND(E3483&lt;&gt;"",E3483&lt;B3483),AND(F3483&lt;&gt;"",F3483&lt;B3483)),"Evento anterior à entrada",IF(AND(F3483&lt;&gt;"",E3483=""),"Conversa sem agendamento",IF(OR(E3483&gt;TODAY(),F3483&gt;TODAY()),"Verificar evento futuro","OK"))))))</f>
        <v/>
      </c>
    </row>
    <row r="3484" spans="9:12">
      <c r="I3484" s="5">
        <f>IF(OR(A3484="",B3484=""),"",B3484-WEEKDAY(B3484,2)+1)</f>
        <v/>
      </c>
      <c r="J3484" s="5">
        <f>IF(I3484="","",I3484+6)</f>
        <v/>
      </c>
      <c r="K3484" s="6">
        <f>IF(OR(A3484="",B3484=""),"",DATE(YEAR(B3484),MONTH(B3484),1))</f>
        <v/>
      </c>
      <c r="L3484" s="7">
        <f>IF(COUNTA(A3484,B3484)=0,"",IF(OR(A3484="",B3484=""),"Preencher CPF e entrada",IF(COUNTIFS($A$12:$A$5011,A3484,$B$12:$B$5011,B3484)&gt;1,"CPF + dia duplicado",IF(OR(AND(E3484&lt;&gt;"",E3484&lt;B3484),AND(F3484&lt;&gt;"",F3484&lt;B3484)),"Evento anterior à entrada",IF(AND(F3484&lt;&gt;"",E3484=""),"Conversa sem agendamento",IF(OR(E3484&gt;TODAY(),F3484&gt;TODAY()),"Verificar evento futuro","OK"))))))</f>
        <v/>
      </c>
    </row>
    <row r="3485" spans="9:12">
      <c r="I3485" s="5">
        <f>IF(OR(A3485="",B3485=""),"",B3485-WEEKDAY(B3485,2)+1)</f>
        <v/>
      </c>
      <c r="J3485" s="5">
        <f>IF(I3485="","",I3485+6)</f>
        <v/>
      </c>
      <c r="K3485" s="6">
        <f>IF(OR(A3485="",B3485=""),"",DATE(YEAR(B3485),MONTH(B3485),1))</f>
        <v/>
      </c>
      <c r="L3485" s="7">
        <f>IF(COUNTA(A3485,B3485)=0,"",IF(OR(A3485="",B3485=""),"Preencher CPF e entrada",IF(COUNTIFS($A$12:$A$5011,A3485,$B$12:$B$5011,B3485)&gt;1,"CPF + dia duplicado",IF(OR(AND(E3485&lt;&gt;"",E3485&lt;B3485),AND(F3485&lt;&gt;"",F3485&lt;B3485)),"Evento anterior à entrada",IF(AND(F3485&lt;&gt;"",E3485=""),"Conversa sem agendamento",IF(OR(E3485&gt;TODAY(),F3485&gt;TODAY()),"Verificar evento futuro","OK"))))))</f>
        <v/>
      </c>
    </row>
    <row r="3486" spans="9:12">
      <c r="I3486" s="5">
        <f>IF(OR(A3486="",B3486=""),"",B3486-WEEKDAY(B3486,2)+1)</f>
        <v/>
      </c>
      <c r="J3486" s="5">
        <f>IF(I3486="","",I3486+6)</f>
        <v/>
      </c>
      <c r="K3486" s="6">
        <f>IF(OR(A3486="",B3486=""),"",DATE(YEAR(B3486),MONTH(B3486),1))</f>
        <v/>
      </c>
      <c r="L3486" s="7">
        <f>IF(COUNTA(A3486,B3486)=0,"",IF(OR(A3486="",B3486=""),"Preencher CPF e entrada",IF(COUNTIFS($A$12:$A$5011,A3486,$B$12:$B$5011,B3486)&gt;1,"CPF + dia duplicado",IF(OR(AND(E3486&lt;&gt;"",E3486&lt;B3486),AND(F3486&lt;&gt;"",F3486&lt;B3486)),"Evento anterior à entrada",IF(AND(F3486&lt;&gt;"",E3486=""),"Conversa sem agendamento",IF(OR(E3486&gt;TODAY(),F3486&gt;TODAY()),"Verificar evento futuro","OK"))))))</f>
        <v/>
      </c>
    </row>
    <row r="3487" spans="9:12">
      <c r="I3487" s="5">
        <f>IF(OR(A3487="",B3487=""),"",B3487-WEEKDAY(B3487,2)+1)</f>
        <v/>
      </c>
      <c r="J3487" s="5">
        <f>IF(I3487="","",I3487+6)</f>
        <v/>
      </c>
      <c r="K3487" s="6">
        <f>IF(OR(A3487="",B3487=""),"",DATE(YEAR(B3487),MONTH(B3487),1))</f>
        <v/>
      </c>
      <c r="L3487" s="7">
        <f>IF(COUNTA(A3487,B3487)=0,"",IF(OR(A3487="",B3487=""),"Preencher CPF e entrada",IF(COUNTIFS($A$12:$A$5011,A3487,$B$12:$B$5011,B3487)&gt;1,"CPF + dia duplicado",IF(OR(AND(E3487&lt;&gt;"",E3487&lt;B3487),AND(F3487&lt;&gt;"",F3487&lt;B3487)),"Evento anterior à entrada",IF(AND(F3487&lt;&gt;"",E3487=""),"Conversa sem agendamento",IF(OR(E3487&gt;TODAY(),F3487&gt;TODAY()),"Verificar evento futuro","OK"))))))</f>
        <v/>
      </c>
    </row>
    <row r="3488" spans="9:12">
      <c r="I3488" s="5">
        <f>IF(OR(A3488="",B3488=""),"",B3488-WEEKDAY(B3488,2)+1)</f>
        <v/>
      </c>
      <c r="J3488" s="5">
        <f>IF(I3488="","",I3488+6)</f>
        <v/>
      </c>
      <c r="K3488" s="6">
        <f>IF(OR(A3488="",B3488=""),"",DATE(YEAR(B3488),MONTH(B3488),1))</f>
        <v/>
      </c>
      <c r="L3488" s="7">
        <f>IF(COUNTA(A3488,B3488)=0,"",IF(OR(A3488="",B3488=""),"Preencher CPF e entrada",IF(COUNTIFS($A$12:$A$5011,A3488,$B$12:$B$5011,B3488)&gt;1,"CPF + dia duplicado",IF(OR(AND(E3488&lt;&gt;"",E3488&lt;B3488),AND(F3488&lt;&gt;"",F3488&lt;B3488)),"Evento anterior à entrada",IF(AND(F3488&lt;&gt;"",E3488=""),"Conversa sem agendamento",IF(OR(E3488&gt;TODAY(),F3488&gt;TODAY()),"Verificar evento futuro","OK"))))))</f>
        <v/>
      </c>
    </row>
    <row r="3489" spans="9:12">
      <c r="I3489" s="5">
        <f>IF(OR(A3489="",B3489=""),"",B3489-WEEKDAY(B3489,2)+1)</f>
        <v/>
      </c>
      <c r="J3489" s="5">
        <f>IF(I3489="","",I3489+6)</f>
        <v/>
      </c>
      <c r="K3489" s="6">
        <f>IF(OR(A3489="",B3489=""),"",DATE(YEAR(B3489),MONTH(B3489),1))</f>
        <v/>
      </c>
      <c r="L3489" s="7">
        <f>IF(COUNTA(A3489,B3489)=0,"",IF(OR(A3489="",B3489=""),"Preencher CPF e entrada",IF(COUNTIFS($A$12:$A$5011,A3489,$B$12:$B$5011,B3489)&gt;1,"CPF + dia duplicado",IF(OR(AND(E3489&lt;&gt;"",E3489&lt;B3489),AND(F3489&lt;&gt;"",F3489&lt;B3489)),"Evento anterior à entrada",IF(AND(F3489&lt;&gt;"",E3489=""),"Conversa sem agendamento",IF(OR(E3489&gt;TODAY(),F3489&gt;TODAY()),"Verificar evento futuro","OK"))))))</f>
        <v/>
      </c>
    </row>
    <row r="3490" spans="9:12">
      <c r="I3490" s="5">
        <f>IF(OR(A3490="",B3490=""),"",B3490-WEEKDAY(B3490,2)+1)</f>
        <v/>
      </c>
      <c r="J3490" s="5">
        <f>IF(I3490="","",I3490+6)</f>
        <v/>
      </c>
      <c r="K3490" s="6">
        <f>IF(OR(A3490="",B3490=""),"",DATE(YEAR(B3490),MONTH(B3490),1))</f>
        <v/>
      </c>
      <c r="L3490" s="7">
        <f>IF(COUNTA(A3490,B3490)=0,"",IF(OR(A3490="",B3490=""),"Preencher CPF e entrada",IF(COUNTIFS($A$12:$A$5011,A3490,$B$12:$B$5011,B3490)&gt;1,"CPF + dia duplicado",IF(OR(AND(E3490&lt;&gt;"",E3490&lt;B3490),AND(F3490&lt;&gt;"",F3490&lt;B3490)),"Evento anterior à entrada",IF(AND(F3490&lt;&gt;"",E3490=""),"Conversa sem agendamento",IF(OR(E3490&gt;TODAY(),F3490&gt;TODAY()),"Verificar evento futuro","OK"))))))</f>
        <v/>
      </c>
    </row>
    <row r="3491" spans="9:12">
      <c r="I3491" s="5">
        <f>IF(OR(A3491="",B3491=""),"",B3491-WEEKDAY(B3491,2)+1)</f>
        <v/>
      </c>
      <c r="J3491" s="5">
        <f>IF(I3491="","",I3491+6)</f>
        <v/>
      </c>
      <c r="K3491" s="6">
        <f>IF(OR(A3491="",B3491=""),"",DATE(YEAR(B3491),MONTH(B3491),1))</f>
        <v/>
      </c>
      <c r="L3491" s="7">
        <f>IF(COUNTA(A3491,B3491)=0,"",IF(OR(A3491="",B3491=""),"Preencher CPF e entrada",IF(COUNTIFS($A$12:$A$5011,A3491,$B$12:$B$5011,B3491)&gt;1,"CPF + dia duplicado",IF(OR(AND(E3491&lt;&gt;"",E3491&lt;B3491),AND(F3491&lt;&gt;"",F3491&lt;B3491)),"Evento anterior à entrada",IF(AND(F3491&lt;&gt;"",E3491=""),"Conversa sem agendamento",IF(OR(E3491&gt;TODAY(),F3491&gt;TODAY()),"Verificar evento futuro","OK"))))))</f>
        <v/>
      </c>
    </row>
    <row r="3492" spans="9:12">
      <c r="I3492" s="5">
        <f>IF(OR(A3492="",B3492=""),"",B3492-WEEKDAY(B3492,2)+1)</f>
        <v/>
      </c>
      <c r="J3492" s="5">
        <f>IF(I3492="","",I3492+6)</f>
        <v/>
      </c>
      <c r="K3492" s="6">
        <f>IF(OR(A3492="",B3492=""),"",DATE(YEAR(B3492),MONTH(B3492),1))</f>
        <v/>
      </c>
      <c r="L3492" s="7">
        <f>IF(COUNTA(A3492,B3492)=0,"",IF(OR(A3492="",B3492=""),"Preencher CPF e entrada",IF(COUNTIFS($A$12:$A$5011,A3492,$B$12:$B$5011,B3492)&gt;1,"CPF + dia duplicado",IF(OR(AND(E3492&lt;&gt;"",E3492&lt;B3492),AND(F3492&lt;&gt;"",F3492&lt;B3492)),"Evento anterior à entrada",IF(AND(F3492&lt;&gt;"",E3492=""),"Conversa sem agendamento",IF(OR(E3492&gt;TODAY(),F3492&gt;TODAY()),"Verificar evento futuro","OK"))))))</f>
        <v/>
      </c>
    </row>
    <row r="3493" spans="9:12">
      <c r="I3493" s="5">
        <f>IF(OR(A3493="",B3493=""),"",B3493-WEEKDAY(B3493,2)+1)</f>
        <v/>
      </c>
      <c r="J3493" s="5">
        <f>IF(I3493="","",I3493+6)</f>
        <v/>
      </c>
      <c r="K3493" s="6">
        <f>IF(OR(A3493="",B3493=""),"",DATE(YEAR(B3493),MONTH(B3493),1))</f>
        <v/>
      </c>
      <c r="L3493" s="7">
        <f>IF(COUNTA(A3493,B3493)=0,"",IF(OR(A3493="",B3493=""),"Preencher CPF e entrada",IF(COUNTIFS($A$12:$A$5011,A3493,$B$12:$B$5011,B3493)&gt;1,"CPF + dia duplicado",IF(OR(AND(E3493&lt;&gt;"",E3493&lt;B3493),AND(F3493&lt;&gt;"",F3493&lt;B3493)),"Evento anterior à entrada",IF(AND(F3493&lt;&gt;"",E3493=""),"Conversa sem agendamento",IF(OR(E3493&gt;TODAY(),F3493&gt;TODAY()),"Verificar evento futuro","OK"))))))</f>
        <v/>
      </c>
    </row>
    <row r="3494" spans="9:12">
      <c r="I3494" s="5">
        <f>IF(OR(A3494="",B3494=""),"",B3494-WEEKDAY(B3494,2)+1)</f>
        <v/>
      </c>
      <c r="J3494" s="5">
        <f>IF(I3494="","",I3494+6)</f>
        <v/>
      </c>
      <c r="K3494" s="6">
        <f>IF(OR(A3494="",B3494=""),"",DATE(YEAR(B3494),MONTH(B3494),1))</f>
        <v/>
      </c>
      <c r="L3494" s="7">
        <f>IF(COUNTA(A3494,B3494)=0,"",IF(OR(A3494="",B3494=""),"Preencher CPF e entrada",IF(COUNTIFS($A$12:$A$5011,A3494,$B$12:$B$5011,B3494)&gt;1,"CPF + dia duplicado",IF(OR(AND(E3494&lt;&gt;"",E3494&lt;B3494),AND(F3494&lt;&gt;"",F3494&lt;B3494)),"Evento anterior à entrada",IF(AND(F3494&lt;&gt;"",E3494=""),"Conversa sem agendamento",IF(OR(E3494&gt;TODAY(),F3494&gt;TODAY()),"Verificar evento futuro","OK"))))))</f>
        <v/>
      </c>
    </row>
    <row r="3495" spans="9:12">
      <c r="I3495" s="5">
        <f>IF(OR(A3495="",B3495=""),"",B3495-WEEKDAY(B3495,2)+1)</f>
        <v/>
      </c>
      <c r="J3495" s="5">
        <f>IF(I3495="","",I3495+6)</f>
        <v/>
      </c>
      <c r="K3495" s="6">
        <f>IF(OR(A3495="",B3495=""),"",DATE(YEAR(B3495),MONTH(B3495),1))</f>
        <v/>
      </c>
      <c r="L3495" s="7">
        <f>IF(COUNTA(A3495,B3495)=0,"",IF(OR(A3495="",B3495=""),"Preencher CPF e entrada",IF(COUNTIFS($A$12:$A$5011,A3495,$B$12:$B$5011,B3495)&gt;1,"CPF + dia duplicado",IF(OR(AND(E3495&lt;&gt;"",E3495&lt;B3495),AND(F3495&lt;&gt;"",F3495&lt;B3495)),"Evento anterior à entrada",IF(AND(F3495&lt;&gt;"",E3495=""),"Conversa sem agendamento",IF(OR(E3495&gt;TODAY(),F3495&gt;TODAY()),"Verificar evento futuro","OK"))))))</f>
        <v/>
      </c>
    </row>
    <row r="3496" spans="9:12">
      <c r="I3496" s="5">
        <f>IF(OR(A3496="",B3496=""),"",B3496-WEEKDAY(B3496,2)+1)</f>
        <v/>
      </c>
      <c r="J3496" s="5">
        <f>IF(I3496="","",I3496+6)</f>
        <v/>
      </c>
      <c r="K3496" s="6">
        <f>IF(OR(A3496="",B3496=""),"",DATE(YEAR(B3496),MONTH(B3496),1))</f>
        <v/>
      </c>
      <c r="L3496" s="7">
        <f>IF(COUNTA(A3496,B3496)=0,"",IF(OR(A3496="",B3496=""),"Preencher CPF e entrada",IF(COUNTIFS($A$12:$A$5011,A3496,$B$12:$B$5011,B3496)&gt;1,"CPF + dia duplicado",IF(OR(AND(E3496&lt;&gt;"",E3496&lt;B3496),AND(F3496&lt;&gt;"",F3496&lt;B3496)),"Evento anterior à entrada",IF(AND(F3496&lt;&gt;"",E3496=""),"Conversa sem agendamento",IF(OR(E3496&gt;TODAY(),F3496&gt;TODAY()),"Verificar evento futuro","OK"))))))</f>
        <v/>
      </c>
    </row>
    <row r="3497" spans="9:12">
      <c r="I3497" s="5">
        <f>IF(OR(A3497="",B3497=""),"",B3497-WEEKDAY(B3497,2)+1)</f>
        <v/>
      </c>
      <c r="J3497" s="5">
        <f>IF(I3497="","",I3497+6)</f>
        <v/>
      </c>
      <c r="K3497" s="6">
        <f>IF(OR(A3497="",B3497=""),"",DATE(YEAR(B3497),MONTH(B3497),1))</f>
        <v/>
      </c>
      <c r="L3497" s="7">
        <f>IF(COUNTA(A3497,B3497)=0,"",IF(OR(A3497="",B3497=""),"Preencher CPF e entrada",IF(COUNTIFS($A$12:$A$5011,A3497,$B$12:$B$5011,B3497)&gt;1,"CPF + dia duplicado",IF(OR(AND(E3497&lt;&gt;"",E3497&lt;B3497),AND(F3497&lt;&gt;"",F3497&lt;B3497)),"Evento anterior à entrada",IF(AND(F3497&lt;&gt;"",E3497=""),"Conversa sem agendamento",IF(OR(E3497&gt;TODAY(),F3497&gt;TODAY()),"Verificar evento futuro","OK"))))))</f>
        <v/>
      </c>
    </row>
    <row r="3498" spans="9:12">
      <c r="I3498" s="5">
        <f>IF(OR(A3498="",B3498=""),"",B3498-WEEKDAY(B3498,2)+1)</f>
        <v/>
      </c>
      <c r="J3498" s="5">
        <f>IF(I3498="","",I3498+6)</f>
        <v/>
      </c>
      <c r="K3498" s="6">
        <f>IF(OR(A3498="",B3498=""),"",DATE(YEAR(B3498),MONTH(B3498),1))</f>
        <v/>
      </c>
      <c r="L3498" s="7">
        <f>IF(COUNTA(A3498,B3498)=0,"",IF(OR(A3498="",B3498=""),"Preencher CPF e entrada",IF(COUNTIFS($A$12:$A$5011,A3498,$B$12:$B$5011,B3498)&gt;1,"CPF + dia duplicado",IF(OR(AND(E3498&lt;&gt;"",E3498&lt;B3498),AND(F3498&lt;&gt;"",F3498&lt;B3498)),"Evento anterior à entrada",IF(AND(F3498&lt;&gt;"",E3498=""),"Conversa sem agendamento",IF(OR(E3498&gt;TODAY(),F3498&gt;TODAY()),"Verificar evento futuro","OK"))))))</f>
        <v/>
      </c>
    </row>
    <row r="3499" spans="9:12">
      <c r="I3499" s="5">
        <f>IF(OR(A3499="",B3499=""),"",B3499-WEEKDAY(B3499,2)+1)</f>
        <v/>
      </c>
      <c r="J3499" s="5">
        <f>IF(I3499="","",I3499+6)</f>
        <v/>
      </c>
      <c r="K3499" s="6">
        <f>IF(OR(A3499="",B3499=""),"",DATE(YEAR(B3499),MONTH(B3499),1))</f>
        <v/>
      </c>
      <c r="L3499" s="7">
        <f>IF(COUNTA(A3499,B3499)=0,"",IF(OR(A3499="",B3499=""),"Preencher CPF e entrada",IF(COUNTIFS($A$12:$A$5011,A3499,$B$12:$B$5011,B3499)&gt;1,"CPF + dia duplicado",IF(OR(AND(E3499&lt;&gt;"",E3499&lt;B3499),AND(F3499&lt;&gt;"",F3499&lt;B3499)),"Evento anterior à entrada",IF(AND(F3499&lt;&gt;"",E3499=""),"Conversa sem agendamento",IF(OR(E3499&gt;TODAY(),F3499&gt;TODAY()),"Verificar evento futuro","OK"))))))</f>
        <v/>
      </c>
    </row>
    <row r="3500" spans="9:12">
      <c r="I3500" s="5">
        <f>IF(OR(A3500="",B3500=""),"",B3500-WEEKDAY(B3500,2)+1)</f>
        <v/>
      </c>
      <c r="J3500" s="5">
        <f>IF(I3500="","",I3500+6)</f>
        <v/>
      </c>
      <c r="K3500" s="6">
        <f>IF(OR(A3500="",B3500=""),"",DATE(YEAR(B3500),MONTH(B3500),1))</f>
        <v/>
      </c>
      <c r="L3500" s="7">
        <f>IF(COUNTA(A3500,B3500)=0,"",IF(OR(A3500="",B3500=""),"Preencher CPF e entrada",IF(COUNTIFS($A$12:$A$5011,A3500,$B$12:$B$5011,B3500)&gt;1,"CPF + dia duplicado",IF(OR(AND(E3500&lt;&gt;"",E3500&lt;B3500),AND(F3500&lt;&gt;"",F3500&lt;B3500)),"Evento anterior à entrada",IF(AND(F3500&lt;&gt;"",E3500=""),"Conversa sem agendamento",IF(OR(E3500&gt;TODAY(),F3500&gt;TODAY()),"Verificar evento futuro","OK"))))))</f>
        <v/>
      </c>
    </row>
    <row r="3501" spans="9:12">
      <c r="I3501" s="5">
        <f>IF(OR(A3501="",B3501=""),"",B3501-WEEKDAY(B3501,2)+1)</f>
        <v/>
      </c>
      <c r="J3501" s="5">
        <f>IF(I3501="","",I3501+6)</f>
        <v/>
      </c>
      <c r="K3501" s="6">
        <f>IF(OR(A3501="",B3501=""),"",DATE(YEAR(B3501),MONTH(B3501),1))</f>
        <v/>
      </c>
      <c r="L3501" s="7">
        <f>IF(COUNTA(A3501,B3501)=0,"",IF(OR(A3501="",B3501=""),"Preencher CPF e entrada",IF(COUNTIFS($A$12:$A$5011,A3501,$B$12:$B$5011,B3501)&gt;1,"CPF + dia duplicado",IF(OR(AND(E3501&lt;&gt;"",E3501&lt;B3501),AND(F3501&lt;&gt;"",F3501&lt;B3501)),"Evento anterior à entrada",IF(AND(F3501&lt;&gt;"",E3501=""),"Conversa sem agendamento",IF(OR(E3501&gt;TODAY(),F3501&gt;TODAY()),"Verificar evento futuro","OK"))))))</f>
        <v/>
      </c>
    </row>
    <row r="3502" spans="9:12">
      <c r="I3502" s="5">
        <f>IF(OR(A3502="",B3502=""),"",B3502-WEEKDAY(B3502,2)+1)</f>
        <v/>
      </c>
      <c r="J3502" s="5">
        <f>IF(I3502="","",I3502+6)</f>
        <v/>
      </c>
      <c r="K3502" s="6">
        <f>IF(OR(A3502="",B3502=""),"",DATE(YEAR(B3502),MONTH(B3502),1))</f>
        <v/>
      </c>
      <c r="L3502" s="7">
        <f>IF(COUNTA(A3502,B3502)=0,"",IF(OR(A3502="",B3502=""),"Preencher CPF e entrada",IF(COUNTIFS($A$12:$A$5011,A3502,$B$12:$B$5011,B3502)&gt;1,"CPF + dia duplicado",IF(OR(AND(E3502&lt;&gt;"",E3502&lt;B3502),AND(F3502&lt;&gt;"",F3502&lt;B3502)),"Evento anterior à entrada",IF(AND(F3502&lt;&gt;"",E3502=""),"Conversa sem agendamento",IF(OR(E3502&gt;TODAY(),F3502&gt;TODAY()),"Verificar evento futuro","OK"))))))</f>
        <v/>
      </c>
    </row>
    <row r="3503" spans="9:12">
      <c r="I3503" s="5">
        <f>IF(OR(A3503="",B3503=""),"",B3503-WEEKDAY(B3503,2)+1)</f>
        <v/>
      </c>
      <c r="J3503" s="5">
        <f>IF(I3503="","",I3503+6)</f>
        <v/>
      </c>
      <c r="K3503" s="6">
        <f>IF(OR(A3503="",B3503=""),"",DATE(YEAR(B3503),MONTH(B3503),1))</f>
        <v/>
      </c>
      <c r="L3503" s="7">
        <f>IF(COUNTA(A3503,B3503)=0,"",IF(OR(A3503="",B3503=""),"Preencher CPF e entrada",IF(COUNTIFS($A$12:$A$5011,A3503,$B$12:$B$5011,B3503)&gt;1,"CPF + dia duplicado",IF(OR(AND(E3503&lt;&gt;"",E3503&lt;B3503),AND(F3503&lt;&gt;"",F3503&lt;B3503)),"Evento anterior à entrada",IF(AND(F3503&lt;&gt;"",E3503=""),"Conversa sem agendamento",IF(OR(E3503&gt;TODAY(),F3503&gt;TODAY()),"Verificar evento futuro","OK"))))))</f>
        <v/>
      </c>
    </row>
    <row r="3504" spans="9:12">
      <c r="I3504" s="5">
        <f>IF(OR(A3504="",B3504=""),"",B3504-WEEKDAY(B3504,2)+1)</f>
        <v/>
      </c>
      <c r="J3504" s="5">
        <f>IF(I3504="","",I3504+6)</f>
        <v/>
      </c>
      <c r="K3504" s="6">
        <f>IF(OR(A3504="",B3504=""),"",DATE(YEAR(B3504),MONTH(B3504),1))</f>
        <v/>
      </c>
      <c r="L3504" s="7">
        <f>IF(COUNTA(A3504,B3504)=0,"",IF(OR(A3504="",B3504=""),"Preencher CPF e entrada",IF(COUNTIFS($A$12:$A$5011,A3504,$B$12:$B$5011,B3504)&gt;1,"CPF + dia duplicado",IF(OR(AND(E3504&lt;&gt;"",E3504&lt;B3504),AND(F3504&lt;&gt;"",F3504&lt;B3504)),"Evento anterior à entrada",IF(AND(F3504&lt;&gt;"",E3504=""),"Conversa sem agendamento",IF(OR(E3504&gt;TODAY(),F3504&gt;TODAY()),"Verificar evento futuro","OK"))))))</f>
        <v/>
      </c>
    </row>
    <row r="3505" spans="9:12">
      <c r="I3505" s="5">
        <f>IF(OR(A3505="",B3505=""),"",B3505-WEEKDAY(B3505,2)+1)</f>
        <v/>
      </c>
      <c r="J3505" s="5">
        <f>IF(I3505="","",I3505+6)</f>
        <v/>
      </c>
      <c r="K3505" s="6">
        <f>IF(OR(A3505="",B3505=""),"",DATE(YEAR(B3505),MONTH(B3505),1))</f>
        <v/>
      </c>
      <c r="L3505" s="7">
        <f>IF(COUNTA(A3505,B3505)=0,"",IF(OR(A3505="",B3505=""),"Preencher CPF e entrada",IF(COUNTIFS($A$12:$A$5011,A3505,$B$12:$B$5011,B3505)&gt;1,"CPF + dia duplicado",IF(OR(AND(E3505&lt;&gt;"",E3505&lt;B3505),AND(F3505&lt;&gt;"",F3505&lt;B3505)),"Evento anterior à entrada",IF(AND(F3505&lt;&gt;"",E3505=""),"Conversa sem agendamento",IF(OR(E3505&gt;TODAY(),F3505&gt;TODAY()),"Verificar evento futuro","OK"))))))</f>
        <v/>
      </c>
    </row>
    <row r="3506" spans="9:12">
      <c r="I3506" s="5">
        <f>IF(OR(A3506="",B3506=""),"",B3506-WEEKDAY(B3506,2)+1)</f>
        <v/>
      </c>
      <c r="J3506" s="5">
        <f>IF(I3506="","",I3506+6)</f>
        <v/>
      </c>
      <c r="K3506" s="6">
        <f>IF(OR(A3506="",B3506=""),"",DATE(YEAR(B3506),MONTH(B3506),1))</f>
        <v/>
      </c>
      <c r="L3506" s="7">
        <f>IF(COUNTA(A3506,B3506)=0,"",IF(OR(A3506="",B3506=""),"Preencher CPF e entrada",IF(COUNTIFS($A$12:$A$5011,A3506,$B$12:$B$5011,B3506)&gt;1,"CPF + dia duplicado",IF(OR(AND(E3506&lt;&gt;"",E3506&lt;B3506),AND(F3506&lt;&gt;"",F3506&lt;B3506)),"Evento anterior à entrada",IF(AND(F3506&lt;&gt;"",E3506=""),"Conversa sem agendamento",IF(OR(E3506&gt;TODAY(),F3506&gt;TODAY()),"Verificar evento futuro","OK"))))))</f>
        <v/>
      </c>
    </row>
    <row r="3507" spans="9:12">
      <c r="I3507" s="5">
        <f>IF(OR(A3507="",B3507=""),"",B3507-WEEKDAY(B3507,2)+1)</f>
        <v/>
      </c>
      <c r="J3507" s="5">
        <f>IF(I3507="","",I3507+6)</f>
        <v/>
      </c>
      <c r="K3507" s="6">
        <f>IF(OR(A3507="",B3507=""),"",DATE(YEAR(B3507),MONTH(B3507),1))</f>
        <v/>
      </c>
      <c r="L3507" s="7">
        <f>IF(COUNTA(A3507,B3507)=0,"",IF(OR(A3507="",B3507=""),"Preencher CPF e entrada",IF(COUNTIFS($A$12:$A$5011,A3507,$B$12:$B$5011,B3507)&gt;1,"CPF + dia duplicado",IF(OR(AND(E3507&lt;&gt;"",E3507&lt;B3507),AND(F3507&lt;&gt;"",F3507&lt;B3507)),"Evento anterior à entrada",IF(AND(F3507&lt;&gt;"",E3507=""),"Conversa sem agendamento",IF(OR(E3507&gt;TODAY(),F3507&gt;TODAY()),"Verificar evento futuro","OK"))))))</f>
        <v/>
      </c>
    </row>
    <row r="3508" spans="9:12">
      <c r="I3508" s="5">
        <f>IF(OR(A3508="",B3508=""),"",B3508-WEEKDAY(B3508,2)+1)</f>
        <v/>
      </c>
      <c r="J3508" s="5">
        <f>IF(I3508="","",I3508+6)</f>
        <v/>
      </c>
      <c r="K3508" s="6">
        <f>IF(OR(A3508="",B3508=""),"",DATE(YEAR(B3508),MONTH(B3508),1))</f>
        <v/>
      </c>
      <c r="L3508" s="7">
        <f>IF(COUNTA(A3508,B3508)=0,"",IF(OR(A3508="",B3508=""),"Preencher CPF e entrada",IF(COUNTIFS($A$12:$A$5011,A3508,$B$12:$B$5011,B3508)&gt;1,"CPF + dia duplicado",IF(OR(AND(E3508&lt;&gt;"",E3508&lt;B3508),AND(F3508&lt;&gt;"",F3508&lt;B3508)),"Evento anterior à entrada",IF(AND(F3508&lt;&gt;"",E3508=""),"Conversa sem agendamento",IF(OR(E3508&gt;TODAY(),F3508&gt;TODAY()),"Verificar evento futuro","OK"))))))</f>
        <v/>
      </c>
    </row>
    <row r="3509" spans="9:12">
      <c r="I3509" s="5">
        <f>IF(OR(A3509="",B3509=""),"",B3509-WEEKDAY(B3509,2)+1)</f>
        <v/>
      </c>
      <c r="J3509" s="5">
        <f>IF(I3509="","",I3509+6)</f>
        <v/>
      </c>
      <c r="K3509" s="6">
        <f>IF(OR(A3509="",B3509=""),"",DATE(YEAR(B3509),MONTH(B3509),1))</f>
        <v/>
      </c>
      <c r="L3509" s="7">
        <f>IF(COUNTA(A3509,B3509)=0,"",IF(OR(A3509="",B3509=""),"Preencher CPF e entrada",IF(COUNTIFS($A$12:$A$5011,A3509,$B$12:$B$5011,B3509)&gt;1,"CPF + dia duplicado",IF(OR(AND(E3509&lt;&gt;"",E3509&lt;B3509),AND(F3509&lt;&gt;"",F3509&lt;B3509)),"Evento anterior à entrada",IF(AND(F3509&lt;&gt;"",E3509=""),"Conversa sem agendamento",IF(OR(E3509&gt;TODAY(),F3509&gt;TODAY()),"Verificar evento futuro","OK"))))))</f>
        <v/>
      </c>
    </row>
    <row r="3510" spans="9:12">
      <c r="I3510" s="5">
        <f>IF(OR(A3510="",B3510=""),"",B3510-WEEKDAY(B3510,2)+1)</f>
        <v/>
      </c>
      <c r="J3510" s="5">
        <f>IF(I3510="","",I3510+6)</f>
        <v/>
      </c>
      <c r="K3510" s="6">
        <f>IF(OR(A3510="",B3510=""),"",DATE(YEAR(B3510),MONTH(B3510),1))</f>
        <v/>
      </c>
      <c r="L3510" s="7">
        <f>IF(COUNTA(A3510,B3510)=0,"",IF(OR(A3510="",B3510=""),"Preencher CPF e entrada",IF(COUNTIFS($A$12:$A$5011,A3510,$B$12:$B$5011,B3510)&gt;1,"CPF + dia duplicado",IF(OR(AND(E3510&lt;&gt;"",E3510&lt;B3510),AND(F3510&lt;&gt;"",F3510&lt;B3510)),"Evento anterior à entrada",IF(AND(F3510&lt;&gt;"",E3510=""),"Conversa sem agendamento",IF(OR(E3510&gt;TODAY(),F3510&gt;TODAY()),"Verificar evento futuro","OK"))))))</f>
        <v/>
      </c>
    </row>
    <row r="3511" spans="9:12">
      <c r="I3511" s="5">
        <f>IF(OR(A3511="",B3511=""),"",B3511-WEEKDAY(B3511,2)+1)</f>
        <v/>
      </c>
      <c r="J3511" s="5">
        <f>IF(I3511="","",I3511+6)</f>
        <v/>
      </c>
      <c r="K3511" s="6">
        <f>IF(OR(A3511="",B3511=""),"",DATE(YEAR(B3511),MONTH(B3511),1))</f>
        <v/>
      </c>
      <c r="L3511" s="7">
        <f>IF(COUNTA(A3511,B3511)=0,"",IF(OR(A3511="",B3511=""),"Preencher CPF e entrada",IF(COUNTIFS($A$12:$A$5011,A3511,$B$12:$B$5011,B3511)&gt;1,"CPF + dia duplicado",IF(OR(AND(E3511&lt;&gt;"",E3511&lt;B3511),AND(F3511&lt;&gt;"",F3511&lt;B3511)),"Evento anterior à entrada",IF(AND(F3511&lt;&gt;"",E3511=""),"Conversa sem agendamento",IF(OR(E3511&gt;TODAY(),F3511&gt;TODAY()),"Verificar evento futuro","OK"))))))</f>
        <v/>
      </c>
    </row>
    <row r="3512" spans="9:12">
      <c r="I3512" s="5">
        <f>IF(OR(A3512="",B3512=""),"",B3512-WEEKDAY(B3512,2)+1)</f>
        <v/>
      </c>
      <c r="J3512" s="5">
        <f>IF(I3512="","",I3512+6)</f>
        <v/>
      </c>
      <c r="K3512" s="6">
        <f>IF(OR(A3512="",B3512=""),"",DATE(YEAR(B3512),MONTH(B3512),1))</f>
        <v/>
      </c>
      <c r="L3512" s="7">
        <f>IF(COUNTA(A3512,B3512)=0,"",IF(OR(A3512="",B3512=""),"Preencher CPF e entrada",IF(COUNTIFS($A$12:$A$5011,A3512,$B$12:$B$5011,B3512)&gt;1,"CPF + dia duplicado",IF(OR(AND(E3512&lt;&gt;"",E3512&lt;B3512),AND(F3512&lt;&gt;"",F3512&lt;B3512)),"Evento anterior à entrada",IF(AND(F3512&lt;&gt;"",E3512=""),"Conversa sem agendamento",IF(OR(E3512&gt;TODAY(),F3512&gt;TODAY()),"Verificar evento futuro","OK"))))))</f>
        <v/>
      </c>
    </row>
    <row r="3513" spans="9:12">
      <c r="I3513" s="5">
        <f>IF(OR(A3513="",B3513=""),"",B3513-WEEKDAY(B3513,2)+1)</f>
        <v/>
      </c>
      <c r="J3513" s="5">
        <f>IF(I3513="","",I3513+6)</f>
        <v/>
      </c>
      <c r="K3513" s="6">
        <f>IF(OR(A3513="",B3513=""),"",DATE(YEAR(B3513),MONTH(B3513),1))</f>
        <v/>
      </c>
      <c r="L3513" s="7">
        <f>IF(COUNTA(A3513,B3513)=0,"",IF(OR(A3513="",B3513=""),"Preencher CPF e entrada",IF(COUNTIFS($A$12:$A$5011,A3513,$B$12:$B$5011,B3513)&gt;1,"CPF + dia duplicado",IF(OR(AND(E3513&lt;&gt;"",E3513&lt;B3513),AND(F3513&lt;&gt;"",F3513&lt;B3513)),"Evento anterior à entrada",IF(AND(F3513&lt;&gt;"",E3513=""),"Conversa sem agendamento",IF(OR(E3513&gt;TODAY(),F3513&gt;TODAY()),"Verificar evento futuro","OK"))))))</f>
        <v/>
      </c>
    </row>
    <row r="3514" spans="9:12">
      <c r="I3514" s="5">
        <f>IF(OR(A3514="",B3514=""),"",B3514-WEEKDAY(B3514,2)+1)</f>
        <v/>
      </c>
      <c r="J3514" s="5">
        <f>IF(I3514="","",I3514+6)</f>
        <v/>
      </c>
      <c r="K3514" s="6">
        <f>IF(OR(A3514="",B3514=""),"",DATE(YEAR(B3514),MONTH(B3514),1))</f>
        <v/>
      </c>
      <c r="L3514" s="7">
        <f>IF(COUNTA(A3514,B3514)=0,"",IF(OR(A3514="",B3514=""),"Preencher CPF e entrada",IF(COUNTIFS($A$12:$A$5011,A3514,$B$12:$B$5011,B3514)&gt;1,"CPF + dia duplicado",IF(OR(AND(E3514&lt;&gt;"",E3514&lt;B3514),AND(F3514&lt;&gt;"",F3514&lt;B3514)),"Evento anterior à entrada",IF(AND(F3514&lt;&gt;"",E3514=""),"Conversa sem agendamento",IF(OR(E3514&gt;TODAY(),F3514&gt;TODAY()),"Verificar evento futuro","OK"))))))</f>
        <v/>
      </c>
    </row>
    <row r="3515" spans="9:12">
      <c r="I3515" s="5">
        <f>IF(OR(A3515="",B3515=""),"",B3515-WEEKDAY(B3515,2)+1)</f>
        <v/>
      </c>
      <c r="J3515" s="5">
        <f>IF(I3515="","",I3515+6)</f>
        <v/>
      </c>
      <c r="K3515" s="6">
        <f>IF(OR(A3515="",B3515=""),"",DATE(YEAR(B3515),MONTH(B3515),1))</f>
        <v/>
      </c>
      <c r="L3515" s="7">
        <f>IF(COUNTA(A3515,B3515)=0,"",IF(OR(A3515="",B3515=""),"Preencher CPF e entrada",IF(COUNTIFS($A$12:$A$5011,A3515,$B$12:$B$5011,B3515)&gt;1,"CPF + dia duplicado",IF(OR(AND(E3515&lt;&gt;"",E3515&lt;B3515),AND(F3515&lt;&gt;"",F3515&lt;B3515)),"Evento anterior à entrada",IF(AND(F3515&lt;&gt;"",E3515=""),"Conversa sem agendamento",IF(OR(E3515&gt;TODAY(),F3515&gt;TODAY()),"Verificar evento futuro","OK"))))))</f>
        <v/>
      </c>
    </row>
    <row r="3516" spans="9:12">
      <c r="I3516" s="5">
        <f>IF(OR(A3516="",B3516=""),"",B3516-WEEKDAY(B3516,2)+1)</f>
        <v/>
      </c>
      <c r="J3516" s="5">
        <f>IF(I3516="","",I3516+6)</f>
        <v/>
      </c>
      <c r="K3516" s="6">
        <f>IF(OR(A3516="",B3516=""),"",DATE(YEAR(B3516),MONTH(B3516),1))</f>
        <v/>
      </c>
      <c r="L3516" s="7">
        <f>IF(COUNTA(A3516,B3516)=0,"",IF(OR(A3516="",B3516=""),"Preencher CPF e entrada",IF(COUNTIFS($A$12:$A$5011,A3516,$B$12:$B$5011,B3516)&gt;1,"CPF + dia duplicado",IF(OR(AND(E3516&lt;&gt;"",E3516&lt;B3516),AND(F3516&lt;&gt;"",F3516&lt;B3516)),"Evento anterior à entrada",IF(AND(F3516&lt;&gt;"",E3516=""),"Conversa sem agendamento",IF(OR(E3516&gt;TODAY(),F3516&gt;TODAY()),"Verificar evento futuro","OK"))))))</f>
        <v/>
      </c>
    </row>
    <row r="3517" spans="9:12">
      <c r="I3517" s="5">
        <f>IF(OR(A3517="",B3517=""),"",B3517-WEEKDAY(B3517,2)+1)</f>
        <v/>
      </c>
      <c r="J3517" s="5">
        <f>IF(I3517="","",I3517+6)</f>
        <v/>
      </c>
      <c r="K3517" s="6">
        <f>IF(OR(A3517="",B3517=""),"",DATE(YEAR(B3517),MONTH(B3517),1))</f>
        <v/>
      </c>
      <c r="L3517" s="7">
        <f>IF(COUNTA(A3517,B3517)=0,"",IF(OR(A3517="",B3517=""),"Preencher CPF e entrada",IF(COUNTIFS($A$12:$A$5011,A3517,$B$12:$B$5011,B3517)&gt;1,"CPF + dia duplicado",IF(OR(AND(E3517&lt;&gt;"",E3517&lt;B3517),AND(F3517&lt;&gt;"",F3517&lt;B3517)),"Evento anterior à entrada",IF(AND(F3517&lt;&gt;"",E3517=""),"Conversa sem agendamento",IF(OR(E3517&gt;TODAY(),F3517&gt;TODAY()),"Verificar evento futuro","OK"))))))</f>
        <v/>
      </c>
    </row>
    <row r="3518" spans="9:12">
      <c r="I3518" s="5">
        <f>IF(OR(A3518="",B3518=""),"",B3518-WEEKDAY(B3518,2)+1)</f>
        <v/>
      </c>
      <c r="J3518" s="5">
        <f>IF(I3518="","",I3518+6)</f>
        <v/>
      </c>
      <c r="K3518" s="6">
        <f>IF(OR(A3518="",B3518=""),"",DATE(YEAR(B3518),MONTH(B3518),1))</f>
        <v/>
      </c>
      <c r="L3518" s="7">
        <f>IF(COUNTA(A3518,B3518)=0,"",IF(OR(A3518="",B3518=""),"Preencher CPF e entrada",IF(COUNTIFS($A$12:$A$5011,A3518,$B$12:$B$5011,B3518)&gt;1,"CPF + dia duplicado",IF(OR(AND(E3518&lt;&gt;"",E3518&lt;B3518),AND(F3518&lt;&gt;"",F3518&lt;B3518)),"Evento anterior à entrada",IF(AND(F3518&lt;&gt;"",E3518=""),"Conversa sem agendamento",IF(OR(E3518&gt;TODAY(),F3518&gt;TODAY()),"Verificar evento futuro","OK"))))))</f>
        <v/>
      </c>
    </row>
    <row r="3519" spans="9:12">
      <c r="I3519" s="5">
        <f>IF(OR(A3519="",B3519=""),"",B3519-WEEKDAY(B3519,2)+1)</f>
        <v/>
      </c>
      <c r="J3519" s="5">
        <f>IF(I3519="","",I3519+6)</f>
        <v/>
      </c>
      <c r="K3519" s="6">
        <f>IF(OR(A3519="",B3519=""),"",DATE(YEAR(B3519),MONTH(B3519),1))</f>
        <v/>
      </c>
      <c r="L3519" s="7">
        <f>IF(COUNTA(A3519,B3519)=0,"",IF(OR(A3519="",B3519=""),"Preencher CPF e entrada",IF(COUNTIFS($A$12:$A$5011,A3519,$B$12:$B$5011,B3519)&gt;1,"CPF + dia duplicado",IF(OR(AND(E3519&lt;&gt;"",E3519&lt;B3519),AND(F3519&lt;&gt;"",F3519&lt;B3519)),"Evento anterior à entrada",IF(AND(F3519&lt;&gt;"",E3519=""),"Conversa sem agendamento",IF(OR(E3519&gt;TODAY(),F3519&gt;TODAY()),"Verificar evento futuro","OK"))))))</f>
        <v/>
      </c>
    </row>
    <row r="3520" spans="9:12">
      <c r="I3520" s="5">
        <f>IF(OR(A3520="",B3520=""),"",B3520-WEEKDAY(B3520,2)+1)</f>
        <v/>
      </c>
      <c r="J3520" s="5">
        <f>IF(I3520="","",I3520+6)</f>
        <v/>
      </c>
      <c r="K3520" s="6">
        <f>IF(OR(A3520="",B3520=""),"",DATE(YEAR(B3520),MONTH(B3520),1))</f>
        <v/>
      </c>
      <c r="L3520" s="7">
        <f>IF(COUNTA(A3520,B3520)=0,"",IF(OR(A3520="",B3520=""),"Preencher CPF e entrada",IF(COUNTIFS($A$12:$A$5011,A3520,$B$12:$B$5011,B3520)&gt;1,"CPF + dia duplicado",IF(OR(AND(E3520&lt;&gt;"",E3520&lt;B3520),AND(F3520&lt;&gt;"",F3520&lt;B3520)),"Evento anterior à entrada",IF(AND(F3520&lt;&gt;"",E3520=""),"Conversa sem agendamento",IF(OR(E3520&gt;TODAY(),F3520&gt;TODAY()),"Verificar evento futuro","OK"))))))</f>
        <v/>
      </c>
    </row>
    <row r="3521" spans="9:12">
      <c r="I3521" s="5">
        <f>IF(OR(A3521="",B3521=""),"",B3521-WEEKDAY(B3521,2)+1)</f>
        <v/>
      </c>
      <c r="J3521" s="5">
        <f>IF(I3521="","",I3521+6)</f>
        <v/>
      </c>
      <c r="K3521" s="6">
        <f>IF(OR(A3521="",B3521=""),"",DATE(YEAR(B3521),MONTH(B3521),1))</f>
        <v/>
      </c>
      <c r="L3521" s="7">
        <f>IF(COUNTA(A3521,B3521)=0,"",IF(OR(A3521="",B3521=""),"Preencher CPF e entrada",IF(COUNTIFS($A$12:$A$5011,A3521,$B$12:$B$5011,B3521)&gt;1,"CPF + dia duplicado",IF(OR(AND(E3521&lt;&gt;"",E3521&lt;B3521),AND(F3521&lt;&gt;"",F3521&lt;B3521)),"Evento anterior à entrada",IF(AND(F3521&lt;&gt;"",E3521=""),"Conversa sem agendamento",IF(OR(E3521&gt;TODAY(),F3521&gt;TODAY()),"Verificar evento futuro","OK"))))))</f>
        <v/>
      </c>
    </row>
    <row r="3522" spans="9:12">
      <c r="I3522" s="5">
        <f>IF(OR(A3522="",B3522=""),"",B3522-WEEKDAY(B3522,2)+1)</f>
        <v/>
      </c>
      <c r="J3522" s="5">
        <f>IF(I3522="","",I3522+6)</f>
        <v/>
      </c>
      <c r="K3522" s="6">
        <f>IF(OR(A3522="",B3522=""),"",DATE(YEAR(B3522),MONTH(B3522),1))</f>
        <v/>
      </c>
      <c r="L3522" s="7">
        <f>IF(COUNTA(A3522,B3522)=0,"",IF(OR(A3522="",B3522=""),"Preencher CPF e entrada",IF(COUNTIFS($A$12:$A$5011,A3522,$B$12:$B$5011,B3522)&gt;1,"CPF + dia duplicado",IF(OR(AND(E3522&lt;&gt;"",E3522&lt;B3522),AND(F3522&lt;&gt;"",F3522&lt;B3522)),"Evento anterior à entrada",IF(AND(F3522&lt;&gt;"",E3522=""),"Conversa sem agendamento",IF(OR(E3522&gt;TODAY(),F3522&gt;TODAY()),"Verificar evento futuro","OK"))))))</f>
        <v/>
      </c>
    </row>
    <row r="3523" spans="9:12">
      <c r="I3523" s="5">
        <f>IF(OR(A3523="",B3523=""),"",B3523-WEEKDAY(B3523,2)+1)</f>
        <v/>
      </c>
      <c r="J3523" s="5">
        <f>IF(I3523="","",I3523+6)</f>
        <v/>
      </c>
      <c r="K3523" s="6">
        <f>IF(OR(A3523="",B3523=""),"",DATE(YEAR(B3523),MONTH(B3523),1))</f>
        <v/>
      </c>
      <c r="L3523" s="7">
        <f>IF(COUNTA(A3523,B3523)=0,"",IF(OR(A3523="",B3523=""),"Preencher CPF e entrada",IF(COUNTIFS($A$12:$A$5011,A3523,$B$12:$B$5011,B3523)&gt;1,"CPF + dia duplicado",IF(OR(AND(E3523&lt;&gt;"",E3523&lt;B3523),AND(F3523&lt;&gt;"",F3523&lt;B3523)),"Evento anterior à entrada",IF(AND(F3523&lt;&gt;"",E3523=""),"Conversa sem agendamento",IF(OR(E3523&gt;TODAY(),F3523&gt;TODAY()),"Verificar evento futuro","OK"))))))</f>
        <v/>
      </c>
    </row>
    <row r="3524" spans="9:12">
      <c r="I3524" s="5">
        <f>IF(OR(A3524="",B3524=""),"",B3524-WEEKDAY(B3524,2)+1)</f>
        <v/>
      </c>
      <c r="J3524" s="5">
        <f>IF(I3524="","",I3524+6)</f>
        <v/>
      </c>
      <c r="K3524" s="6">
        <f>IF(OR(A3524="",B3524=""),"",DATE(YEAR(B3524),MONTH(B3524),1))</f>
        <v/>
      </c>
      <c r="L3524" s="7">
        <f>IF(COUNTA(A3524,B3524)=0,"",IF(OR(A3524="",B3524=""),"Preencher CPF e entrada",IF(COUNTIFS($A$12:$A$5011,A3524,$B$12:$B$5011,B3524)&gt;1,"CPF + dia duplicado",IF(OR(AND(E3524&lt;&gt;"",E3524&lt;B3524),AND(F3524&lt;&gt;"",F3524&lt;B3524)),"Evento anterior à entrada",IF(AND(F3524&lt;&gt;"",E3524=""),"Conversa sem agendamento",IF(OR(E3524&gt;TODAY(),F3524&gt;TODAY()),"Verificar evento futuro","OK"))))))</f>
        <v/>
      </c>
    </row>
    <row r="3525" spans="9:12">
      <c r="I3525" s="5">
        <f>IF(OR(A3525="",B3525=""),"",B3525-WEEKDAY(B3525,2)+1)</f>
        <v/>
      </c>
      <c r="J3525" s="5">
        <f>IF(I3525="","",I3525+6)</f>
        <v/>
      </c>
      <c r="K3525" s="6">
        <f>IF(OR(A3525="",B3525=""),"",DATE(YEAR(B3525),MONTH(B3525),1))</f>
        <v/>
      </c>
      <c r="L3525" s="7">
        <f>IF(COUNTA(A3525,B3525)=0,"",IF(OR(A3525="",B3525=""),"Preencher CPF e entrada",IF(COUNTIFS($A$12:$A$5011,A3525,$B$12:$B$5011,B3525)&gt;1,"CPF + dia duplicado",IF(OR(AND(E3525&lt;&gt;"",E3525&lt;B3525),AND(F3525&lt;&gt;"",F3525&lt;B3525)),"Evento anterior à entrada",IF(AND(F3525&lt;&gt;"",E3525=""),"Conversa sem agendamento",IF(OR(E3525&gt;TODAY(),F3525&gt;TODAY()),"Verificar evento futuro","OK"))))))</f>
        <v/>
      </c>
    </row>
    <row r="3526" spans="9:12">
      <c r="I3526" s="5">
        <f>IF(OR(A3526="",B3526=""),"",B3526-WEEKDAY(B3526,2)+1)</f>
        <v/>
      </c>
      <c r="J3526" s="5">
        <f>IF(I3526="","",I3526+6)</f>
        <v/>
      </c>
      <c r="K3526" s="6">
        <f>IF(OR(A3526="",B3526=""),"",DATE(YEAR(B3526),MONTH(B3526),1))</f>
        <v/>
      </c>
      <c r="L3526" s="7">
        <f>IF(COUNTA(A3526,B3526)=0,"",IF(OR(A3526="",B3526=""),"Preencher CPF e entrada",IF(COUNTIFS($A$12:$A$5011,A3526,$B$12:$B$5011,B3526)&gt;1,"CPF + dia duplicado",IF(OR(AND(E3526&lt;&gt;"",E3526&lt;B3526),AND(F3526&lt;&gt;"",F3526&lt;B3526)),"Evento anterior à entrada",IF(AND(F3526&lt;&gt;"",E3526=""),"Conversa sem agendamento",IF(OR(E3526&gt;TODAY(),F3526&gt;TODAY()),"Verificar evento futuro","OK"))))))</f>
        <v/>
      </c>
    </row>
    <row r="3527" spans="9:12">
      <c r="I3527" s="5">
        <f>IF(OR(A3527="",B3527=""),"",B3527-WEEKDAY(B3527,2)+1)</f>
        <v/>
      </c>
      <c r="J3527" s="5">
        <f>IF(I3527="","",I3527+6)</f>
        <v/>
      </c>
      <c r="K3527" s="6">
        <f>IF(OR(A3527="",B3527=""),"",DATE(YEAR(B3527),MONTH(B3527),1))</f>
        <v/>
      </c>
      <c r="L3527" s="7">
        <f>IF(COUNTA(A3527,B3527)=0,"",IF(OR(A3527="",B3527=""),"Preencher CPF e entrada",IF(COUNTIFS($A$12:$A$5011,A3527,$B$12:$B$5011,B3527)&gt;1,"CPF + dia duplicado",IF(OR(AND(E3527&lt;&gt;"",E3527&lt;B3527),AND(F3527&lt;&gt;"",F3527&lt;B3527)),"Evento anterior à entrada",IF(AND(F3527&lt;&gt;"",E3527=""),"Conversa sem agendamento",IF(OR(E3527&gt;TODAY(),F3527&gt;TODAY()),"Verificar evento futuro","OK"))))))</f>
        <v/>
      </c>
    </row>
    <row r="3528" spans="9:12">
      <c r="I3528" s="5">
        <f>IF(OR(A3528="",B3528=""),"",B3528-WEEKDAY(B3528,2)+1)</f>
        <v/>
      </c>
      <c r="J3528" s="5">
        <f>IF(I3528="","",I3528+6)</f>
        <v/>
      </c>
      <c r="K3528" s="6">
        <f>IF(OR(A3528="",B3528=""),"",DATE(YEAR(B3528),MONTH(B3528),1))</f>
        <v/>
      </c>
      <c r="L3528" s="7">
        <f>IF(COUNTA(A3528,B3528)=0,"",IF(OR(A3528="",B3528=""),"Preencher CPF e entrada",IF(COUNTIFS($A$12:$A$5011,A3528,$B$12:$B$5011,B3528)&gt;1,"CPF + dia duplicado",IF(OR(AND(E3528&lt;&gt;"",E3528&lt;B3528),AND(F3528&lt;&gt;"",F3528&lt;B3528)),"Evento anterior à entrada",IF(AND(F3528&lt;&gt;"",E3528=""),"Conversa sem agendamento",IF(OR(E3528&gt;TODAY(),F3528&gt;TODAY()),"Verificar evento futuro","OK"))))))</f>
        <v/>
      </c>
    </row>
    <row r="3529" spans="9:12">
      <c r="I3529" s="5">
        <f>IF(OR(A3529="",B3529=""),"",B3529-WEEKDAY(B3529,2)+1)</f>
        <v/>
      </c>
      <c r="J3529" s="5">
        <f>IF(I3529="","",I3529+6)</f>
        <v/>
      </c>
      <c r="K3529" s="6">
        <f>IF(OR(A3529="",B3529=""),"",DATE(YEAR(B3529),MONTH(B3529),1))</f>
        <v/>
      </c>
      <c r="L3529" s="7">
        <f>IF(COUNTA(A3529,B3529)=0,"",IF(OR(A3529="",B3529=""),"Preencher CPF e entrada",IF(COUNTIFS($A$12:$A$5011,A3529,$B$12:$B$5011,B3529)&gt;1,"CPF + dia duplicado",IF(OR(AND(E3529&lt;&gt;"",E3529&lt;B3529),AND(F3529&lt;&gt;"",F3529&lt;B3529)),"Evento anterior à entrada",IF(AND(F3529&lt;&gt;"",E3529=""),"Conversa sem agendamento",IF(OR(E3529&gt;TODAY(),F3529&gt;TODAY()),"Verificar evento futuro","OK"))))))</f>
        <v/>
      </c>
    </row>
    <row r="3530" spans="9:12">
      <c r="I3530" s="5">
        <f>IF(OR(A3530="",B3530=""),"",B3530-WEEKDAY(B3530,2)+1)</f>
        <v/>
      </c>
      <c r="J3530" s="5">
        <f>IF(I3530="","",I3530+6)</f>
        <v/>
      </c>
      <c r="K3530" s="6">
        <f>IF(OR(A3530="",B3530=""),"",DATE(YEAR(B3530),MONTH(B3530),1))</f>
        <v/>
      </c>
      <c r="L3530" s="7">
        <f>IF(COUNTA(A3530,B3530)=0,"",IF(OR(A3530="",B3530=""),"Preencher CPF e entrada",IF(COUNTIFS($A$12:$A$5011,A3530,$B$12:$B$5011,B3530)&gt;1,"CPF + dia duplicado",IF(OR(AND(E3530&lt;&gt;"",E3530&lt;B3530),AND(F3530&lt;&gt;"",F3530&lt;B3530)),"Evento anterior à entrada",IF(AND(F3530&lt;&gt;"",E3530=""),"Conversa sem agendamento",IF(OR(E3530&gt;TODAY(),F3530&gt;TODAY()),"Verificar evento futuro","OK"))))))</f>
        <v/>
      </c>
    </row>
    <row r="3531" spans="9:12">
      <c r="I3531" s="5">
        <f>IF(OR(A3531="",B3531=""),"",B3531-WEEKDAY(B3531,2)+1)</f>
        <v/>
      </c>
      <c r="J3531" s="5">
        <f>IF(I3531="","",I3531+6)</f>
        <v/>
      </c>
      <c r="K3531" s="6">
        <f>IF(OR(A3531="",B3531=""),"",DATE(YEAR(B3531),MONTH(B3531),1))</f>
        <v/>
      </c>
      <c r="L3531" s="7">
        <f>IF(COUNTA(A3531,B3531)=0,"",IF(OR(A3531="",B3531=""),"Preencher CPF e entrada",IF(COUNTIFS($A$12:$A$5011,A3531,$B$12:$B$5011,B3531)&gt;1,"CPF + dia duplicado",IF(OR(AND(E3531&lt;&gt;"",E3531&lt;B3531),AND(F3531&lt;&gt;"",F3531&lt;B3531)),"Evento anterior à entrada",IF(AND(F3531&lt;&gt;"",E3531=""),"Conversa sem agendamento",IF(OR(E3531&gt;TODAY(),F3531&gt;TODAY()),"Verificar evento futuro","OK"))))))</f>
        <v/>
      </c>
    </row>
    <row r="3532" spans="9:12">
      <c r="I3532" s="5">
        <f>IF(OR(A3532="",B3532=""),"",B3532-WEEKDAY(B3532,2)+1)</f>
        <v/>
      </c>
      <c r="J3532" s="5">
        <f>IF(I3532="","",I3532+6)</f>
        <v/>
      </c>
      <c r="K3532" s="6">
        <f>IF(OR(A3532="",B3532=""),"",DATE(YEAR(B3532),MONTH(B3532),1))</f>
        <v/>
      </c>
      <c r="L3532" s="7">
        <f>IF(COUNTA(A3532,B3532)=0,"",IF(OR(A3532="",B3532=""),"Preencher CPF e entrada",IF(COUNTIFS($A$12:$A$5011,A3532,$B$12:$B$5011,B3532)&gt;1,"CPF + dia duplicado",IF(OR(AND(E3532&lt;&gt;"",E3532&lt;B3532),AND(F3532&lt;&gt;"",F3532&lt;B3532)),"Evento anterior à entrada",IF(AND(F3532&lt;&gt;"",E3532=""),"Conversa sem agendamento",IF(OR(E3532&gt;TODAY(),F3532&gt;TODAY()),"Verificar evento futuro","OK"))))))</f>
        <v/>
      </c>
    </row>
    <row r="3533" spans="9:12">
      <c r="I3533" s="5">
        <f>IF(OR(A3533="",B3533=""),"",B3533-WEEKDAY(B3533,2)+1)</f>
        <v/>
      </c>
      <c r="J3533" s="5">
        <f>IF(I3533="","",I3533+6)</f>
        <v/>
      </c>
      <c r="K3533" s="6">
        <f>IF(OR(A3533="",B3533=""),"",DATE(YEAR(B3533),MONTH(B3533),1))</f>
        <v/>
      </c>
      <c r="L3533" s="7">
        <f>IF(COUNTA(A3533,B3533)=0,"",IF(OR(A3533="",B3533=""),"Preencher CPF e entrada",IF(COUNTIFS($A$12:$A$5011,A3533,$B$12:$B$5011,B3533)&gt;1,"CPF + dia duplicado",IF(OR(AND(E3533&lt;&gt;"",E3533&lt;B3533),AND(F3533&lt;&gt;"",F3533&lt;B3533)),"Evento anterior à entrada",IF(AND(F3533&lt;&gt;"",E3533=""),"Conversa sem agendamento",IF(OR(E3533&gt;TODAY(),F3533&gt;TODAY()),"Verificar evento futuro","OK"))))))</f>
        <v/>
      </c>
    </row>
    <row r="3534" spans="9:12">
      <c r="I3534" s="5">
        <f>IF(OR(A3534="",B3534=""),"",B3534-WEEKDAY(B3534,2)+1)</f>
        <v/>
      </c>
      <c r="J3534" s="5">
        <f>IF(I3534="","",I3534+6)</f>
        <v/>
      </c>
      <c r="K3534" s="6">
        <f>IF(OR(A3534="",B3534=""),"",DATE(YEAR(B3534),MONTH(B3534),1))</f>
        <v/>
      </c>
      <c r="L3534" s="7">
        <f>IF(COUNTA(A3534,B3534)=0,"",IF(OR(A3534="",B3534=""),"Preencher CPF e entrada",IF(COUNTIFS($A$12:$A$5011,A3534,$B$12:$B$5011,B3534)&gt;1,"CPF + dia duplicado",IF(OR(AND(E3534&lt;&gt;"",E3534&lt;B3534),AND(F3534&lt;&gt;"",F3534&lt;B3534)),"Evento anterior à entrada",IF(AND(F3534&lt;&gt;"",E3534=""),"Conversa sem agendamento",IF(OR(E3534&gt;TODAY(),F3534&gt;TODAY()),"Verificar evento futuro","OK"))))))</f>
        <v/>
      </c>
    </row>
    <row r="3535" spans="9:12">
      <c r="I3535" s="5">
        <f>IF(OR(A3535="",B3535=""),"",B3535-WEEKDAY(B3535,2)+1)</f>
        <v/>
      </c>
      <c r="J3535" s="5">
        <f>IF(I3535="","",I3535+6)</f>
        <v/>
      </c>
      <c r="K3535" s="6">
        <f>IF(OR(A3535="",B3535=""),"",DATE(YEAR(B3535),MONTH(B3535),1))</f>
        <v/>
      </c>
      <c r="L3535" s="7">
        <f>IF(COUNTA(A3535,B3535)=0,"",IF(OR(A3535="",B3535=""),"Preencher CPF e entrada",IF(COUNTIFS($A$12:$A$5011,A3535,$B$12:$B$5011,B3535)&gt;1,"CPF + dia duplicado",IF(OR(AND(E3535&lt;&gt;"",E3535&lt;B3535),AND(F3535&lt;&gt;"",F3535&lt;B3535)),"Evento anterior à entrada",IF(AND(F3535&lt;&gt;"",E3535=""),"Conversa sem agendamento",IF(OR(E3535&gt;TODAY(),F3535&gt;TODAY()),"Verificar evento futuro","OK"))))))</f>
        <v/>
      </c>
    </row>
    <row r="3536" spans="9:12">
      <c r="I3536" s="5">
        <f>IF(OR(A3536="",B3536=""),"",B3536-WEEKDAY(B3536,2)+1)</f>
        <v/>
      </c>
      <c r="J3536" s="5">
        <f>IF(I3536="","",I3536+6)</f>
        <v/>
      </c>
      <c r="K3536" s="6">
        <f>IF(OR(A3536="",B3536=""),"",DATE(YEAR(B3536),MONTH(B3536),1))</f>
        <v/>
      </c>
      <c r="L3536" s="7">
        <f>IF(COUNTA(A3536,B3536)=0,"",IF(OR(A3536="",B3536=""),"Preencher CPF e entrada",IF(COUNTIFS($A$12:$A$5011,A3536,$B$12:$B$5011,B3536)&gt;1,"CPF + dia duplicado",IF(OR(AND(E3536&lt;&gt;"",E3536&lt;B3536),AND(F3536&lt;&gt;"",F3536&lt;B3536)),"Evento anterior à entrada",IF(AND(F3536&lt;&gt;"",E3536=""),"Conversa sem agendamento",IF(OR(E3536&gt;TODAY(),F3536&gt;TODAY()),"Verificar evento futuro","OK"))))))</f>
        <v/>
      </c>
    </row>
    <row r="3537" spans="9:12">
      <c r="I3537" s="5">
        <f>IF(OR(A3537="",B3537=""),"",B3537-WEEKDAY(B3537,2)+1)</f>
        <v/>
      </c>
      <c r="J3537" s="5">
        <f>IF(I3537="","",I3537+6)</f>
        <v/>
      </c>
      <c r="K3537" s="6">
        <f>IF(OR(A3537="",B3537=""),"",DATE(YEAR(B3537),MONTH(B3537),1))</f>
        <v/>
      </c>
      <c r="L3537" s="7">
        <f>IF(COUNTA(A3537,B3537)=0,"",IF(OR(A3537="",B3537=""),"Preencher CPF e entrada",IF(COUNTIFS($A$12:$A$5011,A3537,$B$12:$B$5011,B3537)&gt;1,"CPF + dia duplicado",IF(OR(AND(E3537&lt;&gt;"",E3537&lt;B3537),AND(F3537&lt;&gt;"",F3537&lt;B3537)),"Evento anterior à entrada",IF(AND(F3537&lt;&gt;"",E3537=""),"Conversa sem agendamento",IF(OR(E3537&gt;TODAY(),F3537&gt;TODAY()),"Verificar evento futuro","OK"))))))</f>
        <v/>
      </c>
    </row>
    <row r="3538" spans="9:12">
      <c r="I3538" s="5">
        <f>IF(OR(A3538="",B3538=""),"",B3538-WEEKDAY(B3538,2)+1)</f>
        <v/>
      </c>
      <c r="J3538" s="5">
        <f>IF(I3538="","",I3538+6)</f>
        <v/>
      </c>
      <c r="K3538" s="6">
        <f>IF(OR(A3538="",B3538=""),"",DATE(YEAR(B3538),MONTH(B3538),1))</f>
        <v/>
      </c>
      <c r="L3538" s="7">
        <f>IF(COUNTA(A3538,B3538)=0,"",IF(OR(A3538="",B3538=""),"Preencher CPF e entrada",IF(COUNTIFS($A$12:$A$5011,A3538,$B$12:$B$5011,B3538)&gt;1,"CPF + dia duplicado",IF(OR(AND(E3538&lt;&gt;"",E3538&lt;B3538),AND(F3538&lt;&gt;"",F3538&lt;B3538)),"Evento anterior à entrada",IF(AND(F3538&lt;&gt;"",E3538=""),"Conversa sem agendamento",IF(OR(E3538&gt;TODAY(),F3538&gt;TODAY()),"Verificar evento futuro","OK"))))))</f>
        <v/>
      </c>
    </row>
    <row r="3539" spans="9:12">
      <c r="I3539" s="5">
        <f>IF(OR(A3539="",B3539=""),"",B3539-WEEKDAY(B3539,2)+1)</f>
        <v/>
      </c>
      <c r="J3539" s="5">
        <f>IF(I3539="","",I3539+6)</f>
        <v/>
      </c>
      <c r="K3539" s="6">
        <f>IF(OR(A3539="",B3539=""),"",DATE(YEAR(B3539),MONTH(B3539),1))</f>
        <v/>
      </c>
      <c r="L3539" s="7">
        <f>IF(COUNTA(A3539,B3539)=0,"",IF(OR(A3539="",B3539=""),"Preencher CPF e entrada",IF(COUNTIFS($A$12:$A$5011,A3539,$B$12:$B$5011,B3539)&gt;1,"CPF + dia duplicado",IF(OR(AND(E3539&lt;&gt;"",E3539&lt;B3539),AND(F3539&lt;&gt;"",F3539&lt;B3539)),"Evento anterior à entrada",IF(AND(F3539&lt;&gt;"",E3539=""),"Conversa sem agendamento",IF(OR(E3539&gt;TODAY(),F3539&gt;TODAY()),"Verificar evento futuro","OK"))))))</f>
        <v/>
      </c>
    </row>
    <row r="3540" spans="9:12">
      <c r="I3540" s="5">
        <f>IF(OR(A3540="",B3540=""),"",B3540-WEEKDAY(B3540,2)+1)</f>
        <v/>
      </c>
      <c r="J3540" s="5">
        <f>IF(I3540="","",I3540+6)</f>
        <v/>
      </c>
      <c r="K3540" s="6">
        <f>IF(OR(A3540="",B3540=""),"",DATE(YEAR(B3540),MONTH(B3540),1))</f>
        <v/>
      </c>
      <c r="L3540" s="7">
        <f>IF(COUNTA(A3540,B3540)=0,"",IF(OR(A3540="",B3540=""),"Preencher CPF e entrada",IF(COUNTIFS($A$12:$A$5011,A3540,$B$12:$B$5011,B3540)&gt;1,"CPF + dia duplicado",IF(OR(AND(E3540&lt;&gt;"",E3540&lt;B3540),AND(F3540&lt;&gt;"",F3540&lt;B3540)),"Evento anterior à entrada",IF(AND(F3540&lt;&gt;"",E3540=""),"Conversa sem agendamento",IF(OR(E3540&gt;TODAY(),F3540&gt;TODAY()),"Verificar evento futuro","OK"))))))</f>
        <v/>
      </c>
    </row>
    <row r="3541" spans="9:12">
      <c r="I3541" s="5">
        <f>IF(OR(A3541="",B3541=""),"",B3541-WEEKDAY(B3541,2)+1)</f>
        <v/>
      </c>
      <c r="J3541" s="5">
        <f>IF(I3541="","",I3541+6)</f>
        <v/>
      </c>
      <c r="K3541" s="6">
        <f>IF(OR(A3541="",B3541=""),"",DATE(YEAR(B3541),MONTH(B3541),1))</f>
        <v/>
      </c>
      <c r="L3541" s="7">
        <f>IF(COUNTA(A3541,B3541)=0,"",IF(OR(A3541="",B3541=""),"Preencher CPF e entrada",IF(COUNTIFS($A$12:$A$5011,A3541,$B$12:$B$5011,B3541)&gt;1,"CPF + dia duplicado",IF(OR(AND(E3541&lt;&gt;"",E3541&lt;B3541),AND(F3541&lt;&gt;"",F3541&lt;B3541)),"Evento anterior à entrada",IF(AND(F3541&lt;&gt;"",E3541=""),"Conversa sem agendamento",IF(OR(E3541&gt;TODAY(),F3541&gt;TODAY()),"Verificar evento futuro","OK"))))))</f>
        <v/>
      </c>
    </row>
    <row r="3542" spans="9:12">
      <c r="I3542" s="5">
        <f>IF(OR(A3542="",B3542=""),"",B3542-WEEKDAY(B3542,2)+1)</f>
        <v/>
      </c>
      <c r="J3542" s="5">
        <f>IF(I3542="","",I3542+6)</f>
        <v/>
      </c>
      <c r="K3542" s="6">
        <f>IF(OR(A3542="",B3542=""),"",DATE(YEAR(B3542),MONTH(B3542),1))</f>
        <v/>
      </c>
      <c r="L3542" s="7">
        <f>IF(COUNTA(A3542,B3542)=0,"",IF(OR(A3542="",B3542=""),"Preencher CPF e entrada",IF(COUNTIFS($A$12:$A$5011,A3542,$B$12:$B$5011,B3542)&gt;1,"CPF + dia duplicado",IF(OR(AND(E3542&lt;&gt;"",E3542&lt;B3542),AND(F3542&lt;&gt;"",F3542&lt;B3542)),"Evento anterior à entrada",IF(AND(F3542&lt;&gt;"",E3542=""),"Conversa sem agendamento",IF(OR(E3542&gt;TODAY(),F3542&gt;TODAY()),"Verificar evento futuro","OK"))))))</f>
        <v/>
      </c>
    </row>
    <row r="3543" spans="9:12">
      <c r="I3543" s="5">
        <f>IF(OR(A3543="",B3543=""),"",B3543-WEEKDAY(B3543,2)+1)</f>
        <v/>
      </c>
      <c r="J3543" s="5">
        <f>IF(I3543="","",I3543+6)</f>
        <v/>
      </c>
      <c r="K3543" s="6">
        <f>IF(OR(A3543="",B3543=""),"",DATE(YEAR(B3543),MONTH(B3543),1))</f>
        <v/>
      </c>
      <c r="L3543" s="7">
        <f>IF(COUNTA(A3543,B3543)=0,"",IF(OR(A3543="",B3543=""),"Preencher CPF e entrada",IF(COUNTIFS($A$12:$A$5011,A3543,$B$12:$B$5011,B3543)&gt;1,"CPF + dia duplicado",IF(OR(AND(E3543&lt;&gt;"",E3543&lt;B3543),AND(F3543&lt;&gt;"",F3543&lt;B3543)),"Evento anterior à entrada",IF(AND(F3543&lt;&gt;"",E3543=""),"Conversa sem agendamento",IF(OR(E3543&gt;TODAY(),F3543&gt;TODAY()),"Verificar evento futuro","OK"))))))</f>
        <v/>
      </c>
    </row>
    <row r="3544" spans="9:12">
      <c r="I3544" s="5">
        <f>IF(OR(A3544="",B3544=""),"",B3544-WEEKDAY(B3544,2)+1)</f>
        <v/>
      </c>
      <c r="J3544" s="5">
        <f>IF(I3544="","",I3544+6)</f>
        <v/>
      </c>
      <c r="K3544" s="6">
        <f>IF(OR(A3544="",B3544=""),"",DATE(YEAR(B3544),MONTH(B3544),1))</f>
        <v/>
      </c>
      <c r="L3544" s="7">
        <f>IF(COUNTA(A3544,B3544)=0,"",IF(OR(A3544="",B3544=""),"Preencher CPF e entrada",IF(COUNTIFS($A$12:$A$5011,A3544,$B$12:$B$5011,B3544)&gt;1,"CPF + dia duplicado",IF(OR(AND(E3544&lt;&gt;"",E3544&lt;B3544),AND(F3544&lt;&gt;"",F3544&lt;B3544)),"Evento anterior à entrada",IF(AND(F3544&lt;&gt;"",E3544=""),"Conversa sem agendamento",IF(OR(E3544&gt;TODAY(),F3544&gt;TODAY()),"Verificar evento futuro","OK"))))))</f>
        <v/>
      </c>
    </row>
    <row r="3545" spans="9:12">
      <c r="I3545" s="5">
        <f>IF(OR(A3545="",B3545=""),"",B3545-WEEKDAY(B3545,2)+1)</f>
        <v/>
      </c>
      <c r="J3545" s="5">
        <f>IF(I3545="","",I3545+6)</f>
        <v/>
      </c>
      <c r="K3545" s="6">
        <f>IF(OR(A3545="",B3545=""),"",DATE(YEAR(B3545),MONTH(B3545),1))</f>
        <v/>
      </c>
      <c r="L3545" s="7">
        <f>IF(COUNTA(A3545,B3545)=0,"",IF(OR(A3545="",B3545=""),"Preencher CPF e entrada",IF(COUNTIFS($A$12:$A$5011,A3545,$B$12:$B$5011,B3545)&gt;1,"CPF + dia duplicado",IF(OR(AND(E3545&lt;&gt;"",E3545&lt;B3545),AND(F3545&lt;&gt;"",F3545&lt;B3545)),"Evento anterior à entrada",IF(AND(F3545&lt;&gt;"",E3545=""),"Conversa sem agendamento",IF(OR(E3545&gt;TODAY(),F3545&gt;TODAY()),"Verificar evento futuro","OK"))))))</f>
        <v/>
      </c>
    </row>
    <row r="3546" spans="9:12">
      <c r="I3546" s="5">
        <f>IF(OR(A3546="",B3546=""),"",B3546-WEEKDAY(B3546,2)+1)</f>
        <v/>
      </c>
      <c r="J3546" s="5">
        <f>IF(I3546="","",I3546+6)</f>
        <v/>
      </c>
      <c r="K3546" s="6">
        <f>IF(OR(A3546="",B3546=""),"",DATE(YEAR(B3546),MONTH(B3546),1))</f>
        <v/>
      </c>
      <c r="L3546" s="7">
        <f>IF(COUNTA(A3546,B3546)=0,"",IF(OR(A3546="",B3546=""),"Preencher CPF e entrada",IF(COUNTIFS($A$12:$A$5011,A3546,$B$12:$B$5011,B3546)&gt;1,"CPF + dia duplicado",IF(OR(AND(E3546&lt;&gt;"",E3546&lt;B3546),AND(F3546&lt;&gt;"",F3546&lt;B3546)),"Evento anterior à entrada",IF(AND(F3546&lt;&gt;"",E3546=""),"Conversa sem agendamento",IF(OR(E3546&gt;TODAY(),F3546&gt;TODAY()),"Verificar evento futuro","OK"))))))</f>
        <v/>
      </c>
    </row>
    <row r="3547" spans="9:12">
      <c r="I3547" s="5">
        <f>IF(OR(A3547="",B3547=""),"",B3547-WEEKDAY(B3547,2)+1)</f>
        <v/>
      </c>
      <c r="J3547" s="5">
        <f>IF(I3547="","",I3547+6)</f>
        <v/>
      </c>
      <c r="K3547" s="6">
        <f>IF(OR(A3547="",B3547=""),"",DATE(YEAR(B3547),MONTH(B3547),1))</f>
        <v/>
      </c>
      <c r="L3547" s="7">
        <f>IF(COUNTA(A3547,B3547)=0,"",IF(OR(A3547="",B3547=""),"Preencher CPF e entrada",IF(COUNTIFS($A$12:$A$5011,A3547,$B$12:$B$5011,B3547)&gt;1,"CPF + dia duplicado",IF(OR(AND(E3547&lt;&gt;"",E3547&lt;B3547),AND(F3547&lt;&gt;"",F3547&lt;B3547)),"Evento anterior à entrada",IF(AND(F3547&lt;&gt;"",E3547=""),"Conversa sem agendamento",IF(OR(E3547&gt;TODAY(),F3547&gt;TODAY()),"Verificar evento futuro","OK"))))))</f>
        <v/>
      </c>
    </row>
    <row r="3548" spans="9:12">
      <c r="I3548" s="5">
        <f>IF(OR(A3548="",B3548=""),"",B3548-WEEKDAY(B3548,2)+1)</f>
        <v/>
      </c>
      <c r="J3548" s="5">
        <f>IF(I3548="","",I3548+6)</f>
        <v/>
      </c>
      <c r="K3548" s="6">
        <f>IF(OR(A3548="",B3548=""),"",DATE(YEAR(B3548),MONTH(B3548),1))</f>
        <v/>
      </c>
      <c r="L3548" s="7">
        <f>IF(COUNTA(A3548,B3548)=0,"",IF(OR(A3548="",B3548=""),"Preencher CPF e entrada",IF(COUNTIFS($A$12:$A$5011,A3548,$B$12:$B$5011,B3548)&gt;1,"CPF + dia duplicado",IF(OR(AND(E3548&lt;&gt;"",E3548&lt;B3548),AND(F3548&lt;&gt;"",F3548&lt;B3548)),"Evento anterior à entrada",IF(AND(F3548&lt;&gt;"",E3548=""),"Conversa sem agendamento",IF(OR(E3548&gt;TODAY(),F3548&gt;TODAY()),"Verificar evento futuro","OK"))))))</f>
        <v/>
      </c>
    </row>
    <row r="3549" spans="9:12">
      <c r="I3549" s="5">
        <f>IF(OR(A3549="",B3549=""),"",B3549-WEEKDAY(B3549,2)+1)</f>
        <v/>
      </c>
      <c r="J3549" s="5">
        <f>IF(I3549="","",I3549+6)</f>
        <v/>
      </c>
      <c r="K3549" s="6">
        <f>IF(OR(A3549="",B3549=""),"",DATE(YEAR(B3549),MONTH(B3549),1))</f>
        <v/>
      </c>
      <c r="L3549" s="7">
        <f>IF(COUNTA(A3549,B3549)=0,"",IF(OR(A3549="",B3549=""),"Preencher CPF e entrada",IF(COUNTIFS($A$12:$A$5011,A3549,$B$12:$B$5011,B3549)&gt;1,"CPF + dia duplicado",IF(OR(AND(E3549&lt;&gt;"",E3549&lt;B3549),AND(F3549&lt;&gt;"",F3549&lt;B3549)),"Evento anterior à entrada",IF(AND(F3549&lt;&gt;"",E3549=""),"Conversa sem agendamento",IF(OR(E3549&gt;TODAY(),F3549&gt;TODAY()),"Verificar evento futuro","OK"))))))</f>
        <v/>
      </c>
    </row>
    <row r="3550" spans="9:12">
      <c r="I3550" s="5">
        <f>IF(OR(A3550="",B3550=""),"",B3550-WEEKDAY(B3550,2)+1)</f>
        <v/>
      </c>
      <c r="J3550" s="5">
        <f>IF(I3550="","",I3550+6)</f>
        <v/>
      </c>
      <c r="K3550" s="6">
        <f>IF(OR(A3550="",B3550=""),"",DATE(YEAR(B3550),MONTH(B3550),1))</f>
        <v/>
      </c>
      <c r="L3550" s="7">
        <f>IF(COUNTA(A3550,B3550)=0,"",IF(OR(A3550="",B3550=""),"Preencher CPF e entrada",IF(COUNTIFS($A$12:$A$5011,A3550,$B$12:$B$5011,B3550)&gt;1,"CPF + dia duplicado",IF(OR(AND(E3550&lt;&gt;"",E3550&lt;B3550),AND(F3550&lt;&gt;"",F3550&lt;B3550)),"Evento anterior à entrada",IF(AND(F3550&lt;&gt;"",E3550=""),"Conversa sem agendamento",IF(OR(E3550&gt;TODAY(),F3550&gt;TODAY()),"Verificar evento futuro","OK"))))))</f>
        <v/>
      </c>
    </row>
    <row r="3551" spans="9:12">
      <c r="I3551" s="5">
        <f>IF(OR(A3551="",B3551=""),"",B3551-WEEKDAY(B3551,2)+1)</f>
        <v/>
      </c>
      <c r="J3551" s="5">
        <f>IF(I3551="","",I3551+6)</f>
        <v/>
      </c>
      <c r="K3551" s="6">
        <f>IF(OR(A3551="",B3551=""),"",DATE(YEAR(B3551),MONTH(B3551),1))</f>
        <v/>
      </c>
      <c r="L3551" s="7">
        <f>IF(COUNTA(A3551,B3551)=0,"",IF(OR(A3551="",B3551=""),"Preencher CPF e entrada",IF(COUNTIFS($A$12:$A$5011,A3551,$B$12:$B$5011,B3551)&gt;1,"CPF + dia duplicado",IF(OR(AND(E3551&lt;&gt;"",E3551&lt;B3551),AND(F3551&lt;&gt;"",F3551&lt;B3551)),"Evento anterior à entrada",IF(AND(F3551&lt;&gt;"",E3551=""),"Conversa sem agendamento",IF(OR(E3551&gt;TODAY(),F3551&gt;TODAY()),"Verificar evento futuro","OK"))))))</f>
        <v/>
      </c>
    </row>
    <row r="3552" spans="9:12">
      <c r="I3552" s="5">
        <f>IF(OR(A3552="",B3552=""),"",B3552-WEEKDAY(B3552,2)+1)</f>
        <v/>
      </c>
      <c r="J3552" s="5">
        <f>IF(I3552="","",I3552+6)</f>
        <v/>
      </c>
      <c r="K3552" s="6">
        <f>IF(OR(A3552="",B3552=""),"",DATE(YEAR(B3552),MONTH(B3552),1))</f>
        <v/>
      </c>
      <c r="L3552" s="7">
        <f>IF(COUNTA(A3552,B3552)=0,"",IF(OR(A3552="",B3552=""),"Preencher CPF e entrada",IF(COUNTIFS($A$12:$A$5011,A3552,$B$12:$B$5011,B3552)&gt;1,"CPF + dia duplicado",IF(OR(AND(E3552&lt;&gt;"",E3552&lt;B3552),AND(F3552&lt;&gt;"",F3552&lt;B3552)),"Evento anterior à entrada",IF(AND(F3552&lt;&gt;"",E3552=""),"Conversa sem agendamento",IF(OR(E3552&gt;TODAY(),F3552&gt;TODAY()),"Verificar evento futuro","OK"))))))</f>
        <v/>
      </c>
    </row>
    <row r="3553" spans="9:12">
      <c r="I3553" s="5">
        <f>IF(OR(A3553="",B3553=""),"",B3553-WEEKDAY(B3553,2)+1)</f>
        <v/>
      </c>
      <c r="J3553" s="5">
        <f>IF(I3553="","",I3553+6)</f>
        <v/>
      </c>
      <c r="K3553" s="6">
        <f>IF(OR(A3553="",B3553=""),"",DATE(YEAR(B3553),MONTH(B3553),1))</f>
        <v/>
      </c>
      <c r="L3553" s="7">
        <f>IF(COUNTA(A3553,B3553)=0,"",IF(OR(A3553="",B3553=""),"Preencher CPF e entrada",IF(COUNTIFS($A$12:$A$5011,A3553,$B$12:$B$5011,B3553)&gt;1,"CPF + dia duplicado",IF(OR(AND(E3553&lt;&gt;"",E3553&lt;B3553),AND(F3553&lt;&gt;"",F3553&lt;B3553)),"Evento anterior à entrada",IF(AND(F3553&lt;&gt;"",E3553=""),"Conversa sem agendamento",IF(OR(E3553&gt;TODAY(),F3553&gt;TODAY()),"Verificar evento futuro","OK"))))))</f>
        <v/>
      </c>
    </row>
    <row r="3554" spans="9:12">
      <c r="I3554" s="5">
        <f>IF(OR(A3554="",B3554=""),"",B3554-WEEKDAY(B3554,2)+1)</f>
        <v/>
      </c>
      <c r="J3554" s="5">
        <f>IF(I3554="","",I3554+6)</f>
        <v/>
      </c>
      <c r="K3554" s="6">
        <f>IF(OR(A3554="",B3554=""),"",DATE(YEAR(B3554),MONTH(B3554),1))</f>
        <v/>
      </c>
      <c r="L3554" s="7">
        <f>IF(COUNTA(A3554,B3554)=0,"",IF(OR(A3554="",B3554=""),"Preencher CPF e entrada",IF(COUNTIFS($A$12:$A$5011,A3554,$B$12:$B$5011,B3554)&gt;1,"CPF + dia duplicado",IF(OR(AND(E3554&lt;&gt;"",E3554&lt;B3554),AND(F3554&lt;&gt;"",F3554&lt;B3554)),"Evento anterior à entrada",IF(AND(F3554&lt;&gt;"",E3554=""),"Conversa sem agendamento",IF(OR(E3554&gt;TODAY(),F3554&gt;TODAY()),"Verificar evento futuro","OK"))))))</f>
        <v/>
      </c>
    </row>
    <row r="3555" spans="9:12">
      <c r="I3555" s="5">
        <f>IF(OR(A3555="",B3555=""),"",B3555-WEEKDAY(B3555,2)+1)</f>
        <v/>
      </c>
      <c r="J3555" s="5">
        <f>IF(I3555="","",I3555+6)</f>
        <v/>
      </c>
      <c r="K3555" s="6">
        <f>IF(OR(A3555="",B3555=""),"",DATE(YEAR(B3555),MONTH(B3555),1))</f>
        <v/>
      </c>
      <c r="L3555" s="7">
        <f>IF(COUNTA(A3555,B3555)=0,"",IF(OR(A3555="",B3555=""),"Preencher CPF e entrada",IF(COUNTIFS($A$12:$A$5011,A3555,$B$12:$B$5011,B3555)&gt;1,"CPF + dia duplicado",IF(OR(AND(E3555&lt;&gt;"",E3555&lt;B3555),AND(F3555&lt;&gt;"",F3555&lt;B3555)),"Evento anterior à entrada",IF(AND(F3555&lt;&gt;"",E3555=""),"Conversa sem agendamento",IF(OR(E3555&gt;TODAY(),F3555&gt;TODAY()),"Verificar evento futuro","OK"))))))</f>
        <v/>
      </c>
    </row>
    <row r="3556" spans="9:12">
      <c r="I3556" s="5">
        <f>IF(OR(A3556="",B3556=""),"",B3556-WEEKDAY(B3556,2)+1)</f>
        <v/>
      </c>
      <c r="J3556" s="5">
        <f>IF(I3556="","",I3556+6)</f>
        <v/>
      </c>
      <c r="K3556" s="6">
        <f>IF(OR(A3556="",B3556=""),"",DATE(YEAR(B3556),MONTH(B3556),1))</f>
        <v/>
      </c>
      <c r="L3556" s="7">
        <f>IF(COUNTA(A3556,B3556)=0,"",IF(OR(A3556="",B3556=""),"Preencher CPF e entrada",IF(COUNTIFS($A$12:$A$5011,A3556,$B$12:$B$5011,B3556)&gt;1,"CPF + dia duplicado",IF(OR(AND(E3556&lt;&gt;"",E3556&lt;B3556),AND(F3556&lt;&gt;"",F3556&lt;B3556)),"Evento anterior à entrada",IF(AND(F3556&lt;&gt;"",E3556=""),"Conversa sem agendamento",IF(OR(E3556&gt;TODAY(),F3556&gt;TODAY()),"Verificar evento futuro","OK"))))))</f>
        <v/>
      </c>
    </row>
    <row r="3557" spans="9:12">
      <c r="I3557" s="5">
        <f>IF(OR(A3557="",B3557=""),"",B3557-WEEKDAY(B3557,2)+1)</f>
        <v/>
      </c>
      <c r="J3557" s="5">
        <f>IF(I3557="","",I3557+6)</f>
        <v/>
      </c>
      <c r="K3557" s="6">
        <f>IF(OR(A3557="",B3557=""),"",DATE(YEAR(B3557),MONTH(B3557),1))</f>
        <v/>
      </c>
      <c r="L3557" s="7">
        <f>IF(COUNTA(A3557,B3557)=0,"",IF(OR(A3557="",B3557=""),"Preencher CPF e entrada",IF(COUNTIFS($A$12:$A$5011,A3557,$B$12:$B$5011,B3557)&gt;1,"CPF + dia duplicado",IF(OR(AND(E3557&lt;&gt;"",E3557&lt;B3557),AND(F3557&lt;&gt;"",F3557&lt;B3557)),"Evento anterior à entrada",IF(AND(F3557&lt;&gt;"",E3557=""),"Conversa sem agendamento",IF(OR(E3557&gt;TODAY(),F3557&gt;TODAY()),"Verificar evento futuro","OK"))))))</f>
        <v/>
      </c>
    </row>
    <row r="3558" spans="9:12">
      <c r="I3558" s="5">
        <f>IF(OR(A3558="",B3558=""),"",B3558-WEEKDAY(B3558,2)+1)</f>
        <v/>
      </c>
      <c r="J3558" s="5">
        <f>IF(I3558="","",I3558+6)</f>
        <v/>
      </c>
      <c r="K3558" s="6">
        <f>IF(OR(A3558="",B3558=""),"",DATE(YEAR(B3558),MONTH(B3558),1))</f>
        <v/>
      </c>
      <c r="L3558" s="7">
        <f>IF(COUNTA(A3558,B3558)=0,"",IF(OR(A3558="",B3558=""),"Preencher CPF e entrada",IF(COUNTIFS($A$12:$A$5011,A3558,$B$12:$B$5011,B3558)&gt;1,"CPF + dia duplicado",IF(OR(AND(E3558&lt;&gt;"",E3558&lt;B3558),AND(F3558&lt;&gt;"",F3558&lt;B3558)),"Evento anterior à entrada",IF(AND(F3558&lt;&gt;"",E3558=""),"Conversa sem agendamento",IF(OR(E3558&gt;TODAY(),F3558&gt;TODAY()),"Verificar evento futuro","OK"))))))</f>
        <v/>
      </c>
    </row>
    <row r="3559" spans="9:12">
      <c r="I3559" s="5">
        <f>IF(OR(A3559="",B3559=""),"",B3559-WEEKDAY(B3559,2)+1)</f>
        <v/>
      </c>
      <c r="J3559" s="5">
        <f>IF(I3559="","",I3559+6)</f>
        <v/>
      </c>
      <c r="K3559" s="6">
        <f>IF(OR(A3559="",B3559=""),"",DATE(YEAR(B3559),MONTH(B3559),1))</f>
        <v/>
      </c>
      <c r="L3559" s="7">
        <f>IF(COUNTA(A3559,B3559)=0,"",IF(OR(A3559="",B3559=""),"Preencher CPF e entrada",IF(COUNTIFS($A$12:$A$5011,A3559,$B$12:$B$5011,B3559)&gt;1,"CPF + dia duplicado",IF(OR(AND(E3559&lt;&gt;"",E3559&lt;B3559),AND(F3559&lt;&gt;"",F3559&lt;B3559)),"Evento anterior à entrada",IF(AND(F3559&lt;&gt;"",E3559=""),"Conversa sem agendamento",IF(OR(E3559&gt;TODAY(),F3559&gt;TODAY()),"Verificar evento futuro","OK"))))))</f>
        <v/>
      </c>
    </row>
    <row r="3560" spans="9:12">
      <c r="I3560" s="5">
        <f>IF(OR(A3560="",B3560=""),"",B3560-WEEKDAY(B3560,2)+1)</f>
        <v/>
      </c>
      <c r="J3560" s="5">
        <f>IF(I3560="","",I3560+6)</f>
        <v/>
      </c>
      <c r="K3560" s="6">
        <f>IF(OR(A3560="",B3560=""),"",DATE(YEAR(B3560),MONTH(B3560),1))</f>
        <v/>
      </c>
      <c r="L3560" s="7">
        <f>IF(COUNTA(A3560,B3560)=0,"",IF(OR(A3560="",B3560=""),"Preencher CPF e entrada",IF(COUNTIFS($A$12:$A$5011,A3560,$B$12:$B$5011,B3560)&gt;1,"CPF + dia duplicado",IF(OR(AND(E3560&lt;&gt;"",E3560&lt;B3560),AND(F3560&lt;&gt;"",F3560&lt;B3560)),"Evento anterior à entrada",IF(AND(F3560&lt;&gt;"",E3560=""),"Conversa sem agendamento",IF(OR(E3560&gt;TODAY(),F3560&gt;TODAY()),"Verificar evento futuro","OK"))))))</f>
        <v/>
      </c>
    </row>
    <row r="3561" spans="9:12">
      <c r="I3561" s="5">
        <f>IF(OR(A3561="",B3561=""),"",B3561-WEEKDAY(B3561,2)+1)</f>
        <v/>
      </c>
      <c r="J3561" s="5">
        <f>IF(I3561="","",I3561+6)</f>
        <v/>
      </c>
      <c r="K3561" s="6">
        <f>IF(OR(A3561="",B3561=""),"",DATE(YEAR(B3561),MONTH(B3561),1))</f>
        <v/>
      </c>
      <c r="L3561" s="7">
        <f>IF(COUNTA(A3561,B3561)=0,"",IF(OR(A3561="",B3561=""),"Preencher CPF e entrada",IF(COUNTIFS($A$12:$A$5011,A3561,$B$12:$B$5011,B3561)&gt;1,"CPF + dia duplicado",IF(OR(AND(E3561&lt;&gt;"",E3561&lt;B3561),AND(F3561&lt;&gt;"",F3561&lt;B3561)),"Evento anterior à entrada",IF(AND(F3561&lt;&gt;"",E3561=""),"Conversa sem agendamento",IF(OR(E3561&gt;TODAY(),F3561&gt;TODAY()),"Verificar evento futuro","OK"))))))</f>
        <v/>
      </c>
    </row>
    <row r="3562" spans="9:12">
      <c r="I3562" s="5">
        <f>IF(OR(A3562="",B3562=""),"",B3562-WEEKDAY(B3562,2)+1)</f>
        <v/>
      </c>
      <c r="J3562" s="5">
        <f>IF(I3562="","",I3562+6)</f>
        <v/>
      </c>
      <c r="K3562" s="6">
        <f>IF(OR(A3562="",B3562=""),"",DATE(YEAR(B3562),MONTH(B3562),1))</f>
        <v/>
      </c>
      <c r="L3562" s="7">
        <f>IF(COUNTA(A3562,B3562)=0,"",IF(OR(A3562="",B3562=""),"Preencher CPF e entrada",IF(COUNTIFS($A$12:$A$5011,A3562,$B$12:$B$5011,B3562)&gt;1,"CPF + dia duplicado",IF(OR(AND(E3562&lt;&gt;"",E3562&lt;B3562),AND(F3562&lt;&gt;"",F3562&lt;B3562)),"Evento anterior à entrada",IF(AND(F3562&lt;&gt;"",E3562=""),"Conversa sem agendamento",IF(OR(E3562&gt;TODAY(),F3562&gt;TODAY()),"Verificar evento futuro","OK"))))))</f>
        <v/>
      </c>
    </row>
    <row r="3563" spans="9:12">
      <c r="I3563" s="5">
        <f>IF(OR(A3563="",B3563=""),"",B3563-WEEKDAY(B3563,2)+1)</f>
        <v/>
      </c>
      <c r="J3563" s="5">
        <f>IF(I3563="","",I3563+6)</f>
        <v/>
      </c>
      <c r="K3563" s="6">
        <f>IF(OR(A3563="",B3563=""),"",DATE(YEAR(B3563),MONTH(B3563),1))</f>
        <v/>
      </c>
      <c r="L3563" s="7">
        <f>IF(COUNTA(A3563,B3563)=0,"",IF(OR(A3563="",B3563=""),"Preencher CPF e entrada",IF(COUNTIFS($A$12:$A$5011,A3563,$B$12:$B$5011,B3563)&gt;1,"CPF + dia duplicado",IF(OR(AND(E3563&lt;&gt;"",E3563&lt;B3563),AND(F3563&lt;&gt;"",F3563&lt;B3563)),"Evento anterior à entrada",IF(AND(F3563&lt;&gt;"",E3563=""),"Conversa sem agendamento",IF(OR(E3563&gt;TODAY(),F3563&gt;TODAY()),"Verificar evento futuro","OK"))))))</f>
        <v/>
      </c>
    </row>
    <row r="3564" spans="9:12">
      <c r="I3564" s="5">
        <f>IF(OR(A3564="",B3564=""),"",B3564-WEEKDAY(B3564,2)+1)</f>
        <v/>
      </c>
      <c r="J3564" s="5">
        <f>IF(I3564="","",I3564+6)</f>
        <v/>
      </c>
      <c r="K3564" s="6">
        <f>IF(OR(A3564="",B3564=""),"",DATE(YEAR(B3564),MONTH(B3564),1))</f>
        <v/>
      </c>
      <c r="L3564" s="7">
        <f>IF(COUNTA(A3564,B3564)=0,"",IF(OR(A3564="",B3564=""),"Preencher CPF e entrada",IF(COUNTIFS($A$12:$A$5011,A3564,$B$12:$B$5011,B3564)&gt;1,"CPF + dia duplicado",IF(OR(AND(E3564&lt;&gt;"",E3564&lt;B3564),AND(F3564&lt;&gt;"",F3564&lt;B3564)),"Evento anterior à entrada",IF(AND(F3564&lt;&gt;"",E3564=""),"Conversa sem agendamento",IF(OR(E3564&gt;TODAY(),F3564&gt;TODAY()),"Verificar evento futuro","OK"))))))</f>
        <v/>
      </c>
    </row>
    <row r="3565" spans="9:12">
      <c r="I3565" s="5">
        <f>IF(OR(A3565="",B3565=""),"",B3565-WEEKDAY(B3565,2)+1)</f>
        <v/>
      </c>
      <c r="J3565" s="5">
        <f>IF(I3565="","",I3565+6)</f>
        <v/>
      </c>
      <c r="K3565" s="6">
        <f>IF(OR(A3565="",B3565=""),"",DATE(YEAR(B3565),MONTH(B3565),1))</f>
        <v/>
      </c>
      <c r="L3565" s="7">
        <f>IF(COUNTA(A3565,B3565)=0,"",IF(OR(A3565="",B3565=""),"Preencher CPF e entrada",IF(COUNTIFS($A$12:$A$5011,A3565,$B$12:$B$5011,B3565)&gt;1,"CPF + dia duplicado",IF(OR(AND(E3565&lt;&gt;"",E3565&lt;B3565),AND(F3565&lt;&gt;"",F3565&lt;B3565)),"Evento anterior à entrada",IF(AND(F3565&lt;&gt;"",E3565=""),"Conversa sem agendamento",IF(OR(E3565&gt;TODAY(),F3565&gt;TODAY()),"Verificar evento futuro","OK"))))))</f>
        <v/>
      </c>
    </row>
    <row r="3566" spans="9:12">
      <c r="I3566" s="5">
        <f>IF(OR(A3566="",B3566=""),"",B3566-WEEKDAY(B3566,2)+1)</f>
        <v/>
      </c>
      <c r="J3566" s="5">
        <f>IF(I3566="","",I3566+6)</f>
        <v/>
      </c>
      <c r="K3566" s="6">
        <f>IF(OR(A3566="",B3566=""),"",DATE(YEAR(B3566),MONTH(B3566),1))</f>
        <v/>
      </c>
      <c r="L3566" s="7">
        <f>IF(COUNTA(A3566,B3566)=0,"",IF(OR(A3566="",B3566=""),"Preencher CPF e entrada",IF(COUNTIFS($A$12:$A$5011,A3566,$B$12:$B$5011,B3566)&gt;1,"CPF + dia duplicado",IF(OR(AND(E3566&lt;&gt;"",E3566&lt;B3566),AND(F3566&lt;&gt;"",F3566&lt;B3566)),"Evento anterior à entrada",IF(AND(F3566&lt;&gt;"",E3566=""),"Conversa sem agendamento",IF(OR(E3566&gt;TODAY(),F3566&gt;TODAY()),"Verificar evento futuro","OK"))))))</f>
        <v/>
      </c>
    </row>
    <row r="3567" spans="9:12">
      <c r="I3567" s="5">
        <f>IF(OR(A3567="",B3567=""),"",B3567-WEEKDAY(B3567,2)+1)</f>
        <v/>
      </c>
      <c r="J3567" s="5">
        <f>IF(I3567="","",I3567+6)</f>
        <v/>
      </c>
      <c r="K3567" s="6">
        <f>IF(OR(A3567="",B3567=""),"",DATE(YEAR(B3567),MONTH(B3567),1))</f>
        <v/>
      </c>
      <c r="L3567" s="7">
        <f>IF(COUNTA(A3567,B3567)=0,"",IF(OR(A3567="",B3567=""),"Preencher CPF e entrada",IF(COUNTIFS($A$12:$A$5011,A3567,$B$12:$B$5011,B3567)&gt;1,"CPF + dia duplicado",IF(OR(AND(E3567&lt;&gt;"",E3567&lt;B3567),AND(F3567&lt;&gt;"",F3567&lt;B3567)),"Evento anterior à entrada",IF(AND(F3567&lt;&gt;"",E3567=""),"Conversa sem agendamento",IF(OR(E3567&gt;TODAY(),F3567&gt;TODAY()),"Verificar evento futuro","OK"))))))</f>
        <v/>
      </c>
    </row>
    <row r="3568" spans="9:12">
      <c r="I3568" s="5">
        <f>IF(OR(A3568="",B3568=""),"",B3568-WEEKDAY(B3568,2)+1)</f>
        <v/>
      </c>
      <c r="J3568" s="5">
        <f>IF(I3568="","",I3568+6)</f>
        <v/>
      </c>
      <c r="K3568" s="6">
        <f>IF(OR(A3568="",B3568=""),"",DATE(YEAR(B3568),MONTH(B3568),1))</f>
        <v/>
      </c>
      <c r="L3568" s="7">
        <f>IF(COUNTA(A3568,B3568)=0,"",IF(OR(A3568="",B3568=""),"Preencher CPF e entrada",IF(COUNTIFS($A$12:$A$5011,A3568,$B$12:$B$5011,B3568)&gt;1,"CPF + dia duplicado",IF(OR(AND(E3568&lt;&gt;"",E3568&lt;B3568),AND(F3568&lt;&gt;"",F3568&lt;B3568)),"Evento anterior à entrada",IF(AND(F3568&lt;&gt;"",E3568=""),"Conversa sem agendamento",IF(OR(E3568&gt;TODAY(),F3568&gt;TODAY()),"Verificar evento futuro","OK"))))))</f>
        <v/>
      </c>
    </row>
    <row r="3569" spans="9:12">
      <c r="I3569" s="5">
        <f>IF(OR(A3569="",B3569=""),"",B3569-WEEKDAY(B3569,2)+1)</f>
        <v/>
      </c>
      <c r="J3569" s="5">
        <f>IF(I3569="","",I3569+6)</f>
        <v/>
      </c>
      <c r="K3569" s="6">
        <f>IF(OR(A3569="",B3569=""),"",DATE(YEAR(B3569),MONTH(B3569),1))</f>
        <v/>
      </c>
      <c r="L3569" s="7">
        <f>IF(COUNTA(A3569,B3569)=0,"",IF(OR(A3569="",B3569=""),"Preencher CPF e entrada",IF(COUNTIFS($A$12:$A$5011,A3569,$B$12:$B$5011,B3569)&gt;1,"CPF + dia duplicado",IF(OR(AND(E3569&lt;&gt;"",E3569&lt;B3569),AND(F3569&lt;&gt;"",F3569&lt;B3569)),"Evento anterior à entrada",IF(AND(F3569&lt;&gt;"",E3569=""),"Conversa sem agendamento",IF(OR(E3569&gt;TODAY(),F3569&gt;TODAY()),"Verificar evento futuro","OK"))))))</f>
        <v/>
      </c>
    </row>
    <row r="3570" spans="9:12">
      <c r="I3570" s="5">
        <f>IF(OR(A3570="",B3570=""),"",B3570-WEEKDAY(B3570,2)+1)</f>
        <v/>
      </c>
      <c r="J3570" s="5">
        <f>IF(I3570="","",I3570+6)</f>
        <v/>
      </c>
      <c r="K3570" s="6">
        <f>IF(OR(A3570="",B3570=""),"",DATE(YEAR(B3570),MONTH(B3570),1))</f>
        <v/>
      </c>
      <c r="L3570" s="7">
        <f>IF(COUNTA(A3570,B3570)=0,"",IF(OR(A3570="",B3570=""),"Preencher CPF e entrada",IF(COUNTIFS($A$12:$A$5011,A3570,$B$12:$B$5011,B3570)&gt;1,"CPF + dia duplicado",IF(OR(AND(E3570&lt;&gt;"",E3570&lt;B3570),AND(F3570&lt;&gt;"",F3570&lt;B3570)),"Evento anterior à entrada",IF(AND(F3570&lt;&gt;"",E3570=""),"Conversa sem agendamento",IF(OR(E3570&gt;TODAY(),F3570&gt;TODAY()),"Verificar evento futuro","OK"))))))</f>
        <v/>
      </c>
    </row>
    <row r="3571" spans="9:12">
      <c r="I3571" s="5">
        <f>IF(OR(A3571="",B3571=""),"",B3571-WEEKDAY(B3571,2)+1)</f>
        <v/>
      </c>
      <c r="J3571" s="5">
        <f>IF(I3571="","",I3571+6)</f>
        <v/>
      </c>
      <c r="K3571" s="6">
        <f>IF(OR(A3571="",B3571=""),"",DATE(YEAR(B3571),MONTH(B3571),1))</f>
        <v/>
      </c>
      <c r="L3571" s="7">
        <f>IF(COUNTA(A3571,B3571)=0,"",IF(OR(A3571="",B3571=""),"Preencher CPF e entrada",IF(COUNTIFS($A$12:$A$5011,A3571,$B$12:$B$5011,B3571)&gt;1,"CPF + dia duplicado",IF(OR(AND(E3571&lt;&gt;"",E3571&lt;B3571),AND(F3571&lt;&gt;"",F3571&lt;B3571)),"Evento anterior à entrada",IF(AND(F3571&lt;&gt;"",E3571=""),"Conversa sem agendamento",IF(OR(E3571&gt;TODAY(),F3571&gt;TODAY()),"Verificar evento futuro","OK"))))))</f>
        <v/>
      </c>
    </row>
    <row r="3572" spans="9:12">
      <c r="I3572" s="5">
        <f>IF(OR(A3572="",B3572=""),"",B3572-WEEKDAY(B3572,2)+1)</f>
        <v/>
      </c>
      <c r="J3572" s="5">
        <f>IF(I3572="","",I3572+6)</f>
        <v/>
      </c>
      <c r="K3572" s="6">
        <f>IF(OR(A3572="",B3572=""),"",DATE(YEAR(B3572),MONTH(B3572),1))</f>
        <v/>
      </c>
      <c r="L3572" s="7">
        <f>IF(COUNTA(A3572,B3572)=0,"",IF(OR(A3572="",B3572=""),"Preencher CPF e entrada",IF(COUNTIFS($A$12:$A$5011,A3572,$B$12:$B$5011,B3572)&gt;1,"CPF + dia duplicado",IF(OR(AND(E3572&lt;&gt;"",E3572&lt;B3572),AND(F3572&lt;&gt;"",F3572&lt;B3572)),"Evento anterior à entrada",IF(AND(F3572&lt;&gt;"",E3572=""),"Conversa sem agendamento",IF(OR(E3572&gt;TODAY(),F3572&gt;TODAY()),"Verificar evento futuro","OK"))))))</f>
        <v/>
      </c>
    </row>
    <row r="3573" spans="9:12">
      <c r="I3573" s="5">
        <f>IF(OR(A3573="",B3573=""),"",B3573-WEEKDAY(B3573,2)+1)</f>
        <v/>
      </c>
      <c r="J3573" s="5">
        <f>IF(I3573="","",I3573+6)</f>
        <v/>
      </c>
      <c r="K3573" s="6">
        <f>IF(OR(A3573="",B3573=""),"",DATE(YEAR(B3573),MONTH(B3573),1))</f>
        <v/>
      </c>
      <c r="L3573" s="7">
        <f>IF(COUNTA(A3573,B3573)=0,"",IF(OR(A3573="",B3573=""),"Preencher CPF e entrada",IF(COUNTIFS($A$12:$A$5011,A3573,$B$12:$B$5011,B3573)&gt;1,"CPF + dia duplicado",IF(OR(AND(E3573&lt;&gt;"",E3573&lt;B3573),AND(F3573&lt;&gt;"",F3573&lt;B3573)),"Evento anterior à entrada",IF(AND(F3573&lt;&gt;"",E3573=""),"Conversa sem agendamento",IF(OR(E3573&gt;TODAY(),F3573&gt;TODAY()),"Verificar evento futuro","OK"))))))</f>
        <v/>
      </c>
    </row>
    <row r="3574" spans="9:12">
      <c r="I3574" s="5">
        <f>IF(OR(A3574="",B3574=""),"",B3574-WEEKDAY(B3574,2)+1)</f>
        <v/>
      </c>
      <c r="J3574" s="5">
        <f>IF(I3574="","",I3574+6)</f>
        <v/>
      </c>
      <c r="K3574" s="6">
        <f>IF(OR(A3574="",B3574=""),"",DATE(YEAR(B3574),MONTH(B3574),1))</f>
        <v/>
      </c>
      <c r="L3574" s="7">
        <f>IF(COUNTA(A3574,B3574)=0,"",IF(OR(A3574="",B3574=""),"Preencher CPF e entrada",IF(COUNTIFS($A$12:$A$5011,A3574,$B$12:$B$5011,B3574)&gt;1,"CPF + dia duplicado",IF(OR(AND(E3574&lt;&gt;"",E3574&lt;B3574),AND(F3574&lt;&gt;"",F3574&lt;B3574)),"Evento anterior à entrada",IF(AND(F3574&lt;&gt;"",E3574=""),"Conversa sem agendamento",IF(OR(E3574&gt;TODAY(),F3574&gt;TODAY()),"Verificar evento futuro","OK"))))))</f>
        <v/>
      </c>
    </row>
    <row r="3575" spans="9:12">
      <c r="I3575" s="5">
        <f>IF(OR(A3575="",B3575=""),"",B3575-WEEKDAY(B3575,2)+1)</f>
        <v/>
      </c>
      <c r="J3575" s="5">
        <f>IF(I3575="","",I3575+6)</f>
        <v/>
      </c>
      <c r="K3575" s="6">
        <f>IF(OR(A3575="",B3575=""),"",DATE(YEAR(B3575),MONTH(B3575),1))</f>
        <v/>
      </c>
      <c r="L3575" s="7">
        <f>IF(COUNTA(A3575,B3575)=0,"",IF(OR(A3575="",B3575=""),"Preencher CPF e entrada",IF(COUNTIFS($A$12:$A$5011,A3575,$B$12:$B$5011,B3575)&gt;1,"CPF + dia duplicado",IF(OR(AND(E3575&lt;&gt;"",E3575&lt;B3575),AND(F3575&lt;&gt;"",F3575&lt;B3575)),"Evento anterior à entrada",IF(AND(F3575&lt;&gt;"",E3575=""),"Conversa sem agendamento",IF(OR(E3575&gt;TODAY(),F3575&gt;TODAY()),"Verificar evento futuro","OK"))))))</f>
        <v/>
      </c>
    </row>
    <row r="3576" spans="9:12">
      <c r="I3576" s="5">
        <f>IF(OR(A3576="",B3576=""),"",B3576-WEEKDAY(B3576,2)+1)</f>
        <v/>
      </c>
      <c r="J3576" s="5">
        <f>IF(I3576="","",I3576+6)</f>
        <v/>
      </c>
      <c r="K3576" s="6">
        <f>IF(OR(A3576="",B3576=""),"",DATE(YEAR(B3576),MONTH(B3576),1))</f>
        <v/>
      </c>
      <c r="L3576" s="7">
        <f>IF(COUNTA(A3576,B3576)=0,"",IF(OR(A3576="",B3576=""),"Preencher CPF e entrada",IF(COUNTIFS($A$12:$A$5011,A3576,$B$12:$B$5011,B3576)&gt;1,"CPF + dia duplicado",IF(OR(AND(E3576&lt;&gt;"",E3576&lt;B3576),AND(F3576&lt;&gt;"",F3576&lt;B3576)),"Evento anterior à entrada",IF(AND(F3576&lt;&gt;"",E3576=""),"Conversa sem agendamento",IF(OR(E3576&gt;TODAY(),F3576&gt;TODAY()),"Verificar evento futuro","OK"))))))</f>
        <v/>
      </c>
    </row>
    <row r="3577" spans="9:12">
      <c r="I3577" s="5">
        <f>IF(OR(A3577="",B3577=""),"",B3577-WEEKDAY(B3577,2)+1)</f>
        <v/>
      </c>
      <c r="J3577" s="5">
        <f>IF(I3577="","",I3577+6)</f>
        <v/>
      </c>
      <c r="K3577" s="6">
        <f>IF(OR(A3577="",B3577=""),"",DATE(YEAR(B3577),MONTH(B3577),1))</f>
        <v/>
      </c>
      <c r="L3577" s="7">
        <f>IF(COUNTA(A3577,B3577)=0,"",IF(OR(A3577="",B3577=""),"Preencher CPF e entrada",IF(COUNTIFS($A$12:$A$5011,A3577,$B$12:$B$5011,B3577)&gt;1,"CPF + dia duplicado",IF(OR(AND(E3577&lt;&gt;"",E3577&lt;B3577),AND(F3577&lt;&gt;"",F3577&lt;B3577)),"Evento anterior à entrada",IF(AND(F3577&lt;&gt;"",E3577=""),"Conversa sem agendamento",IF(OR(E3577&gt;TODAY(),F3577&gt;TODAY()),"Verificar evento futuro","OK"))))))</f>
        <v/>
      </c>
    </row>
    <row r="3578" spans="9:12">
      <c r="I3578" s="5">
        <f>IF(OR(A3578="",B3578=""),"",B3578-WEEKDAY(B3578,2)+1)</f>
        <v/>
      </c>
      <c r="J3578" s="5">
        <f>IF(I3578="","",I3578+6)</f>
        <v/>
      </c>
      <c r="K3578" s="6">
        <f>IF(OR(A3578="",B3578=""),"",DATE(YEAR(B3578),MONTH(B3578),1))</f>
        <v/>
      </c>
      <c r="L3578" s="7">
        <f>IF(COUNTA(A3578,B3578)=0,"",IF(OR(A3578="",B3578=""),"Preencher CPF e entrada",IF(COUNTIFS($A$12:$A$5011,A3578,$B$12:$B$5011,B3578)&gt;1,"CPF + dia duplicado",IF(OR(AND(E3578&lt;&gt;"",E3578&lt;B3578),AND(F3578&lt;&gt;"",F3578&lt;B3578)),"Evento anterior à entrada",IF(AND(F3578&lt;&gt;"",E3578=""),"Conversa sem agendamento",IF(OR(E3578&gt;TODAY(),F3578&gt;TODAY()),"Verificar evento futuro","OK"))))))</f>
        <v/>
      </c>
    </row>
    <row r="3579" spans="9:12">
      <c r="I3579" s="5">
        <f>IF(OR(A3579="",B3579=""),"",B3579-WEEKDAY(B3579,2)+1)</f>
        <v/>
      </c>
      <c r="J3579" s="5">
        <f>IF(I3579="","",I3579+6)</f>
        <v/>
      </c>
      <c r="K3579" s="6">
        <f>IF(OR(A3579="",B3579=""),"",DATE(YEAR(B3579),MONTH(B3579),1))</f>
        <v/>
      </c>
      <c r="L3579" s="7">
        <f>IF(COUNTA(A3579,B3579)=0,"",IF(OR(A3579="",B3579=""),"Preencher CPF e entrada",IF(COUNTIFS($A$12:$A$5011,A3579,$B$12:$B$5011,B3579)&gt;1,"CPF + dia duplicado",IF(OR(AND(E3579&lt;&gt;"",E3579&lt;B3579),AND(F3579&lt;&gt;"",F3579&lt;B3579)),"Evento anterior à entrada",IF(AND(F3579&lt;&gt;"",E3579=""),"Conversa sem agendamento",IF(OR(E3579&gt;TODAY(),F3579&gt;TODAY()),"Verificar evento futuro","OK"))))))</f>
        <v/>
      </c>
    </row>
    <row r="3580" spans="9:12">
      <c r="I3580" s="5">
        <f>IF(OR(A3580="",B3580=""),"",B3580-WEEKDAY(B3580,2)+1)</f>
        <v/>
      </c>
      <c r="J3580" s="5">
        <f>IF(I3580="","",I3580+6)</f>
        <v/>
      </c>
      <c r="K3580" s="6">
        <f>IF(OR(A3580="",B3580=""),"",DATE(YEAR(B3580),MONTH(B3580),1))</f>
        <v/>
      </c>
      <c r="L3580" s="7">
        <f>IF(COUNTA(A3580,B3580)=0,"",IF(OR(A3580="",B3580=""),"Preencher CPF e entrada",IF(COUNTIFS($A$12:$A$5011,A3580,$B$12:$B$5011,B3580)&gt;1,"CPF + dia duplicado",IF(OR(AND(E3580&lt;&gt;"",E3580&lt;B3580),AND(F3580&lt;&gt;"",F3580&lt;B3580)),"Evento anterior à entrada",IF(AND(F3580&lt;&gt;"",E3580=""),"Conversa sem agendamento",IF(OR(E3580&gt;TODAY(),F3580&gt;TODAY()),"Verificar evento futuro","OK"))))))</f>
        <v/>
      </c>
    </row>
    <row r="3581" spans="9:12">
      <c r="I3581" s="5">
        <f>IF(OR(A3581="",B3581=""),"",B3581-WEEKDAY(B3581,2)+1)</f>
        <v/>
      </c>
      <c r="J3581" s="5">
        <f>IF(I3581="","",I3581+6)</f>
        <v/>
      </c>
      <c r="K3581" s="6">
        <f>IF(OR(A3581="",B3581=""),"",DATE(YEAR(B3581),MONTH(B3581),1))</f>
        <v/>
      </c>
      <c r="L3581" s="7">
        <f>IF(COUNTA(A3581,B3581)=0,"",IF(OR(A3581="",B3581=""),"Preencher CPF e entrada",IF(COUNTIFS($A$12:$A$5011,A3581,$B$12:$B$5011,B3581)&gt;1,"CPF + dia duplicado",IF(OR(AND(E3581&lt;&gt;"",E3581&lt;B3581),AND(F3581&lt;&gt;"",F3581&lt;B3581)),"Evento anterior à entrada",IF(AND(F3581&lt;&gt;"",E3581=""),"Conversa sem agendamento",IF(OR(E3581&gt;TODAY(),F3581&gt;TODAY()),"Verificar evento futuro","OK"))))))</f>
        <v/>
      </c>
    </row>
    <row r="3582" spans="9:12">
      <c r="I3582" s="5">
        <f>IF(OR(A3582="",B3582=""),"",B3582-WEEKDAY(B3582,2)+1)</f>
        <v/>
      </c>
      <c r="J3582" s="5">
        <f>IF(I3582="","",I3582+6)</f>
        <v/>
      </c>
      <c r="K3582" s="6">
        <f>IF(OR(A3582="",B3582=""),"",DATE(YEAR(B3582),MONTH(B3582),1))</f>
        <v/>
      </c>
      <c r="L3582" s="7">
        <f>IF(COUNTA(A3582,B3582)=0,"",IF(OR(A3582="",B3582=""),"Preencher CPF e entrada",IF(COUNTIFS($A$12:$A$5011,A3582,$B$12:$B$5011,B3582)&gt;1,"CPF + dia duplicado",IF(OR(AND(E3582&lt;&gt;"",E3582&lt;B3582),AND(F3582&lt;&gt;"",F3582&lt;B3582)),"Evento anterior à entrada",IF(AND(F3582&lt;&gt;"",E3582=""),"Conversa sem agendamento",IF(OR(E3582&gt;TODAY(),F3582&gt;TODAY()),"Verificar evento futuro","OK"))))))</f>
        <v/>
      </c>
    </row>
    <row r="3583" spans="9:12">
      <c r="I3583" s="5">
        <f>IF(OR(A3583="",B3583=""),"",B3583-WEEKDAY(B3583,2)+1)</f>
        <v/>
      </c>
      <c r="J3583" s="5">
        <f>IF(I3583="","",I3583+6)</f>
        <v/>
      </c>
      <c r="K3583" s="6">
        <f>IF(OR(A3583="",B3583=""),"",DATE(YEAR(B3583),MONTH(B3583),1))</f>
        <v/>
      </c>
      <c r="L3583" s="7">
        <f>IF(COUNTA(A3583,B3583)=0,"",IF(OR(A3583="",B3583=""),"Preencher CPF e entrada",IF(COUNTIFS($A$12:$A$5011,A3583,$B$12:$B$5011,B3583)&gt;1,"CPF + dia duplicado",IF(OR(AND(E3583&lt;&gt;"",E3583&lt;B3583),AND(F3583&lt;&gt;"",F3583&lt;B3583)),"Evento anterior à entrada",IF(AND(F3583&lt;&gt;"",E3583=""),"Conversa sem agendamento",IF(OR(E3583&gt;TODAY(),F3583&gt;TODAY()),"Verificar evento futuro","OK"))))))</f>
        <v/>
      </c>
    </row>
    <row r="3584" spans="9:12">
      <c r="I3584" s="5">
        <f>IF(OR(A3584="",B3584=""),"",B3584-WEEKDAY(B3584,2)+1)</f>
        <v/>
      </c>
      <c r="J3584" s="5">
        <f>IF(I3584="","",I3584+6)</f>
        <v/>
      </c>
      <c r="K3584" s="6">
        <f>IF(OR(A3584="",B3584=""),"",DATE(YEAR(B3584),MONTH(B3584),1))</f>
        <v/>
      </c>
      <c r="L3584" s="7">
        <f>IF(COUNTA(A3584,B3584)=0,"",IF(OR(A3584="",B3584=""),"Preencher CPF e entrada",IF(COUNTIFS($A$12:$A$5011,A3584,$B$12:$B$5011,B3584)&gt;1,"CPF + dia duplicado",IF(OR(AND(E3584&lt;&gt;"",E3584&lt;B3584),AND(F3584&lt;&gt;"",F3584&lt;B3584)),"Evento anterior à entrada",IF(AND(F3584&lt;&gt;"",E3584=""),"Conversa sem agendamento",IF(OR(E3584&gt;TODAY(),F3584&gt;TODAY()),"Verificar evento futuro","OK"))))))</f>
        <v/>
      </c>
    </row>
    <row r="3585" spans="9:12">
      <c r="I3585" s="5">
        <f>IF(OR(A3585="",B3585=""),"",B3585-WEEKDAY(B3585,2)+1)</f>
        <v/>
      </c>
      <c r="J3585" s="5">
        <f>IF(I3585="","",I3585+6)</f>
        <v/>
      </c>
      <c r="K3585" s="6">
        <f>IF(OR(A3585="",B3585=""),"",DATE(YEAR(B3585),MONTH(B3585),1))</f>
        <v/>
      </c>
      <c r="L3585" s="7">
        <f>IF(COUNTA(A3585,B3585)=0,"",IF(OR(A3585="",B3585=""),"Preencher CPF e entrada",IF(COUNTIFS($A$12:$A$5011,A3585,$B$12:$B$5011,B3585)&gt;1,"CPF + dia duplicado",IF(OR(AND(E3585&lt;&gt;"",E3585&lt;B3585),AND(F3585&lt;&gt;"",F3585&lt;B3585)),"Evento anterior à entrada",IF(AND(F3585&lt;&gt;"",E3585=""),"Conversa sem agendamento",IF(OR(E3585&gt;TODAY(),F3585&gt;TODAY()),"Verificar evento futuro","OK"))))))</f>
        <v/>
      </c>
    </row>
    <row r="3586" spans="9:12">
      <c r="I3586" s="5">
        <f>IF(OR(A3586="",B3586=""),"",B3586-WEEKDAY(B3586,2)+1)</f>
        <v/>
      </c>
      <c r="J3586" s="5">
        <f>IF(I3586="","",I3586+6)</f>
        <v/>
      </c>
      <c r="K3586" s="6">
        <f>IF(OR(A3586="",B3586=""),"",DATE(YEAR(B3586),MONTH(B3586),1))</f>
        <v/>
      </c>
      <c r="L3586" s="7">
        <f>IF(COUNTA(A3586,B3586)=0,"",IF(OR(A3586="",B3586=""),"Preencher CPF e entrada",IF(COUNTIFS($A$12:$A$5011,A3586,$B$12:$B$5011,B3586)&gt;1,"CPF + dia duplicado",IF(OR(AND(E3586&lt;&gt;"",E3586&lt;B3586),AND(F3586&lt;&gt;"",F3586&lt;B3586)),"Evento anterior à entrada",IF(AND(F3586&lt;&gt;"",E3586=""),"Conversa sem agendamento",IF(OR(E3586&gt;TODAY(),F3586&gt;TODAY()),"Verificar evento futuro","OK"))))))</f>
        <v/>
      </c>
    </row>
    <row r="3587" spans="9:12">
      <c r="I3587" s="5">
        <f>IF(OR(A3587="",B3587=""),"",B3587-WEEKDAY(B3587,2)+1)</f>
        <v/>
      </c>
      <c r="J3587" s="5">
        <f>IF(I3587="","",I3587+6)</f>
        <v/>
      </c>
      <c r="K3587" s="6">
        <f>IF(OR(A3587="",B3587=""),"",DATE(YEAR(B3587),MONTH(B3587),1))</f>
        <v/>
      </c>
      <c r="L3587" s="7">
        <f>IF(COUNTA(A3587,B3587)=0,"",IF(OR(A3587="",B3587=""),"Preencher CPF e entrada",IF(COUNTIFS($A$12:$A$5011,A3587,$B$12:$B$5011,B3587)&gt;1,"CPF + dia duplicado",IF(OR(AND(E3587&lt;&gt;"",E3587&lt;B3587),AND(F3587&lt;&gt;"",F3587&lt;B3587)),"Evento anterior à entrada",IF(AND(F3587&lt;&gt;"",E3587=""),"Conversa sem agendamento",IF(OR(E3587&gt;TODAY(),F3587&gt;TODAY()),"Verificar evento futuro","OK"))))))</f>
        <v/>
      </c>
    </row>
    <row r="3588" spans="9:12">
      <c r="I3588" s="5">
        <f>IF(OR(A3588="",B3588=""),"",B3588-WEEKDAY(B3588,2)+1)</f>
        <v/>
      </c>
      <c r="J3588" s="5">
        <f>IF(I3588="","",I3588+6)</f>
        <v/>
      </c>
      <c r="K3588" s="6">
        <f>IF(OR(A3588="",B3588=""),"",DATE(YEAR(B3588),MONTH(B3588),1))</f>
        <v/>
      </c>
      <c r="L3588" s="7">
        <f>IF(COUNTA(A3588,B3588)=0,"",IF(OR(A3588="",B3588=""),"Preencher CPF e entrada",IF(COUNTIFS($A$12:$A$5011,A3588,$B$12:$B$5011,B3588)&gt;1,"CPF + dia duplicado",IF(OR(AND(E3588&lt;&gt;"",E3588&lt;B3588),AND(F3588&lt;&gt;"",F3588&lt;B3588)),"Evento anterior à entrada",IF(AND(F3588&lt;&gt;"",E3588=""),"Conversa sem agendamento",IF(OR(E3588&gt;TODAY(),F3588&gt;TODAY()),"Verificar evento futuro","OK"))))))</f>
        <v/>
      </c>
    </row>
    <row r="3589" spans="9:12">
      <c r="I3589" s="5">
        <f>IF(OR(A3589="",B3589=""),"",B3589-WEEKDAY(B3589,2)+1)</f>
        <v/>
      </c>
      <c r="J3589" s="5">
        <f>IF(I3589="","",I3589+6)</f>
        <v/>
      </c>
      <c r="K3589" s="6">
        <f>IF(OR(A3589="",B3589=""),"",DATE(YEAR(B3589),MONTH(B3589),1))</f>
        <v/>
      </c>
      <c r="L3589" s="7">
        <f>IF(COUNTA(A3589,B3589)=0,"",IF(OR(A3589="",B3589=""),"Preencher CPF e entrada",IF(COUNTIFS($A$12:$A$5011,A3589,$B$12:$B$5011,B3589)&gt;1,"CPF + dia duplicado",IF(OR(AND(E3589&lt;&gt;"",E3589&lt;B3589),AND(F3589&lt;&gt;"",F3589&lt;B3589)),"Evento anterior à entrada",IF(AND(F3589&lt;&gt;"",E3589=""),"Conversa sem agendamento",IF(OR(E3589&gt;TODAY(),F3589&gt;TODAY()),"Verificar evento futuro","OK"))))))</f>
        <v/>
      </c>
    </row>
    <row r="3590" spans="9:12">
      <c r="I3590" s="5">
        <f>IF(OR(A3590="",B3590=""),"",B3590-WEEKDAY(B3590,2)+1)</f>
        <v/>
      </c>
      <c r="J3590" s="5">
        <f>IF(I3590="","",I3590+6)</f>
        <v/>
      </c>
      <c r="K3590" s="6">
        <f>IF(OR(A3590="",B3590=""),"",DATE(YEAR(B3590),MONTH(B3590),1))</f>
        <v/>
      </c>
      <c r="L3590" s="7">
        <f>IF(COUNTA(A3590,B3590)=0,"",IF(OR(A3590="",B3590=""),"Preencher CPF e entrada",IF(COUNTIFS($A$12:$A$5011,A3590,$B$12:$B$5011,B3590)&gt;1,"CPF + dia duplicado",IF(OR(AND(E3590&lt;&gt;"",E3590&lt;B3590),AND(F3590&lt;&gt;"",F3590&lt;B3590)),"Evento anterior à entrada",IF(AND(F3590&lt;&gt;"",E3590=""),"Conversa sem agendamento",IF(OR(E3590&gt;TODAY(),F3590&gt;TODAY()),"Verificar evento futuro","OK"))))))</f>
        <v/>
      </c>
    </row>
    <row r="3591" spans="9:12">
      <c r="I3591" s="5">
        <f>IF(OR(A3591="",B3591=""),"",B3591-WEEKDAY(B3591,2)+1)</f>
        <v/>
      </c>
      <c r="J3591" s="5">
        <f>IF(I3591="","",I3591+6)</f>
        <v/>
      </c>
      <c r="K3591" s="6">
        <f>IF(OR(A3591="",B3591=""),"",DATE(YEAR(B3591),MONTH(B3591),1))</f>
        <v/>
      </c>
      <c r="L3591" s="7">
        <f>IF(COUNTA(A3591,B3591)=0,"",IF(OR(A3591="",B3591=""),"Preencher CPF e entrada",IF(COUNTIFS($A$12:$A$5011,A3591,$B$12:$B$5011,B3591)&gt;1,"CPF + dia duplicado",IF(OR(AND(E3591&lt;&gt;"",E3591&lt;B3591),AND(F3591&lt;&gt;"",F3591&lt;B3591)),"Evento anterior à entrada",IF(AND(F3591&lt;&gt;"",E3591=""),"Conversa sem agendamento",IF(OR(E3591&gt;TODAY(),F3591&gt;TODAY()),"Verificar evento futuro","OK"))))))</f>
        <v/>
      </c>
    </row>
    <row r="3592" spans="9:12">
      <c r="I3592" s="5">
        <f>IF(OR(A3592="",B3592=""),"",B3592-WEEKDAY(B3592,2)+1)</f>
        <v/>
      </c>
      <c r="J3592" s="5">
        <f>IF(I3592="","",I3592+6)</f>
        <v/>
      </c>
      <c r="K3592" s="6">
        <f>IF(OR(A3592="",B3592=""),"",DATE(YEAR(B3592),MONTH(B3592),1))</f>
        <v/>
      </c>
      <c r="L3592" s="7">
        <f>IF(COUNTA(A3592,B3592)=0,"",IF(OR(A3592="",B3592=""),"Preencher CPF e entrada",IF(COUNTIFS($A$12:$A$5011,A3592,$B$12:$B$5011,B3592)&gt;1,"CPF + dia duplicado",IF(OR(AND(E3592&lt;&gt;"",E3592&lt;B3592),AND(F3592&lt;&gt;"",F3592&lt;B3592)),"Evento anterior à entrada",IF(AND(F3592&lt;&gt;"",E3592=""),"Conversa sem agendamento",IF(OR(E3592&gt;TODAY(),F3592&gt;TODAY()),"Verificar evento futuro","OK"))))))</f>
        <v/>
      </c>
    </row>
    <row r="3593" spans="9:12">
      <c r="I3593" s="5">
        <f>IF(OR(A3593="",B3593=""),"",B3593-WEEKDAY(B3593,2)+1)</f>
        <v/>
      </c>
      <c r="J3593" s="5">
        <f>IF(I3593="","",I3593+6)</f>
        <v/>
      </c>
      <c r="K3593" s="6">
        <f>IF(OR(A3593="",B3593=""),"",DATE(YEAR(B3593),MONTH(B3593),1))</f>
        <v/>
      </c>
      <c r="L3593" s="7">
        <f>IF(COUNTA(A3593,B3593)=0,"",IF(OR(A3593="",B3593=""),"Preencher CPF e entrada",IF(COUNTIFS($A$12:$A$5011,A3593,$B$12:$B$5011,B3593)&gt;1,"CPF + dia duplicado",IF(OR(AND(E3593&lt;&gt;"",E3593&lt;B3593),AND(F3593&lt;&gt;"",F3593&lt;B3593)),"Evento anterior à entrada",IF(AND(F3593&lt;&gt;"",E3593=""),"Conversa sem agendamento",IF(OR(E3593&gt;TODAY(),F3593&gt;TODAY()),"Verificar evento futuro","OK"))))))</f>
        <v/>
      </c>
    </row>
    <row r="3594" spans="9:12">
      <c r="I3594" s="5">
        <f>IF(OR(A3594="",B3594=""),"",B3594-WEEKDAY(B3594,2)+1)</f>
        <v/>
      </c>
      <c r="J3594" s="5">
        <f>IF(I3594="","",I3594+6)</f>
        <v/>
      </c>
      <c r="K3594" s="6">
        <f>IF(OR(A3594="",B3594=""),"",DATE(YEAR(B3594),MONTH(B3594),1))</f>
        <v/>
      </c>
      <c r="L3594" s="7">
        <f>IF(COUNTA(A3594,B3594)=0,"",IF(OR(A3594="",B3594=""),"Preencher CPF e entrada",IF(COUNTIFS($A$12:$A$5011,A3594,$B$12:$B$5011,B3594)&gt;1,"CPF + dia duplicado",IF(OR(AND(E3594&lt;&gt;"",E3594&lt;B3594),AND(F3594&lt;&gt;"",F3594&lt;B3594)),"Evento anterior à entrada",IF(AND(F3594&lt;&gt;"",E3594=""),"Conversa sem agendamento",IF(OR(E3594&gt;TODAY(),F3594&gt;TODAY()),"Verificar evento futuro","OK"))))))</f>
        <v/>
      </c>
    </row>
    <row r="3595" spans="9:12">
      <c r="I3595" s="5">
        <f>IF(OR(A3595="",B3595=""),"",B3595-WEEKDAY(B3595,2)+1)</f>
        <v/>
      </c>
      <c r="J3595" s="5">
        <f>IF(I3595="","",I3595+6)</f>
        <v/>
      </c>
      <c r="K3595" s="6">
        <f>IF(OR(A3595="",B3595=""),"",DATE(YEAR(B3595),MONTH(B3595),1))</f>
        <v/>
      </c>
      <c r="L3595" s="7">
        <f>IF(COUNTA(A3595,B3595)=0,"",IF(OR(A3595="",B3595=""),"Preencher CPF e entrada",IF(COUNTIFS($A$12:$A$5011,A3595,$B$12:$B$5011,B3595)&gt;1,"CPF + dia duplicado",IF(OR(AND(E3595&lt;&gt;"",E3595&lt;B3595),AND(F3595&lt;&gt;"",F3595&lt;B3595)),"Evento anterior à entrada",IF(AND(F3595&lt;&gt;"",E3595=""),"Conversa sem agendamento",IF(OR(E3595&gt;TODAY(),F3595&gt;TODAY()),"Verificar evento futuro","OK"))))))</f>
        <v/>
      </c>
    </row>
    <row r="3596" spans="9:12">
      <c r="I3596" s="5">
        <f>IF(OR(A3596="",B3596=""),"",B3596-WEEKDAY(B3596,2)+1)</f>
        <v/>
      </c>
      <c r="J3596" s="5">
        <f>IF(I3596="","",I3596+6)</f>
        <v/>
      </c>
      <c r="K3596" s="6">
        <f>IF(OR(A3596="",B3596=""),"",DATE(YEAR(B3596),MONTH(B3596),1))</f>
        <v/>
      </c>
      <c r="L3596" s="7">
        <f>IF(COUNTA(A3596,B3596)=0,"",IF(OR(A3596="",B3596=""),"Preencher CPF e entrada",IF(COUNTIFS($A$12:$A$5011,A3596,$B$12:$B$5011,B3596)&gt;1,"CPF + dia duplicado",IF(OR(AND(E3596&lt;&gt;"",E3596&lt;B3596),AND(F3596&lt;&gt;"",F3596&lt;B3596)),"Evento anterior à entrada",IF(AND(F3596&lt;&gt;"",E3596=""),"Conversa sem agendamento",IF(OR(E3596&gt;TODAY(),F3596&gt;TODAY()),"Verificar evento futuro","OK"))))))</f>
        <v/>
      </c>
    </row>
    <row r="3597" spans="9:12">
      <c r="I3597" s="5">
        <f>IF(OR(A3597="",B3597=""),"",B3597-WEEKDAY(B3597,2)+1)</f>
        <v/>
      </c>
      <c r="J3597" s="5">
        <f>IF(I3597="","",I3597+6)</f>
        <v/>
      </c>
      <c r="K3597" s="6">
        <f>IF(OR(A3597="",B3597=""),"",DATE(YEAR(B3597),MONTH(B3597),1))</f>
        <v/>
      </c>
      <c r="L3597" s="7">
        <f>IF(COUNTA(A3597,B3597)=0,"",IF(OR(A3597="",B3597=""),"Preencher CPF e entrada",IF(COUNTIFS($A$12:$A$5011,A3597,$B$12:$B$5011,B3597)&gt;1,"CPF + dia duplicado",IF(OR(AND(E3597&lt;&gt;"",E3597&lt;B3597),AND(F3597&lt;&gt;"",F3597&lt;B3597)),"Evento anterior à entrada",IF(AND(F3597&lt;&gt;"",E3597=""),"Conversa sem agendamento",IF(OR(E3597&gt;TODAY(),F3597&gt;TODAY()),"Verificar evento futuro","OK"))))))</f>
        <v/>
      </c>
    </row>
    <row r="3598" spans="9:12">
      <c r="I3598" s="5">
        <f>IF(OR(A3598="",B3598=""),"",B3598-WEEKDAY(B3598,2)+1)</f>
        <v/>
      </c>
      <c r="J3598" s="5">
        <f>IF(I3598="","",I3598+6)</f>
        <v/>
      </c>
      <c r="K3598" s="6">
        <f>IF(OR(A3598="",B3598=""),"",DATE(YEAR(B3598),MONTH(B3598),1))</f>
        <v/>
      </c>
      <c r="L3598" s="7">
        <f>IF(COUNTA(A3598,B3598)=0,"",IF(OR(A3598="",B3598=""),"Preencher CPF e entrada",IF(COUNTIFS($A$12:$A$5011,A3598,$B$12:$B$5011,B3598)&gt;1,"CPF + dia duplicado",IF(OR(AND(E3598&lt;&gt;"",E3598&lt;B3598),AND(F3598&lt;&gt;"",F3598&lt;B3598)),"Evento anterior à entrada",IF(AND(F3598&lt;&gt;"",E3598=""),"Conversa sem agendamento",IF(OR(E3598&gt;TODAY(),F3598&gt;TODAY()),"Verificar evento futuro","OK"))))))</f>
        <v/>
      </c>
    </row>
    <row r="3599" spans="9:12">
      <c r="I3599" s="5">
        <f>IF(OR(A3599="",B3599=""),"",B3599-WEEKDAY(B3599,2)+1)</f>
        <v/>
      </c>
      <c r="J3599" s="5">
        <f>IF(I3599="","",I3599+6)</f>
        <v/>
      </c>
      <c r="K3599" s="6">
        <f>IF(OR(A3599="",B3599=""),"",DATE(YEAR(B3599),MONTH(B3599),1))</f>
        <v/>
      </c>
      <c r="L3599" s="7">
        <f>IF(COUNTA(A3599,B3599)=0,"",IF(OR(A3599="",B3599=""),"Preencher CPF e entrada",IF(COUNTIFS($A$12:$A$5011,A3599,$B$12:$B$5011,B3599)&gt;1,"CPF + dia duplicado",IF(OR(AND(E3599&lt;&gt;"",E3599&lt;B3599),AND(F3599&lt;&gt;"",F3599&lt;B3599)),"Evento anterior à entrada",IF(AND(F3599&lt;&gt;"",E3599=""),"Conversa sem agendamento",IF(OR(E3599&gt;TODAY(),F3599&gt;TODAY()),"Verificar evento futuro","OK"))))))</f>
        <v/>
      </c>
    </row>
    <row r="3600" spans="9:12">
      <c r="I3600" s="5">
        <f>IF(OR(A3600="",B3600=""),"",B3600-WEEKDAY(B3600,2)+1)</f>
        <v/>
      </c>
      <c r="J3600" s="5">
        <f>IF(I3600="","",I3600+6)</f>
        <v/>
      </c>
      <c r="K3600" s="6">
        <f>IF(OR(A3600="",B3600=""),"",DATE(YEAR(B3600),MONTH(B3600),1))</f>
        <v/>
      </c>
      <c r="L3600" s="7">
        <f>IF(COUNTA(A3600,B3600)=0,"",IF(OR(A3600="",B3600=""),"Preencher CPF e entrada",IF(COUNTIFS($A$12:$A$5011,A3600,$B$12:$B$5011,B3600)&gt;1,"CPF + dia duplicado",IF(OR(AND(E3600&lt;&gt;"",E3600&lt;B3600),AND(F3600&lt;&gt;"",F3600&lt;B3600)),"Evento anterior à entrada",IF(AND(F3600&lt;&gt;"",E3600=""),"Conversa sem agendamento",IF(OR(E3600&gt;TODAY(),F3600&gt;TODAY()),"Verificar evento futuro","OK"))))))</f>
        <v/>
      </c>
    </row>
    <row r="3601" spans="9:12">
      <c r="I3601" s="5">
        <f>IF(OR(A3601="",B3601=""),"",B3601-WEEKDAY(B3601,2)+1)</f>
        <v/>
      </c>
      <c r="J3601" s="5">
        <f>IF(I3601="","",I3601+6)</f>
        <v/>
      </c>
      <c r="K3601" s="6">
        <f>IF(OR(A3601="",B3601=""),"",DATE(YEAR(B3601),MONTH(B3601),1))</f>
        <v/>
      </c>
      <c r="L3601" s="7">
        <f>IF(COUNTA(A3601,B3601)=0,"",IF(OR(A3601="",B3601=""),"Preencher CPF e entrada",IF(COUNTIFS($A$12:$A$5011,A3601,$B$12:$B$5011,B3601)&gt;1,"CPF + dia duplicado",IF(OR(AND(E3601&lt;&gt;"",E3601&lt;B3601),AND(F3601&lt;&gt;"",F3601&lt;B3601)),"Evento anterior à entrada",IF(AND(F3601&lt;&gt;"",E3601=""),"Conversa sem agendamento",IF(OR(E3601&gt;TODAY(),F3601&gt;TODAY()),"Verificar evento futuro","OK"))))))</f>
        <v/>
      </c>
    </row>
    <row r="3602" spans="9:12">
      <c r="I3602" s="5">
        <f>IF(OR(A3602="",B3602=""),"",B3602-WEEKDAY(B3602,2)+1)</f>
        <v/>
      </c>
      <c r="J3602" s="5">
        <f>IF(I3602="","",I3602+6)</f>
        <v/>
      </c>
      <c r="K3602" s="6">
        <f>IF(OR(A3602="",B3602=""),"",DATE(YEAR(B3602),MONTH(B3602),1))</f>
        <v/>
      </c>
      <c r="L3602" s="7">
        <f>IF(COUNTA(A3602,B3602)=0,"",IF(OR(A3602="",B3602=""),"Preencher CPF e entrada",IF(COUNTIFS($A$12:$A$5011,A3602,$B$12:$B$5011,B3602)&gt;1,"CPF + dia duplicado",IF(OR(AND(E3602&lt;&gt;"",E3602&lt;B3602),AND(F3602&lt;&gt;"",F3602&lt;B3602)),"Evento anterior à entrada",IF(AND(F3602&lt;&gt;"",E3602=""),"Conversa sem agendamento",IF(OR(E3602&gt;TODAY(),F3602&gt;TODAY()),"Verificar evento futuro","OK"))))))</f>
        <v/>
      </c>
    </row>
    <row r="3603" spans="9:12">
      <c r="I3603" s="5">
        <f>IF(OR(A3603="",B3603=""),"",B3603-WEEKDAY(B3603,2)+1)</f>
        <v/>
      </c>
      <c r="J3603" s="5">
        <f>IF(I3603="","",I3603+6)</f>
        <v/>
      </c>
      <c r="K3603" s="6">
        <f>IF(OR(A3603="",B3603=""),"",DATE(YEAR(B3603),MONTH(B3603),1))</f>
        <v/>
      </c>
      <c r="L3603" s="7">
        <f>IF(COUNTA(A3603,B3603)=0,"",IF(OR(A3603="",B3603=""),"Preencher CPF e entrada",IF(COUNTIFS($A$12:$A$5011,A3603,$B$12:$B$5011,B3603)&gt;1,"CPF + dia duplicado",IF(OR(AND(E3603&lt;&gt;"",E3603&lt;B3603),AND(F3603&lt;&gt;"",F3603&lt;B3603)),"Evento anterior à entrada",IF(AND(F3603&lt;&gt;"",E3603=""),"Conversa sem agendamento",IF(OR(E3603&gt;TODAY(),F3603&gt;TODAY()),"Verificar evento futuro","OK"))))))</f>
        <v/>
      </c>
    </row>
    <row r="3604" spans="9:12">
      <c r="I3604" s="5">
        <f>IF(OR(A3604="",B3604=""),"",B3604-WEEKDAY(B3604,2)+1)</f>
        <v/>
      </c>
      <c r="J3604" s="5">
        <f>IF(I3604="","",I3604+6)</f>
        <v/>
      </c>
      <c r="K3604" s="6">
        <f>IF(OR(A3604="",B3604=""),"",DATE(YEAR(B3604),MONTH(B3604),1))</f>
        <v/>
      </c>
      <c r="L3604" s="7">
        <f>IF(COUNTA(A3604,B3604)=0,"",IF(OR(A3604="",B3604=""),"Preencher CPF e entrada",IF(COUNTIFS($A$12:$A$5011,A3604,$B$12:$B$5011,B3604)&gt;1,"CPF + dia duplicado",IF(OR(AND(E3604&lt;&gt;"",E3604&lt;B3604),AND(F3604&lt;&gt;"",F3604&lt;B3604)),"Evento anterior à entrada",IF(AND(F3604&lt;&gt;"",E3604=""),"Conversa sem agendamento",IF(OR(E3604&gt;TODAY(),F3604&gt;TODAY()),"Verificar evento futuro","OK"))))))</f>
        <v/>
      </c>
    </row>
    <row r="3605" spans="9:12">
      <c r="I3605" s="5">
        <f>IF(OR(A3605="",B3605=""),"",B3605-WEEKDAY(B3605,2)+1)</f>
        <v/>
      </c>
      <c r="J3605" s="5">
        <f>IF(I3605="","",I3605+6)</f>
        <v/>
      </c>
      <c r="K3605" s="6">
        <f>IF(OR(A3605="",B3605=""),"",DATE(YEAR(B3605),MONTH(B3605),1))</f>
        <v/>
      </c>
      <c r="L3605" s="7">
        <f>IF(COUNTA(A3605,B3605)=0,"",IF(OR(A3605="",B3605=""),"Preencher CPF e entrada",IF(COUNTIFS($A$12:$A$5011,A3605,$B$12:$B$5011,B3605)&gt;1,"CPF + dia duplicado",IF(OR(AND(E3605&lt;&gt;"",E3605&lt;B3605),AND(F3605&lt;&gt;"",F3605&lt;B3605)),"Evento anterior à entrada",IF(AND(F3605&lt;&gt;"",E3605=""),"Conversa sem agendamento",IF(OR(E3605&gt;TODAY(),F3605&gt;TODAY()),"Verificar evento futuro","OK"))))))</f>
        <v/>
      </c>
    </row>
    <row r="3606" spans="9:12">
      <c r="I3606" s="5">
        <f>IF(OR(A3606="",B3606=""),"",B3606-WEEKDAY(B3606,2)+1)</f>
        <v/>
      </c>
      <c r="J3606" s="5">
        <f>IF(I3606="","",I3606+6)</f>
        <v/>
      </c>
      <c r="K3606" s="6">
        <f>IF(OR(A3606="",B3606=""),"",DATE(YEAR(B3606),MONTH(B3606),1))</f>
        <v/>
      </c>
      <c r="L3606" s="7">
        <f>IF(COUNTA(A3606,B3606)=0,"",IF(OR(A3606="",B3606=""),"Preencher CPF e entrada",IF(COUNTIFS($A$12:$A$5011,A3606,$B$12:$B$5011,B3606)&gt;1,"CPF + dia duplicado",IF(OR(AND(E3606&lt;&gt;"",E3606&lt;B3606),AND(F3606&lt;&gt;"",F3606&lt;B3606)),"Evento anterior à entrada",IF(AND(F3606&lt;&gt;"",E3606=""),"Conversa sem agendamento",IF(OR(E3606&gt;TODAY(),F3606&gt;TODAY()),"Verificar evento futuro","OK"))))))</f>
        <v/>
      </c>
    </row>
    <row r="3607" spans="9:12">
      <c r="I3607" s="5">
        <f>IF(OR(A3607="",B3607=""),"",B3607-WEEKDAY(B3607,2)+1)</f>
        <v/>
      </c>
      <c r="J3607" s="5">
        <f>IF(I3607="","",I3607+6)</f>
        <v/>
      </c>
      <c r="K3607" s="6">
        <f>IF(OR(A3607="",B3607=""),"",DATE(YEAR(B3607),MONTH(B3607),1))</f>
        <v/>
      </c>
      <c r="L3607" s="7">
        <f>IF(COUNTA(A3607,B3607)=0,"",IF(OR(A3607="",B3607=""),"Preencher CPF e entrada",IF(COUNTIFS($A$12:$A$5011,A3607,$B$12:$B$5011,B3607)&gt;1,"CPF + dia duplicado",IF(OR(AND(E3607&lt;&gt;"",E3607&lt;B3607),AND(F3607&lt;&gt;"",F3607&lt;B3607)),"Evento anterior à entrada",IF(AND(F3607&lt;&gt;"",E3607=""),"Conversa sem agendamento",IF(OR(E3607&gt;TODAY(),F3607&gt;TODAY()),"Verificar evento futuro","OK"))))))</f>
        <v/>
      </c>
    </row>
    <row r="3608" spans="9:12">
      <c r="I3608" s="5">
        <f>IF(OR(A3608="",B3608=""),"",B3608-WEEKDAY(B3608,2)+1)</f>
        <v/>
      </c>
      <c r="J3608" s="5">
        <f>IF(I3608="","",I3608+6)</f>
        <v/>
      </c>
      <c r="K3608" s="6">
        <f>IF(OR(A3608="",B3608=""),"",DATE(YEAR(B3608),MONTH(B3608),1))</f>
        <v/>
      </c>
      <c r="L3608" s="7">
        <f>IF(COUNTA(A3608,B3608)=0,"",IF(OR(A3608="",B3608=""),"Preencher CPF e entrada",IF(COUNTIFS($A$12:$A$5011,A3608,$B$12:$B$5011,B3608)&gt;1,"CPF + dia duplicado",IF(OR(AND(E3608&lt;&gt;"",E3608&lt;B3608),AND(F3608&lt;&gt;"",F3608&lt;B3608)),"Evento anterior à entrada",IF(AND(F3608&lt;&gt;"",E3608=""),"Conversa sem agendamento",IF(OR(E3608&gt;TODAY(),F3608&gt;TODAY()),"Verificar evento futuro","OK"))))))</f>
        <v/>
      </c>
    </row>
    <row r="3609" spans="9:12">
      <c r="I3609" s="5">
        <f>IF(OR(A3609="",B3609=""),"",B3609-WEEKDAY(B3609,2)+1)</f>
        <v/>
      </c>
      <c r="J3609" s="5">
        <f>IF(I3609="","",I3609+6)</f>
        <v/>
      </c>
      <c r="K3609" s="6">
        <f>IF(OR(A3609="",B3609=""),"",DATE(YEAR(B3609),MONTH(B3609),1))</f>
        <v/>
      </c>
      <c r="L3609" s="7">
        <f>IF(COUNTA(A3609,B3609)=0,"",IF(OR(A3609="",B3609=""),"Preencher CPF e entrada",IF(COUNTIFS($A$12:$A$5011,A3609,$B$12:$B$5011,B3609)&gt;1,"CPF + dia duplicado",IF(OR(AND(E3609&lt;&gt;"",E3609&lt;B3609),AND(F3609&lt;&gt;"",F3609&lt;B3609)),"Evento anterior à entrada",IF(AND(F3609&lt;&gt;"",E3609=""),"Conversa sem agendamento",IF(OR(E3609&gt;TODAY(),F3609&gt;TODAY()),"Verificar evento futuro","OK"))))))</f>
        <v/>
      </c>
    </row>
    <row r="3610" spans="9:12">
      <c r="I3610" s="5">
        <f>IF(OR(A3610="",B3610=""),"",B3610-WEEKDAY(B3610,2)+1)</f>
        <v/>
      </c>
      <c r="J3610" s="5">
        <f>IF(I3610="","",I3610+6)</f>
        <v/>
      </c>
      <c r="K3610" s="6">
        <f>IF(OR(A3610="",B3610=""),"",DATE(YEAR(B3610),MONTH(B3610),1))</f>
        <v/>
      </c>
      <c r="L3610" s="7">
        <f>IF(COUNTA(A3610,B3610)=0,"",IF(OR(A3610="",B3610=""),"Preencher CPF e entrada",IF(COUNTIFS($A$12:$A$5011,A3610,$B$12:$B$5011,B3610)&gt;1,"CPF + dia duplicado",IF(OR(AND(E3610&lt;&gt;"",E3610&lt;B3610),AND(F3610&lt;&gt;"",F3610&lt;B3610)),"Evento anterior à entrada",IF(AND(F3610&lt;&gt;"",E3610=""),"Conversa sem agendamento",IF(OR(E3610&gt;TODAY(),F3610&gt;TODAY()),"Verificar evento futuro","OK"))))))</f>
        <v/>
      </c>
    </row>
    <row r="3611" spans="9:12">
      <c r="I3611" s="5">
        <f>IF(OR(A3611="",B3611=""),"",B3611-WEEKDAY(B3611,2)+1)</f>
        <v/>
      </c>
      <c r="J3611" s="5">
        <f>IF(I3611="","",I3611+6)</f>
        <v/>
      </c>
      <c r="K3611" s="6">
        <f>IF(OR(A3611="",B3611=""),"",DATE(YEAR(B3611),MONTH(B3611),1))</f>
        <v/>
      </c>
      <c r="L3611" s="7">
        <f>IF(COUNTA(A3611,B3611)=0,"",IF(OR(A3611="",B3611=""),"Preencher CPF e entrada",IF(COUNTIFS($A$12:$A$5011,A3611,$B$12:$B$5011,B3611)&gt;1,"CPF + dia duplicado",IF(OR(AND(E3611&lt;&gt;"",E3611&lt;B3611),AND(F3611&lt;&gt;"",F3611&lt;B3611)),"Evento anterior à entrada",IF(AND(F3611&lt;&gt;"",E3611=""),"Conversa sem agendamento",IF(OR(E3611&gt;TODAY(),F3611&gt;TODAY()),"Verificar evento futuro","OK"))))))</f>
        <v/>
      </c>
    </row>
    <row r="3612" spans="9:12">
      <c r="I3612" s="5">
        <f>IF(OR(A3612="",B3612=""),"",B3612-WEEKDAY(B3612,2)+1)</f>
        <v/>
      </c>
      <c r="J3612" s="5">
        <f>IF(I3612="","",I3612+6)</f>
        <v/>
      </c>
      <c r="K3612" s="6">
        <f>IF(OR(A3612="",B3612=""),"",DATE(YEAR(B3612),MONTH(B3612),1))</f>
        <v/>
      </c>
      <c r="L3612" s="7">
        <f>IF(COUNTA(A3612,B3612)=0,"",IF(OR(A3612="",B3612=""),"Preencher CPF e entrada",IF(COUNTIFS($A$12:$A$5011,A3612,$B$12:$B$5011,B3612)&gt;1,"CPF + dia duplicado",IF(OR(AND(E3612&lt;&gt;"",E3612&lt;B3612),AND(F3612&lt;&gt;"",F3612&lt;B3612)),"Evento anterior à entrada",IF(AND(F3612&lt;&gt;"",E3612=""),"Conversa sem agendamento",IF(OR(E3612&gt;TODAY(),F3612&gt;TODAY()),"Verificar evento futuro","OK"))))))</f>
        <v/>
      </c>
    </row>
    <row r="3613" spans="9:12">
      <c r="I3613" s="5">
        <f>IF(OR(A3613="",B3613=""),"",B3613-WEEKDAY(B3613,2)+1)</f>
        <v/>
      </c>
      <c r="J3613" s="5">
        <f>IF(I3613="","",I3613+6)</f>
        <v/>
      </c>
      <c r="K3613" s="6">
        <f>IF(OR(A3613="",B3613=""),"",DATE(YEAR(B3613),MONTH(B3613),1))</f>
        <v/>
      </c>
      <c r="L3613" s="7">
        <f>IF(COUNTA(A3613,B3613)=0,"",IF(OR(A3613="",B3613=""),"Preencher CPF e entrada",IF(COUNTIFS($A$12:$A$5011,A3613,$B$12:$B$5011,B3613)&gt;1,"CPF + dia duplicado",IF(OR(AND(E3613&lt;&gt;"",E3613&lt;B3613),AND(F3613&lt;&gt;"",F3613&lt;B3613)),"Evento anterior à entrada",IF(AND(F3613&lt;&gt;"",E3613=""),"Conversa sem agendamento",IF(OR(E3613&gt;TODAY(),F3613&gt;TODAY()),"Verificar evento futuro","OK"))))))</f>
        <v/>
      </c>
    </row>
    <row r="3614" spans="9:12">
      <c r="I3614" s="5">
        <f>IF(OR(A3614="",B3614=""),"",B3614-WEEKDAY(B3614,2)+1)</f>
        <v/>
      </c>
      <c r="J3614" s="5">
        <f>IF(I3614="","",I3614+6)</f>
        <v/>
      </c>
      <c r="K3614" s="6">
        <f>IF(OR(A3614="",B3614=""),"",DATE(YEAR(B3614),MONTH(B3614),1))</f>
        <v/>
      </c>
      <c r="L3614" s="7">
        <f>IF(COUNTA(A3614,B3614)=0,"",IF(OR(A3614="",B3614=""),"Preencher CPF e entrada",IF(COUNTIFS($A$12:$A$5011,A3614,$B$12:$B$5011,B3614)&gt;1,"CPF + dia duplicado",IF(OR(AND(E3614&lt;&gt;"",E3614&lt;B3614),AND(F3614&lt;&gt;"",F3614&lt;B3614)),"Evento anterior à entrada",IF(AND(F3614&lt;&gt;"",E3614=""),"Conversa sem agendamento",IF(OR(E3614&gt;TODAY(),F3614&gt;TODAY()),"Verificar evento futuro","OK"))))))</f>
        <v/>
      </c>
    </row>
    <row r="3615" spans="9:12">
      <c r="I3615" s="5">
        <f>IF(OR(A3615="",B3615=""),"",B3615-WEEKDAY(B3615,2)+1)</f>
        <v/>
      </c>
      <c r="J3615" s="5">
        <f>IF(I3615="","",I3615+6)</f>
        <v/>
      </c>
      <c r="K3615" s="6">
        <f>IF(OR(A3615="",B3615=""),"",DATE(YEAR(B3615),MONTH(B3615),1))</f>
        <v/>
      </c>
      <c r="L3615" s="7">
        <f>IF(COUNTA(A3615,B3615)=0,"",IF(OR(A3615="",B3615=""),"Preencher CPF e entrada",IF(COUNTIFS($A$12:$A$5011,A3615,$B$12:$B$5011,B3615)&gt;1,"CPF + dia duplicado",IF(OR(AND(E3615&lt;&gt;"",E3615&lt;B3615),AND(F3615&lt;&gt;"",F3615&lt;B3615)),"Evento anterior à entrada",IF(AND(F3615&lt;&gt;"",E3615=""),"Conversa sem agendamento",IF(OR(E3615&gt;TODAY(),F3615&gt;TODAY()),"Verificar evento futuro","OK"))))))</f>
        <v/>
      </c>
    </row>
    <row r="3616" spans="9:12">
      <c r="I3616" s="5">
        <f>IF(OR(A3616="",B3616=""),"",B3616-WEEKDAY(B3616,2)+1)</f>
        <v/>
      </c>
      <c r="J3616" s="5">
        <f>IF(I3616="","",I3616+6)</f>
        <v/>
      </c>
      <c r="K3616" s="6">
        <f>IF(OR(A3616="",B3616=""),"",DATE(YEAR(B3616),MONTH(B3616),1))</f>
        <v/>
      </c>
      <c r="L3616" s="7">
        <f>IF(COUNTA(A3616,B3616)=0,"",IF(OR(A3616="",B3616=""),"Preencher CPF e entrada",IF(COUNTIFS($A$12:$A$5011,A3616,$B$12:$B$5011,B3616)&gt;1,"CPF + dia duplicado",IF(OR(AND(E3616&lt;&gt;"",E3616&lt;B3616),AND(F3616&lt;&gt;"",F3616&lt;B3616)),"Evento anterior à entrada",IF(AND(F3616&lt;&gt;"",E3616=""),"Conversa sem agendamento",IF(OR(E3616&gt;TODAY(),F3616&gt;TODAY()),"Verificar evento futuro","OK"))))))</f>
        <v/>
      </c>
    </row>
    <row r="3617" spans="9:12">
      <c r="I3617" s="5">
        <f>IF(OR(A3617="",B3617=""),"",B3617-WEEKDAY(B3617,2)+1)</f>
        <v/>
      </c>
      <c r="J3617" s="5">
        <f>IF(I3617="","",I3617+6)</f>
        <v/>
      </c>
      <c r="K3617" s="6">
        <f>IF(OR(A3617="",B3617=""),"",DATE(YEAR(B3617),MONTH(B3617),1))</f>
        <v/>
      </c>
      <c r="L3617" s="7">
        <f>IF(COUNTA(A3617,B3617)=0,"",IF(OR(A3617="",B3617=""),"Preencher CPF e entrada",IF(COUNTIFS($A$12:$A$5011,A3617,$B$12:$B$5011,B3617)&gt;1,"CPF + dia duplicado",IF(OR(AND(E3617&lt;&gt;"",E3617&lt;B3617),AND(F3617&lt;&gt;"",F3617&lt;B3617)),"Evento anterior à entrada",IF(AND(F3617&lt;&gt;"",E3617=""),"Conversa sem agendamento",IF(OR(E3617&gt;TODAY(),F3617&gt;TODAY()),"Verificar evento futuro","OK"))))))</f>
        <v/>
      </c>
    </row>
    <row r="3618" spans="9:12">
      <c r="I3618" s="5">
        <f>IF(OR(A3618="",B3618=""),"",B3618-WEEKDAY(B3618,2)+1)</f>
        <v/>
      </c>
      <c r="J3618" s="5">
        <f>IF(I3618="","",I3618+6)</f>
        <v/>
      </c>
      <c r="K3618" s="6">
        <f>IF(OR(A3618="",B3618=""),"",DATE(YEAR(B3618),MONTH(B3618),1))</f>
        <v/>
      </c>
      <c r="L3618" s="7">
        <f>IF(COUNTA(A3618,B3618)=0,"",IF(OR(A3618="",B3618=""),"Preencher CPF e entrada",IF(COUNTIFS($A$12:$A$5011,A3618,$B$12:$B$5011,B3618)&gt;1,"CPF + dia duplicado",IF(OR(AND(E3618&lt;&gt;"",E3618&lt;B3618),AND(F3618&lt;&gt;"",F3618&lt;B3618)),"Evento anterior à entrada",IF(AND(F3618&lt;&gt;"",E3618=""),"Conversa sem agendamento",IF(OR(E3618&gt;TODAY(),F3618&gt;TODAY()),"Verificar evento futuro","OK"))))))</f>
        <v/>
      </c>
    </row>
    <row r="3619" spans="9:12">
      <c r="I3619" s="5">
        <f>IF(OR(A3619="",B3619=""),"",B3619-WEEKDAY(B3619,2)+1)</f>
        <v/>
      </c>
      <c r="J3619" s="5">
        <f>IF(I3619="","",I3619+6)</f>
        <v/>
      </c>
      <c r="K3619" s="6">
        <f>IF(OR(A3619="",B3619=""),"",DATE(YEAR(B3619),MONTH(B3619),1))</f>
        <v/>
      </c>
      <c r="L3619" s="7">
        <f>IF(COUNTA(A3619,B3619)=0,"",IF(OR(A3619="",B3619=""),"Preencher CPF e entrada",IF(COUNTIFS($A$12:$A$5011,A3619,$B$12:$B$5011,B3619)&gt;1,"CPF + dia duplicado",IF(OR(AND(E3619&lt;&gt;"",E3619&lt;B3619),AND(F3619&lt;&gt;"",F3619&lt;B3619)),"Evento anterior à entrada",IF(AND(F3619&lt;&gt;"",E3619=""),"Conversa sem agendamento",IF(OR(E3619&gt;TODAY(),F3619&gt;TODAY()),"Verificar evento futuro","OK"))))))</f>
        <v/>
      </c>
    </row>
    <row r="3620" spans="9:12">
      <c r="I3620" s="5">
        <f>IF(OR(A3620="",B3620=""),"",B3620-WEEKDAY(B3620,2)+1)</f>
        <v/>
      </c>
      <c r="J3620" s="5">
        <f>IF(I3620="","",I3620+6)</f>
        <v/>
      </c>
      <c r="K3620" s="6">
        <f>IF(OR(A3620="",B3620=""),"",DATE(YEAR(B3620),MONTH(B3620),1))</f>
        <v/>
      </c>
      <c r="L3620" s="7">
        <f>IF(COUNTA(A3620,B3620)=0,"",IF(OR(A3620="",B3620=""),"Preencher CPF e entrada",IF(COUNTIFS($A$12:$A$5011,A3620,$B$12:$B$5011,B3620)&gt;1,"CPF + dia duplicado",IF(OR(AND(E3620&lt;&gt;"",E3620&lt;B3620),AND(F3620&lt;&gt;"",F3620&lt;B3620)),"Evento anterior à entrada",IF(AND(F3620&lt;&gt;"",E3620=""),"Conversa sem agendamento",IF(OR(E3620&gt;TODAY(),F3620&gt;TODAY()),"Verificar evento futuro","OK"))))))</f>
        <v/>
      </c>
    </row>
    <row r="3621" spans="9:12">
      <c r="I3621" s="5">
        <f>IF(OR(A3621="",B3621=""),"",B3621-WEEKDAY(B3621,2)+1)</f>
        <v/>
      </c>
      <c r="J3621" s="5">
        <f>IF(I3621="","",I3621+6)</f>
        <v/>
      </c>
      <c r="K3621" s="6">
        <f>IF(OR(A3621="",B3621=""),"",DATE(YEAR(B3621),MONTH(B3621),1))</f>
        <v/>
      </c>
      <c r="L3621" s="7">
        <f>IF(COUNTA(A3621,B3621)=0,"",IF(OR(A3621="",B3621=""),"Preencher CPF e entrada",IF(COUNTIFS($A$12:$A$5011,A3621,$B$12:$B$5011,B3621)&gt;1,"CPF + dia duplicado",IF(OR(AND(E3621&lt;&gt;"",E3621&lt;B3621),AND(F3621&lt;&gt;"",F3621&lt;B3621)),"Evento anterior à entrada",IF(AND(F3621&lt;&gt;"",E3621=""),"Conversa sem agendamento",IF(OR(E3621&gt;TODAY(),F3621&gt;TODAY()),"Verificar evento futuro","OK"))))))</f>
        <v/>
      </c>
    </row>
    <row r="3622" spans="9:12">
      <c r="I3622" s="5">
        <f>IF(OR(A3622="",B3622=""),"",B3622-WEEKDAY(B3622,2)+1)</f>
        <v/>
      </c>
      <c r="J3622" s="5">
        <f>IF(I3622="","",I3622+6)</f>
        <v/>
      </c>
      <c r="K3622" s="6">
        <f>IF(OR(A3622="",B3622=""),"",DATE(YEAR(B3622),MONTH(B3622),1))</f>
        <v/>
      </c>
      <c r="L3622" s="7">
        <f>IF(COUNTA(A3622,B3622)=0,"",IF(OR(A3622="",B3622=""),"Preencher CPF e entrada",IF(COUNTIFS($A$12:$A$5011,A3622,$B$12:$B$5011,B3622)&gt;1,"CPF + dia duplicado",IF(OR(AND(E3622&lt;&gt;"",E3622&lt;B3622),AND(F3622&lt;&gt;"",F3622&lt;B3622)),"Evento anterior à entrada",IF(AND(F3622&lt;&gt;"",E3622=""),"Conversa sem agendamento",IF(OR(E3622&gt;TODAY(),F3622&gt;TODAY()),"Verificar evento futuro","OK"))))))</f>
        <v/>
      </c>
    </row>
    <row r="3623" spans="9:12">
      <c r="I3623" s="5">
        <f>IF(OR(A3623="",B3623=""),"",B3623-WEEKDAY(B3623,2)+1)</f>
        <v/>
      </c>
      <c r="J3623" s="5">
        <f>IF(I3623="","",I3623+6)</f>
        <v/>
      </c>
      <c r="K3623" s="6">
        <f>IF(OR(A3623="",B3623=""),"",DATE(YEAR(B3623),MONTH(B3623),1))</f>
        <v/>
      </c>
      <c r="L3623" s="7">
        <f>IF(COUNTA(A3623,B3623)=0,"",IF(OR(A3623="",B3623=""),"Preencher CPF e entrada",IF(COUNTIFS($A$12:$A$5011,A3623,$B$12:$B$5011,B3623)&gt;1,"CPF + dia duplicado",IF(OR(AND(E3623&lt;&gt;"",E3623&lt;B3623),AND(F3623&lt;&gt;"",F3623&lt;B3623)),"Evento anterior à entrada",IF(AND(F3623&lt;&gt;"",E3623=""),"Conversa sem agendamento",IF(OR(E3623&gt;TODAY(),F3623&gt;TODAY()),"Verificar evento futuro","OK"))))))</f>
        <v/>
      </c>
    </row>
    <row r="3624" spans="9:12">
      <c r="I3624" s="5">
        <f>IF(OR(A3624="",B3624=""),"",B3624-WEEKDAY(B3624,2)+1)</f>
        <v/>
      </c>
      <c r="J3624" s="5">
        <f>IF(I3624="","",I3624+6)</f>
        <v/>
      </c>
      <c r="K3624" s="6">
        <f>IF(OR(A3624="",B3624=""),"",DATE(YEAR(B3624),MONTH(B3624),1))</f>
        <v/>
      </c>
      <c r="L3624" s="7">
        <f>IF(COUNTA(A3624,B3624)=0,"",IF(OR(A3624="",B3624=""),"Preencher CPF e entrada",IF(COUNTIFS($A$12:$A$5011,A3624,$B$12:$B$5011,B3624)&gt;1,"CPF + dia duplicado",IF(OR(AND(E3624&lt;&gt;"",E3624&lt;B3624),AND(F3624&lt;&gt;"",F3624&lt;B3624)),"Evento anterior à entrada",IF(AND(F3624&lt;&gt;"",E3624=""),"Conversa sem agendamento",IF(OR(E3624&gt;TODAY(),F3624&gt;TODAY()),"Verificar evento futuro","OK"))))))</f>
        <v/>
      </c>
    </row>
    <row r="3625" spans="9:12">
      <c r="I3625" s="5">
        <f>IF(OR(A3625="",B3625=""),"",B3625-WEEKDAY(B3625,2)+1)</f>
        <v/>
      </c>
      <c r="J3625" s="5">
        <f>IF(I3625="","",I3625+6)</f>
        <v/>
      </c>
      <c r="K3625" s="6">
        <f>IF(OR(A3625="",B3625=""),"",DATE(YEAR(B3625),MONTH(B3625),1))</f>
        <v/>
      </c>
      <c r="L3625" s="7">
        <f>IF(COUNTA(A3625,B3625)=0,"",IF(OR(A3625="",B3625=""),"Preencher CPF e entrada",IF(COUNTIFS($A$12:$A$5011,A3625,$B$12:$B$5011,B3625)&gt;1,"CPF + dia duplicado",IF(OR(AND(E3625&lt;&gt;"",E3625&lt;B3625),AND(F3625&lt;&gt;"",F3625&lt;B3625)),"Evento anterior à entrada",IF(AND(F3625&lt;&gt;"",E3625=""),"Conversa sem agendamento",IF(OR(E3625&gt;TODAY(),F3625&gt;TODAY()),"Verificar evento futuro","OK"))))))</f>
        <v/>
      </c>
    </row>
    <row r="3626" spans="9:12">
      <c r="I3626" s="5">
        <f>IF(OR(A3626="",B3626=""),"",B3626-WEEKDAY(B3626,2)+1)</f>
        <v/>
      </c>
      <c r="J3626" s="5">
        <f>IF(I3626="","",I3626+6)</f>
        <v/>
      </c>
      <c r="K3626" s="6">
        <f>IF(OR(A3626="",B3626=""),"",DATE(YEAR(B3626),MONTH(B3626),1))</f>
        <v/>
      </c>
      <c r="L3626" s="7">
        <f>IF(COUNTA(A3626,B3626)=0,"",IF(OR(A3626="",B3626=""),"Preencher CPF e entrada",IF(COUNTIFS($A$12:$A$5011,A3626,$B$12:$B$5011,B3626)&gt;1,"CPF + dia duplicado",IF(OR(AND(E3626&lt;&gt;"",E3626&lt;B3626),AND(F3626&lt;&gt;"",F3626&lt;B3626)),"Evento anterior à entrada",IF(AND(F3626&lt;&gt;"",E3626=""),"Conversa sem agendamento",IF(OR(E3626&gt;TODAY(),F3626&gt;TODAY()),"Verificar evento futuro","OK"))))))</f>
        <v/>
      </c>
    </row>
    <row r="3627" spans="9:12">
      <c r="I3627" s="5">
        <f>IF(OR(A3627="",B3627=""),"",B3627-WEEKDAY(B3627,2)+1)</f>
        <v/>
      </c>
      <c r="J3627" s="5">
        <f>IF(I3627="","",I3627+6)</f>
        <v/>
      </c>
      <c r="K3627" s="6">
        <f>IF(OR(A3627="",B3627=""),"",DATE(YEAR(B3627),MONTH(B3627),1))</f>
        <v/>
      </c>
      <c r="L3627" s="7">
        <f>IF(COUNTA(A3627,B3627)=0,"",IF(OR(A3627="",B3627=""),"Preencher CPF e entrada",IF(COUNTIFS($A$12:$A$5011,A3627,$B$12:$B$5011,B3627)&gt;1,"CPF + dia duplicado",IF(OR(AND(E3627&lt;&gt;"",E3627&lt;B3627),AND(F3627&lt;&gt;"",F3627&lt;B3627)),"Evento anterior à entrada",IF(AND(F3627&lt;&gt;"",E3627=""),"Conversa sem agendamento",IF(OR(E3627&gt;TODAY(),F3627&gt;TODAY()),"Verificar evento futuro","OK"))))))</f>
        <v/>
      </c>
    </row>
    <row r="3628" spans="9:12">
      <c r="I3628" s="5">
        <f>IF(OR(A3628="",B3628=""),"",B3628-WEEKDAY(B3628,2)+1)</f>
        <v/>
      </c>
      <c r="J3628" s="5">
        <f>IF(I3628="","",I3628+6)</f>
        <v/>
      </c>
      <c r="K3628" s="6">
        <f>IF(OR(A3628="",B3628=""),"",DATE(YEAR(B3628),MONTH(B3628),1))</f>
        <v/>
      </c>
      <c r="L3628" s="7">
        <f>IF(COUNTA(A3628,B3628)=0,"",IF(OR(A3628="",B3628=""),"Preencher CPF e entrada",IF(COUNTIFS($A$12:$A$5011,A3628,$B$12:$B$5011,B3628)&gt;1,"CPF + dia duplicado",IF(OR(AND(E3628&lt;&gt;"",E3628&lt;B3628),AND(F3628&lt;&gt;"",F3628&lt;B3628)),"Evento anterior à entrada",IF(AND(F3628&lt;&gt;"",E3628=""),"Conversa sem agendamento",IF(OR(E3628&gt;TODAY(),F3628&gt;TODAY()),"Verificar evento futuro","OK"))))))</f>
        <v/>
      </c>
    </row>
    <row r="3629" spans="9:12">
      <c r="I3629" s="5">
        <f>IF(OR(A3629="",B3629=""),"",B3629-WEEKDAY(B3629,2)+1)</f>
        <v/>
      </c>
      <c r="J3629" s="5">
        <f>IF(I3629="","",I3629+6)</f>
        <v/>
      </c>
      <c r="K3629" s="6">
        <f>IF(OR(A3629="",B3629=""),"",DATE(YEAR(B3629),MONTH(B3629),1))</f>
        <v/>
      </c>
      <c r="L3629" s="7">
        <f>IF(COUNTA(A3629,B3629)=0,"",IF(OR(A3629="",B3629=""),"Preencher CPF e entrada",IF(COUNTIFS($A$12:$A$5011,A3629,$B$12:$B$5011,B3629)&gt;1,"CPF + dia duplicado",IF(OR(AND(E3629&lt;&gt;"",E3629&lt;B3629),AND(F3629&lt;&gt;"",F3629&lt;B3629)),"Evento anterior à entrada",IF(AND(F3629&lt;&gt;"",E3629=""),"Conversa sem agendamento",IF(OR(E3629&gt;TODAY(),F3629&gt;TODAY()),"Verificar evento futuro","OK"))))))</f>
        <v/>
      </c>
    </row>
    <row r="3630" spans="9:12">
      <c r="I3630" s="5">
        <f>IF(OR(A3630="",B3630=""),"",B3630-WEEKDAY(B3630,2)+1)</f>
        <v/>
      </c>
      <c r="J3630" s="5">
        <f>IF(I3630="","",I3630+6)</f>
        <v/>
      </c>
      <c r="K3630" s="6">
        <f>IF(OR(A3630="",B3630=""),"",DATE(YEAR(B3630),MONTH(B3630),1))</f>
        <v/>
      </c>
      <c r="L3630" s="7">
        <f>IF(COUNTA(A3630,B3630)=0,"",IF(OR(A3630="",B3630=""),"Preencher CPF e entrada",IF(COUNTIFS($A$12:$A$5011,A3630,$B$12:$B$5011,B3630)&gt;1,"CPF + dia duplicado",IF(OR(AND(E3630&lt;&gt;"",E3630&lt;B3630),AND(F3630&lt;&gt;"",F3630&lt;B3630)),"Evento anterior à entrada",IF(AND(F3630&lt;&gt;"",E3630=""),"Conversa sem agendamento",IF(OR(E3630&gt;TODAY(),F3630&gt;TODAY()),"Verificar evento futuro","OK"))))))</f>
        <v/>
      </c>
    </row>
    <row r="3631" spans="9:12">
      <c r="I3631" s="5">
        <f>IF(OR(A3631="",B3631=""),"",B3631-WEEKDAY(B3631,2)+1)</f>
        <v/>
      </c>
      <c r="J3631" s="5">
        <f>IF(I3631="","",I3631+6)</f>
        <v/>
      </c>
      <c r="K3631" s="6">
        <f>IF(OR(A3631="",B3631=""),"",DATE(YEAR(B3631),MONTH(B3631),1))</f>
        <v/>
      </c>
      <c r="L3631" s="7">
        <f>IF(COUNTA(A3631,B3631)=0,"",IF(OR(A3631="",B3631=""),"Preencher CPF e entrada",IF(COUNTIFS($A$12:$A$5011,A3631,$B$12:$B$5011,B3631)&gt;1,"CPF + dia duplicado",IF(OR(AND(E3631&lt;&gt;"",E3631&lt;B3631),AND(F3631&lt;&gt;"",F3631&lt;B3631)),"Evento anterior à entrada",IF(AND(F3631&lt;&gt;"",E3631=""),"Conversa sem agendamento",IF(OR(E3631&gt;TODAY(),F3631&gt;TODAY()),"Verificar evento futuro","OK"))))))</f>
        <v/>
      </c>
    </row>
    <row r="3632" spans="9:12">
      <c r="I3632" s="5">
        <f>IF(OR(A3632="",B3632=""),"",B3632-WEEKDAY(B3632,2)+1)</f>
        <v/>
      </c>
      <c r="J3632" s="5">
        <f>IF(I3632="","",I3632+6)</f>
        <v/>
      </c>
      <c r="K3632" s="6">
        <f>IF(OR(A3632="",B3632=""),"",DATE(YEAR(B3632),MONTH(B3632),1))</f>
        <v/>
      </c>
      <c r="L3632" s="7">
        <f>IF(COUNTA(A3632,B3632)=0,"",IF(OR(A3632="",B3632=""),"Preencher CPF e entrada",IF(COUNTIFS($A$12:$A$5011,A3632,$B$12:$B$5011,B3632)&gt;1,"CPF + dia duplicado",IF(OR(AND(E3632&lt;&gt;"",E3632&lt;B3632),AND(F3632&lt;&gt;"",F3632&lt;B3632)),"Evento anterior à entrada",IF(AND(F3632&lt;&gt;"",E3632=""),"Conversa sem agendamento",IF(OR(E3632&gt;TODAY(),F3632&gt;TODAY()),"Verificar evento futuro","OK"))))))</f>
        <v/>
      </c>
    </row>
    <row r="3633" spans="9:12">
      <c r="I3633" s="5">
        <f>IF(OR(A3633="",B3633=""),"",B3633-WEEKDAY(B3633,2)+1)</f>
        <v/>
      </c>
      <c r="J3633" s="5">
        <f>IF(I3633="","",I3633+6)</f>
        <v/>
      </c>
      <c r="K3633" s="6">
        <f>IF(OR(A3633="",B3633=""),"",DATE(YEAR(B3633),MONTH(B3633),1))</f>
        <v/>
      </c>
      <c r="L3633" s="7">
        <f>IF(COUNTA(A3633,B3633)=0,"",IF(OR(A3633="",B3633=""),"Preencher CPF e entrada",IF(COUNTIFS($A$12:$A$5011,A3633,$B$12:$B$5011,B3633)&gt;1,"CPF + dia duplicado",IF(OR(AND(E3633&lt;&gt;"",E3633&lt;B3633),AND(F3633&lt;&gt;"",F3633&lt;B3633)),"Evento anterior à entrada",IF(AND(F3633&lt;&gt;"",E3633=""),"Conversa sem agendamento",IF(OR(E3633&gt;TODAY(),F3633&gt;TODAY()),"Verificar evento futuro","OK"))))))</f>
        <v/>
      </c>
    </row>
    <row r="3634" spans="9:12">
      <c r="I3634" s="5">
        <f>IF(OR(A3634="",B3634=""),"",B3634-WEEKDAY(B3634,2)+1)</f>
        <v/>
      </c>
      <c r="J3634" s="5">
        <f>IF(I3634="","",I3634+6)</f>
        <v/>
      </c>
      <c r="K3634" s="6">
        <f>IF(OR(A3634="",B3634=""),"",DATE(YEAR(B3634),MONTH(B3634),1))</f>
        <v/>
      </c>
      <c r="L3634" s="7">
        <f>IF(COUNTA(A3634,B3634)=0,"",IF(OR(A3634="",B3634=""),"Preencher CPF e entrada",IF(COUNTIFS($A$12:$A$5011,A3634,$B$12:$B$5011,B3634)&gt;1,"CPF + dia duplicado",IF(OR(AND(E3634&lt;&gt;"",E3634&lt;B3634),AND(F3634&lt;&gt;"",F3634&lt;B3634)),"Evento anterior à entrada",IF(AND(F3634&lt;&gt;"",E3634=""),"Conversa sem agendamento",IF(OR(E3634&gt;TODAY(),F3634&gt;TODAY()),"Verificar evento futuro","OK"))))))</f>
        <v/>
      </c>
    </row>
    <row r="3635" spans="9:12">
      <c r="I3635" s="5">
        <f>IF(OR(A3635="",B3635=""),"",B3635-WEEKDAY(B3635,2)+1)</f>
        <v/>
      </c>
      <c r="J3635" s="5">
        <f>IF(I3635="","",I3635+6)</f>
        <v/>
      </c>
      <c r="K3635" s="6">
        <f>IF(OR(A3635="",B3635=""),"",DATE(YEAR(B3635),MONTH(B3635),1))</f>
        <v/>
      </c>
      <c r="L3635" s="7">
        <f>IF(COUNTA(A3635,B3635)=0,"",IF(OR(A3635="",B3635=""),"Preencher CPF e entrada",IF(COUNTIFS($A$12:$A$5011,A3635,$B$12:$B$5011,B3635)&gt;1,"CPF + dia duplicado",IF(OR(AND(E3635&lt;&gt;"",E3635&lt;B3635),AND(F3635&lt;&gt;"",F3635&lt;B3635)),"Evento anterior à entrada",IF(AND(F3635&lt;&gt;"",E3635=""),"Conversa sem agendamento",IF(OR(E3635&gt;TODAY(),F3635&gt;TODAY()),"Verificar evento futuro","OK"))))))</f>
        <v/>
      </c>
    </row>
    <row r="3636" spans="9:12">
      <c r="I3636" s="5">
        <f>IF(OR(A3636="",B3636=""),"",B3636-WEEKDAY(B3636,2)+1)</f>
        <v/>
      </c>
      <c r="J3636" s="5">
        <f>IF(I3636="","",I3636+6)</f>
        <v/>
      </c>
      <c r="K3636" s="6">
        <f>IF(OR(A3636="",B3636=""),"",DATE(YEAR(B3636),MONTH(B3636),1))</f>
        <v/>
      </c>
      <c r="L3636" s="7">
        <f>IF(COUNTA(A3636,B3636)=0,"",IF(OR(A3636="",B3636=""),"Preencher CPF e entrada",IF(COUNTIFS($A$12:$A$5011,A3636,$B$12:$B$5011,B3636)&gt;1,"CPF + dia duplicado",IF(OR(AND(E3636&lt;&gt;"",E3636&lt;B3636),AND(F3636&lt;&gt;"",F3636&lt;B3636)),"Evento anterior à entrada",IF(AND(F3636&lt;&gt;"",E3636=""),"Conversa sem agendamento",IF(OR(E3636&gt;TODAY(),F3636&gt;TODAY()),"Verificar evento futuro","OK"))))))</f>
        <v/>
      </c>
    </row>
    <row r="3637" spans="9:12">
      <c r="I3637" s="5">
        <f>IF(OR(A3637="",B3637=""),"",B3637-WEEKDAY(B3637,2)+1)</f>
        <v/>
      </c>
      <c r="J3637" s="5">
        <f>IF(I3637="","",I3637+6)</f>
        <v/>
      </c>
      <c r="K3637" s="6">
        <f>IF(OR(A3637="",B3637=""),"",DATE(YEAR(B3637),MONTH(B3637),1))</f>
        <v/>
      </c>
      <c r="L3637" s="7">
        <f>IF(COUNTA(A3637,B3637)=0,"",IF(OR(A3637="",B3637=""),"Preencher CPF e entrada",IF(COUNTIFS($A$12:$A$5011,A3637,$B$12:$B$5011,B3637)&gt;1,"CPF + dia duplicado",IF(OR(AND(E3637&lt;&gt;"",E3637&lt;B3637),AND(F3637&lt;&gt;"",F3637&lt;B3637)),"Evento anterior à entrada",IF(AND(F3637&lt;&gt;"",E3637=""),"Conversa sem agendamento",IF(OR(E3637&gt;TODAY(),F3637&gt;TODAY()),"Verificar evento futuro","OK"))))))</f>
        <v/>
      </c>
    </row>
    <row r="3638" spans="9:12">
      <c r="I3638" s="5">
        <f>IF(OR(A3638="",B3638=""),"",B3638-WEEKDAY(B3638,2)+1)</f>
        <v/>
      </c>
      <c r="J3638" s="5">
        <f>IF(I3638="","",I3638+6)</f>
        <v/>
      </c>
      <c r="K3638" s="6">
        <f>IF(OR(A3638="",B3638=""),"",DATE(YEAR(B3638),MONTH(B3638),1))</f>
        <v/>
      </c>
      <c r="L3638" s="7">
        <f>IF(COUNTA(A3638,B3638)=0,"",IF(OR(A3638="",B3638=""),"Preencher CPF e entrada",IF(COUNTIFS($A$12:$A$5011,A3638,$B$12:$B$5011,B3638)&gt;1,"CPF + dia duplicado",IF(OR(AND(E3638&lt;&gt;"",E3638&lt;B3638),AND(F3638&lt;&gt;"",F3638&lt;B3638)),"Evento anterior à entrada",IF(AND(F3638&lt;&gt;"",E3638=""),"Conversa sem agendamento",IF(OR(E3638&gt;TODAY(),F3638&gt;TODAY()),"Verificar evento futuro","OK"))))))</f>
        <v/>
      </c>
    </row>
    <row r="3639" spans="9:12">
      <c r="I3639" s="5">
        <f>IF(OR(A3639="",B3639=""),"",B3639-WEEKDAY(B3639,2)+1)</f>
        <v/>
      </c>
      <c r="J3639" s="5">
        <f>IF(I3639="","",I3639+6)</f>
        <v/>
      </c>
      <c r="K3639" s="6">
        <f>IF(OR(A3639="",B3639=""),"",DATE(YEAR(B3639),MONTH(B3639),1))</f>
        <v/>
      </c>
      <c r="L3639" s="7">
        <f>IF(COUNTA(A3639,B3639)=0,"",IF(OR(A3639="",B3639=""),"Preencher CPF e entrada",IF(COUNTIFS($A$12:$A$5011,A3639,$B$12:$B$5011,B3639)&gt;1,"CPF + dia duplicado",IF(OR(AND(E3639&lt;&gt;"",E3639&lt;B3639),AND(F3639&lt;&gt;"",F3639&lt;B3639)),"Evento anterior à entrada",IF(AND(F3639&lt;&gt;"",E3639=""),"Conversa sem agendamento",IF(OR(E3639&gt;TODAY(),F3639&gt;TODAY()),"Verificar evento futuro","OK"))))))</f>
        <v/>
      </c>
    </row>
    <row r="3640" spans="9:12">
      <c r="I3640" s="5">
        <f>IF(OR(A3640="",B3640=""),"",B3640-WEEKDAY(B3640,2)+1)</f>
        <v/>
      </c>
      <c r="J3640" s="5">
        <f>IF(I3640="","",I3640+6)</f>
        <v/>
      </c>
      <c r="K3640" s="6">
        <f>IF(OR(A3640="",B3640=""),"",DATE(YEAR(B3640),MONTH(B3640),1))</f>
        <v/>
      </c>
      <c r="L3640" s="7">
        <f>IF(COUNTA(A3640,B3640)=0,"",IF(OR(A3640="",B3640=""),"Preencher CPF e entrada",IF(COUNTIFS($A$12:$A$5011,A3640,$B$12:$B$5011,B3640)&gt;1,"CPF + dia duplicado",IF(OR(AND(E3640&lt;&gt;"",E3640&lt;B3640),AND(F3640&lt;&gt;"",F3640&lt;B3640)),"Evento anterior à entrada",IF(AND(F3640&lt;&gt;"",E3640=""),"Conversa sem agendamento",IF(OR(E3640&gt;TODAY(),F3640&gt;TODAY()),"Verificar evento futuro","OK"))))))</f>
        <v/>
      </c>
    </row>
    <row r="3641" spans="9:12">
      <c r="I3641" s="5">
        <f>IF(OR(A3641="",B3641=""),"",B3641-WEEKDAY(B3641,2)+1)</f>
        <v/>
      </c>
      <c r="J3641" s="5">
        <f>IF(I3641="","",I3641+6)</f>
        <v/>
      </c>
      <c r="K3641" s="6">
        <f>IF(OR(A3641="",B3641=""),"",DATE(YEAR(B3641),MONTH(B3641),1))</f>
        <v/>
      </c>
      <c r="L3641" s="7">
        <f>IF(COUNTA(A3641,B3641)=0,"",IF(OR(A3641="",B3641=""),"Preencher CPF e entrada",IF(COUNTIFS($A$12:$A$5011,A3641,$B$12:$B$5011,B3641)&gt;1,"CPF + dia duplicado",IF(OR(AND(E3641&lt;&gt;"",E3641&lt;B3641),AND(F3641&lt;&gt;"",F3641&lt;B3641)),"Evento anterior à entrada",IF(AND(F3641&lt;&gt;"",E3641=""),"Conversa sem agendamento",IF(OR(E3641&gt;TODAY(),F3641&gt;TODAY()),"Verificar evento futuro","OK"))))))</f>
        <v/>
      </c>
    </row>
    <row r="3642" spans="9:12">
      <c r="I3642" s="5">
        <f>IF(OR(A3642="",B3642=""),"",B3642-WEEKDAY(B3642,2)+1)</f>
        <v/>
      </c>
      <c r="J3642" s="5">
        <f>IF(I3642="","",I3642+6)</f>
        <v/>
      </c>
      <c r="K3642" s="6">
        <f>IF(OR(A3642="",B3642=""),"",DATE(YEAR(B3642),MONTH(B3642),1))</f>
        <v/>
      </c>
      <c r="L3642" s="7">
        <f>IF(COUNTA(A3642,B3642)=0,"",IF(OR(A3642="",B3642=""),"Preencher CPF e entrada",IF(COUNTIFS($A$12:$A$5011,A3642,$B$12:$B$5011,B3642)&gt;1,"CPF + dia duplicado",IF(OR(AND(E3642&lt;&gt;"",E3642&lt;B3642),AND(F3642&lt;&gt;"",F3642&lt;B3642)),"Evento anterior à entrada",IF(AND(F3642&lt;&gt;"",E3642=""),"Conversa sem agendamento",IF(OR(E3642&gt;TODAY(),F3642&gt;TODAY()),"Verificar evento futuro","OK"))))))</f>
        <v/>
      </c>
    </row>
    <row r="3643" spans="9:12">
      <c r="I3643" s="5">
        <f>IF(OR(A3643="",B3643=""),"",B3643-WEEKDAY(B3643,2)+1)</f>
        <v/>
      </c>
      <c r="J3643" s="5">
        <f>IF(I3643="","",I3643+6)</f>
        <v/>
      </c>
      <c r="K3643" s="6">
        <f>IF(OR(A3643="",B3643=""),"",DATE(YEAR(B3643),MONTH(B3643),1))</f>
        <v/>
      </c>
      <c r="L3643" s="7">
        <f>IF(COUNTA(A3643,B3643)=0,"",IF(OR(A3643="",B3643=""),"Preencher CPF e entrada",IF(COUNTIFS($A$12:$A$5011,A3643,$B$12:$B$5011,B3643)&gt;1,"CPF + dia duplicado",IF(OR(AND(E3643&lt;&gt;"",E3643&lt;B3643),AND(F3643&lt;&gt;"",F3643&lt;B3643)),"Evento anterior à entrada",IF(AND(F3643&lt;&gt;"",E3643=""),"Conversa sem agendamento",IF(OR(E3643&gt;TODAY(),F3643&gt;TODAY()),"Verificar evento futuro","OK"))))))</f>
        <v/>
      </c>
    </row>
    <row r="3644" spans="9:12">
      <c r="I3644" s="5">
        <f>IF(OR(A3644="",B3644=""),"",B3644-WEEKDAY(B3644,2)+1)</f>
        <v/>
      </c>
      <c r="J3644" s="5">
        <f>IF(I3644="","",I3644+6)</f>
        <v/>
      </c>
      <c r="K3644" s="6">
        <f>IF(OR(A3644="",B3644=""),"",DATE(YEAR(B3644),MONTH(B3644),1))</f>
        <v/>
      </c>
      <c r="L3644" s="7">
        <f>IF(COUNTA(A3644,B3644)=0,"",IF(OR(A3644="",B3644=""),"Preencher CPF e entrada",IF(COUNTIFS($A$12:$A$5011,A3644,$B$12:$B$5011,B3644)&gt;1,"CPF + dia duplicado",IF(OR(AND(E3644&lt;&gt;"",E3644&lt;B3644),AND(F3644&lt;&gt;"",F3644&lt;B3644)),"Evento anterior à entrada",IF(AND(F3644&lt;&gt;"",E3644=""),"Conversa sem agendamento",IF(OR(E3644&gt;TODAY(),F3644&gt;TODAY()),"Verificar evento futuro","OK"))))))</f>
        <v/>
      </c>
    </row>
    <row r="3645" spans="9:12">
      <c r="I3645" s="5">
        <f>IF(OR(A3645="",B3645=""),"",B3645-WEEKDAY(B3645,2)+1)</f>
        <v/>
      </c>
      <c r="J3645" s="5">
        <f>IF(I3645="","",I3645+6)</f>
        <v/>
      </c>
      <c r="K3645" s="6">
        <f>IF(OR(A3645="",B3645=""),"",DATE(YEAR(B3645),MONTH(B3645),1))</f>
        <v/>
      </c>
      <c r="L3645" s="7">
        <f>IF(COUNTA(A3645,B3645)=0,"",IF(OR(A3645="",B3645=""),"Preencher CPF e entrada",IF(COUNTIFS($A$12:$A$5011,A3645,$B$12:$B$5011,B3645)&gt;1,"CPF + dia duplicado",IF(OR(AND(E3645&lt;&gt;"",E3645&lt;B3645),AND(F3645&lt;&gt;"",F3645&lt;B3645)),"Evento anterior à entrada",IF(AND(F3645&lt;&gt;"",E3645=""),"Conversa sem agendamento",IF(OR(E3645&gt;TODAY(),F3645&gt;TODAY()),"Verificar evento futuro","OK"))))))</f>
        <v/>
      </c>
    </row>
    <row r="3646" spans="9:12">
      <c r="I3646" s="5">
        <f>IF(OR(A3646="",B3646=""),"",B3646-WEEKDAY(B3646,2)+1)</f>
        <v/>
      </c>
      <c r="J3646" s="5">
        <f>IF(I3646="","",I3646+6)</f>
        <v/>
      </c>
      <c r="K3646" s="6">
        <f>IF(OR(A3646="",B3646=""),"",DATE(YEAR(B3646),MONTH(B3646),1))</f>
        <v/>
      </c>
      <c r="L3646" s="7">
        <f>IF(COUNTA(A3646,B3646)=0,"",IF(OR(A3646="",B3646=""),"Preencher CPF e entrada",IF(COUNTIFS($A$12:$A$5011,A3646,$B$12:$B$5011,B3646)&gt;1,"CPF + dia duplicado",IF(OR(AND(E3646&lt;&gt;"",E3646&lt;B3646),AND(F3646&lt;&gt;"",F3646&lt;B3646)),"Evento anterior à entrada",IF(AND(F3646&lt;&gt;"",E3646=""),"Conversa sem agendamento",IF(OR(E3646&gt;TODAY(),F3646&gt;TODAY()),"Verificar evento futuro","OK"))))))</f>
        <v/>
      </c>
    </row>
    <row r="3647" spans="9:12">
      <c r="I3647" s="5">
        <f>IF(OR(A3647="",B3647=""),"",B3647-WEEKDAY(B3647,2)+1)</f>
        <v/>
      </c>
      <c r="J3647" s="5">
        <f>IF(I3647="","",I3647+6)</f>
        <v/>
      </c>
      <c r="K3647" s="6">
        <f>IF(OR(A3647="",B3647=""),"",DATE(YEAR(B3647),MONTH(B3647),1))</f>
        <v/>
      </c>
      <c r="L3647" s="7">
        <f>IF(COUNTA(A3647,B3647)=0,"",IF(OR(A3647="",B3647=""),"Preencher CPF e entrada",IF(COUNTIFS($A$12:$A$5011,A3647,$B$12:$B$5011,B3647)&gt;1,"CPF + dia duplicado",IF(OR(AND(E3647&lt;&gt;"",E3647&lt;B3647),AND(F3647&lt;&gt;"",F3647&lt;B3647)),"Evento anterior à entrada",IF(AND(F3647&lt;&gt;"",E3647=""),"Conversa sem agendamento",IF(OR(E3647&gt;TODAY(),F3647&gt;TODAY()),"Verificar evento futuro","OK"))))))</f>
        <v/>
      </c>
    </row>
    <row r="3648" spans="9:12">
      <c r="I3648" s="5">
        <f>IF(OR(A3648="",B3648=""),"",B3648-WEEKDAY(B3648,2)+1)</f>
        <v/>
      </c>
      <c r="J3648" s="5">
        <f>IF(I3648="","",I3648+6)</f>
        <v/>
      </c>
      <c r="K3648" s="6">
        <f>IF(OR(A3648="",B3648=""),"",DATE(YEAR(B3648),MONTH(B3648),1))</f>
        <v/>
      </c>
      <c r="L3648" s="7">
        <f>IF(COUNTA(A3648,B3648)=0,"",IF(OR(A3648="",B3648=""),"Preencher CPF e entrada",IF(COUNTIFS($A$12:$A$5011,A3648,$B$12:$B$5011,B3648)&gt;1,"CPF + dia duplicado",IF(OR(AND(E3648&lt;&gt;"",E3648&lt;B3648),AND(F3648&lt;&gt;"",F3648&lt;B3648)),"Evento anterior à entrada",IF(AND(F3648&lt;&gt;"",E3648=""),"Conversa sem agendamento",IF(OR(E3648&gt;TODAY(),F3648&gt;TODAY()),"Verificar evento futuro","OK"))))))</f>
        <v/>
      </c>
    </row>
    <row r="3649" spans="9:12">
      <c r="I3649" s="5">
        <f>IF(OR(A3649="",B3649=""),"",B3649-WEEKDAY(B3649,2)+1)</f>
        <v/>
      </c>
      <c r="J3649" s="5">
        <f>IF(I3649="","",I3649+6)</f>
        <v/>
      </c>
      <c r="K3649" s="6">
        <f>IF(OR(A3649="",B3649=""),"",DATE(YEAR(B3649),MONTH(B3649),1))</f>
        <v/>
      </c>
      <c r="L3649" s="7">
        <f>IF(COUNTA(A3649,B3649)=0,"",IF(OR(A3649="",B3649=""),"Preencher CPF e entrada",IF(COUNTIFS($A$12:$A$5011,A3649,$B$12:$B$5011,B3649)&gt;1,"CPF + dia duplicado",IF(OR(AND(E3649&lt;&gt;"",E3649&lt;B3649),AND(F3649&lt;&gt;"",F3649&lt;B3649)),"Evento anterior à entrada",IF(AND(F3649&lt;&gt;"",E3649=""),"Conversa sem agendamento",IF(OR(E3649&gt;TODAY(),F3649&gt;TODAY()),"Verificar evento futuro","OK"))))))</f>
        <v/>
      </c>
    </row>
    <row r="3650" spans="9:12">
      <c r="I3650" s="5">
        <f>IF(OR(A3650="",B3650=""),"",B3650-WEEKDAY(B3650,2)+1)</f>
        <v/>
      </c>
      <c r="J3650" s="5">
        <f>IF(I3650="","",I3650+6)</f>
        <v/>
      </c>
      <c r="K3650" s="6">
        <f>IF(OR(A3650="",B3650=""),"",DATE(YEAR(B3650),MONTH(B3650),1))</f>
        <v/>
      </c>
      <c r="L3650" s="7">
        <f>IF(COUNTA(A3650,B3650)=0,"",IF(OR(A3650="",B3650=""),"Preencher CPF e entrada",IF(COUNTIFS($A$12:$A$5011,A3650,$B$12:$B$5011,B3650)&gt;1,"CPF + dia duplicado",IF(OR(AND(E3650&lt;&gt;"",E3650&lt;B3650),AND(F3650&lt;&gt;"",F3650&lt;B3650)),"Evento anterior à entrada",IF(AND(F3650&lt;&gt;"",E3650=""),"Conversa sem agendamento",IF(OR(E3650&gt;TODAY(),F3650&gt;TODAY()),"Verificar evento futuro","OK"))))))</f>
        <v/>
      </c>
    </row>
    <row r="3651" spans="9:12">
      <c r="I3651" s="5">
        <f>IF(OR(A3651="",B3651=""),"",B3651-WEEKDAY(B3651,2)+1)</f>
        <v/>
      </c>
      <c r="J3651" s="5">
        <f>IF(I3651="","",I3651+6)</f>
        <v/>
      </c>
      <c r="K3651" s="6">
        <f>IF(OR(A3651="",B3651=""),"",DATE(YEAR(B3651),MONTH(B3651),1))</f>
        <v/>
      </c>
      <c r="L3651" s="7">
        <f>IF(COUNTA(A3651,B3651)=0,"",IF(OR(A3651="",B3651=""),"Preencher CPF e entrada",IF(COUNTIFS($A$12:$A$5011,A3651,$B$12:$B$5011,B3651)&gt;1,"CPF + dia duplicado",IF(OR(AND(E3651&lt;&gt;"",E3651&lt;B3651),AND(F3651&lt;&gt;"",F3651&lt;B3651)),"Evento anterior à entrada",IF(AND(F3651&lt;&gt;"",E3651=""),"Conversa sem agendamento",IF(OR(E3651&gt;TODAY(),F3651&gt;TODAY()),"Verificar evento futuro","OK"))))))</f>
        <v/>
      </c>
    </row>
    <row r="3652" spans="9:12">
      <c r="I3652" s="5">
        <f>IF(OR(A3652="",B3652=""),"",B3652-WEEKDAY(B3652,2)+1)</f>
        <v/>
      </c>
      <c r="J3652" s="5">
        <f>IF(I3652="","",I3652+6)</f>
        <v/>
      </c>
      <c r="K3652" s="6">
        <f>IF(OR(A3652="",B3652=""),"",DATE(YEAR(B3652),MONTH(B3652),1))</f>
        <v/>
      </c>
      <c r="L3652" s="7">
        <f>IF(COUNTA(A3652,B3652)=0,"",IF(OR(A3652="",B3652=""),"Preencher CPF e entrada",IF(COUNTIFS($A$12:$A$5011,A3652,$B$12:$B$5011,B3652)&gt;1,"CPF + dia duplicado",IF(OR(AND(E3652&lt;&gt;"",E3652&lt;B3652),AND(F3652&lt;&gt;"",F3652&lt;B3652)),"Evento anterior à entrada",IF(AND(F3652&lt;&gt;"",E3652=""),"Conversa sem agendamento",IF(OR(E3652&gt;TODAY(),F3652&gt;TODAY()),"Verificar evento futuro","OK"))))))</f>
        <v/>
      </c>
    </row>
    <row r="3653" spans="9:12">
      <c r="I3653" s="5">
        <f>IF(OR(A3653="",B3653=""),"",B3653-WEEKDAY(B3653,2)+1)</f>
        <v/>
      </c>
      <c r="J3653" s="5">
        <f>IF(I3653="","",I3653+6)</f>
        <v/>
      </c>
      <c r="K3653" s="6">
        <f>IF(OR(A3653="",B3653=""),"",DATE(YEAR(B3653),MONTH(B3653),1))</f>
        <v/>
      </c>
      <c r="L3653" s="7">
        <f>IF(COUNTA(A3653,B3653)=0,"",IF(OR(A3653="",B3653=""),"Preencher CPF e entrada",IF(COUNTIFS($A$12:$A$5011,A3653,$B$12:$B$5011,B3653)&gt;1,"CPF + dia duplicado",IF(OR(AND(E3653&lt;&gt;"",E3653&lt;B3653),AND(F3653&lt;&gt;"",F3653&lt;B3653)),"Evento anterior à entrada",IF(AND(F3653&lt;&gt;"",E3653=""),"Conversa sem agendamento",IF(OR(E3653&gt;TODAY(),F3653&gt;TODAY()),"Verificar evento futuro","OK"))))))</f>
        <v/>
      </c>
    </row>
    <row r="3654" spans="9:12">
      <c r="I3654" s="5">
        <f>IF(OR(A3654="",B3654=""),"",B3654-WEEKDAY(B3654,2)+1)</f>
        <v/>
      </c>
      <c r="J3654" s="5">
        <f>IF(I3654="","",I3654+6)</f>
        <v/>
      </c>
      <c r="K3654" s="6">
        <f>IF(OR(A3654="",B3654=""),"",DATE(YEAR(B3654),MONTH(B3654),1))</f>
        <v/>
      </c>
      <c r="L3654" s="7">
        <f>IF(COUNTA(A3654,B3654)=0,"",IF(OR(A3654="",B3654=""),"Preencher CPF e entrada",IF(COUNTIFS($A$12:$A$5011,A3654,$B$12:$B$5011,B3654)&gt;1,"CPF + dia duplicado",IF(OR(AND(E3654&lt;&gt;"",E3654&lt;B3654),AND(F3654&lt;&gt;"",F3654&lt;B3654)),"Evento anterior à entrada",IF(AND(F3654&lt;&gt;"",E3654=""),"Conversa sem agendamento",IF(OR(E3654&gt;TODAY(),F3654&gt;TODAY()),"Verificar evento futuro","OK"))))))</f>
        <v/>
      </c>
    </row>
    <row r="3655" spans="9:12">
      <c r="I3655" s="5">
        <f>IF(OR(A3655="",B3655=""),"",B3655-WEEKDAY(B3655,2)+1)</f>
        <v/>
      </c>
      <c r="J3655" s="5">
        <f>IF(I3655="","",I3655+6)</f>
        <v/>
      </c>
      <c r="K3655" s="6">
        <f>IF(OR(A3655="",B3655=""),"",DATE(YEAR(B3655),MONTH(B3655),1))</f>
        <v/>
      </c>
      <c r="L3655" s="7">
        <f>IF(COUNTA(A3655,B3655)=0,"",IF(OR(A3655="",B3655=""),"Preencher CPF e entrada",IF(COUNTIFS($A$12:$A$5011,A3655,$B$12:$B$5011,B3655)&gt;1,"CPF + dia duplicado",IF(OR(AND(E3655&lt;&gt;"",E3655&lt;B3655),AND(F3655&lt;&gt;"",F3655&lt;B3655)),"Evento anterior à entrada",IF(AND(F3655&lt;&gt;"",E3655=""),"Conversa sem agendamento",IF(OR(E3655&gt;TODAY(),F3655&gt;TODAY()),"Verificar evento futuro","OK"))))))</f>
        <v/>
      </c>
    </row>
    <row r="3656" spans="9:12">
      <c r="I3656" s="5">
        <f>IF(OR(A3656="",B3656=""),"",B3656-WEEKDAY(B3656,2)+1)</f>
        <v/>
      </c>
      <c r="J3656" s="5">
        <f>IF(I3656="","",I3656+6)</f>
        <v/>
      </c>
      <c r="K3656" s="6">
        <f>IF(OR(A3656="",B3656=""),"",DATE(YEAR(B3656),MONTH(B3656),1))</f>
        <v/>
      </c>
      <c r="L3656" s="7">
        <f>IF(COUNTA(A3656,B3656)=0,"",IF(OR(A3656="",B3656=""),"Preencher CPF e entrada",IF(COUNTIFS($A$12:$A$5011,A3656,$B$12:$B$5011,B3656)&gt;1,"CPF + dia duplicado",IF(OR(AND(E3656&lt;&gt;"",E3656&lt;B3656),AND(F3656&lt;&gt;"",F3656&lt;B3656)),"Evento anterior à entrada",IF(AND(F3656&lt;&gt;"",E3656=""),"Conversa sem agendamento",IF(OR(E3656&gt;TODAY(),F3656&gt;TODAY()),"Verificar evento futuro","OK"))))))</f>
        <v/>
      </c>
    </row>
    <row r="3657" spans="9:12">
      <c r="I3657" s="5">
        <f>IF(OR(A3657="",B3657=""),"",B3657-WEEKDAY(B3657,2)+1)</f>
        <v/>
      </c>
      <c r="J3657" s="5">
        <f>IF(I3657="","",I3657+6)</f>
        <v/>
      </c>
      <c r="K3657" s="6">
        <f>IF(OR(A3657="",B3657=""),"",DATE(YEAR(B3657),MONTH(B3657),1))</f>
        <v/>
      </c>
      <c r="L3657" s="7">
        <f>IF(COUNTA(A3657,B3657)=0,"",IF(OR(A3657="",B3657=""),"Preencher CPF e entrada",IF(COUNTIFS($A$12:$A$5011,A3657,$B$12:$B$5011,B3657)&gt;1,"CPF + dia duplicado",IF(OR(AND(E3657&lt;&gt;"",E3657&lt;B3657),AND(F3657&lt;&gt;"",F3657&lt;B3657)),"Evento anterior à entrada",IF(AND(F3657&lt;&gt;"",E3657=""),"Conversa sem agendamento",IF(OR(E3657&gt;TODAY(),F3657&gt;TODAY()),"Verificar evento futuro","OK"))))))</f>
        <v/>
      </c>
    </row>
    <row r="3658" spans="9:12">
      <c r="I3658" s="5">
        <f>IF(OR(A3658="",B3658=""),"",B3658-WEEKDAY(B3658,2)+1)</f>
        <v/>
      </c>
      <c r="J3658" s="5">
        <f>IF(I3658="","",I3658+6)</f>
        <v/>
      </c>
      <c r="K3658" s="6">
        <f>IF(OR(A3658="",B3658=""),"",DATE(YEAR(B3658),MONTH(B3658),1))</f>
        <v/>
      </c>
      <c r="L3658" s="7">
        <f>IF(COUNTA(A3658,B3658)=0,"",IF(OR(A3658="",B3658=""),"Preencher CPF e entrada",IF(COUNTIFS($A$12:$A$5011,A3658,$B$12:$B$5011,B3658)&gt;1,"CPF + dia duplicado",IF(OR(AND(E3658&lt;&gt;"",E3658&lt;B3658),AND(F3658&lt;&gt;"",F3658&lt;B3658)),"Evento anterior à entrada",IF(AND(F3658&lt;&gt;"",E3658=""),"Conversa sem agendamento",IF(OR(E3658&gt;TODAY(),F3658&gt;TODAY()),"Verificar evento futuro","OK"))))))</f>
        <v/>
      </c>
    </row>
    <row r="3659" spans="9:12">
      <c r="I3659" s="5">
        <f>IF(OR(A3659="",B3659=""),"",B3659-WEEKDAY(B3659,2)+1)</f>
        <v/>
      </c>
      <c r="J3659" s="5">
        <f>IF(I3659="","",I3659+6)</f>
        <v/>
      </c>
      <c r="K3659" s="6">
        <f>IF(OR(A3659="",B3659=""),"",DATE(YEAR(B3659),MONTH(B3659),1))</f>
        <v/>
      </c>
      <c r="L3659" s="7">
        <f>IF(COUNTA(A3659,B3659)=0,"",IF(OR(A3659="",B3659=""),"Preencher CPF e entrada",IF(COUNTIFS($A$12:$A$5011,A3659,$B$12:$B$5011,B3659)&gt;1,"CPF + dia duplicado",IF(OR(AND(E3659&lt;&gt;"",E3659&lt;B3659),AND(F3659&lt;&gt;"",F3659&lt;B3659)),"Evento anterior à entrada",IF(AND(F3659&lt;&gt;"",E3659=""),"Conversa sem agendamento",IF(OR(E3659&gt;TODAY(),F3659&gt;TODAY()),"Verificar evento futuro","OK"))))))</f>
        <v/>
      </c>
    </row>
    <row r="3660" spans="9:12">
      <c r="I3660" s="5">
        <f>IF(OR(A3660="",B3660=""),"",B3660-WEEKDAY(B3660,2)+1)</f>
        <v/>
      </c>
      <c r="J3660" s="5">
        <f>IF(I3660="","",I3660+6)</f>
        <v/>
      </c>
      <c r="K3660" s="6">
        <f>IF(OR(A3660="",B3660=""),"",DATE(YEAR(B3660),MONTH(B3660),1))</f>
        <v/>
      </c>
      <c r="L3660" s="7">
        <f>IF(COUNTA(A3660,B3660)=0,"",IF(OR(A3660="",B3660=""),"Preencher CPF e entrada",IF(COUNTIFS($A$12:$A$5011,A3660,$B$12:$B$5011,B3660)&gt;1,"CPF + dia duplicado",IF(OR(AND(E3660&lt;&gt;"",E3660&lt;B3660),AND(F3660&lt;&gt;"",F3660&lt;B3660)),"Evento anterior à entrada",IF(AND(F3660&lt;&gt;"",E3660=""),"Conversa sem agendamento",IF(OR(E3660&gt;TODAY(),F3660&gt;TODAY()),"Verificar evento futuro","OK"))))))</f>
        <v/>
      </c>
    </row>
    <row r="3661" spans="9:12">
      <c r="I3661" s="5">
        <f>IF(OR(A3661="",B3661=""),"",B3661-WEEKDAY(B3661,2)+1)</f>
        <v/>
      </c>
      <c r="J3661" s="5">
        <f>IF(I3661="","",I3661+6)</f>
        <v/>
      </c>
      <c r="K3661" s="6">
        <f>IF(OR(A3661="",B3661=""),"",DATE(YEAR(B3661),MONTH(B3661),1))</f>
        <v/>
      </c>
      <c r="L3661" s="7">
        <f>IF(COUNTA(A3661,B3661)=0,"",IF(OR(A3661="",B3661=""),"Preencher CPF e entrada",IF(COUNTIFS($A$12:$A$5011,A3661,$B$12:$B$5011,B3661)&gt;1,"CPF + dia duplicado",IF(OR(AND(E3661&lt;&gt;"",E3661&lt;B3661),AND(F3661&lt;&gt;"",F3661&lt;B3661)),"Evento anterior à entrada",IF(AND(F3661&lt;&gt;"",E3661=""),"Conversa sem agendamento",IF(OR(E3661&gt;TODAY(),F3661&gt;TODAY()),"Verificar evento futuro","OK"))))))</f>
        <v/>
      </c>
    </row>
    <row r="3662" spans="9:12">
      <c r="I3662" s="5">
        <f>IF(OR(A3662="",B3662=""),"",B3662-WEEKDAY(B3662,2)+1)</f>
        <v/>
      </c>
      <c r="J3662" s="5">
        <f>IF(I3662="","",I3662+6)</f>
        <v/>
      </c>
      <c r="K3662" s="6">
        <f>IF(OR(A3662="",B3662=""),"",DATE(YEAR(B3662),MONTH(B3662),1))</f>
        <v/>
      </c>
      <c r="L3662" s="7">
        <f>IF(COUNTA(A3662,B3662)=0,"",IF(OR(A3662="",B3662=""),"Preencher CPF e entrada",IF(COUNTIFS($A$12:$A$5011,A3662,$B$12:$B$5011,B3662)&gt;1,"CPF + dia duplicado",IF(OR(AND(E3662&lt;&gt;"",E3662&lt;B3662),AND(F3662&lt;&gt;"",F3662&lt;B3662)),"Evento anterior à entrada",IF(AND(F3662&lt;&gt;"",E3662=""),"Conversa sem agendamento",IF(OR(E3662&gt;TODAY(),F3662&gt;TODAY()),"Verificar evento futuro","OK"))))))</f>
        <v/>
      </c>
    </row>
    <row r="3663" spans="9:12">
      <c r="I3663" s="5">
        <f>IF(OR(A3663="",B3663=""),"",B3663-WEEKDAY(B3663,2)+1)</f>
        <v/>
      </c>
      <c r="J3663" s="5">
        <f>IF(I3663="","",I3663+6)</f>
        <v/>
      </c>
      <c r="K3663" s="6">
        <f>IF(OR(A3663="",B3663=""),"",DATE(YEAR(B3663),MONTH(B3663),1))</f>
        <v/>
      </c>
      <c r="L3663" s="7">
        <f>IF(COUNTA(A3663,B3663)=0,"",IF(OR(A3663="",B3663=""),"Preencher CPF e entrada",IF(COUNTIFS($A$12:$A$5011,A3663,$B$12:$B$5011,B3663)&gt;1,"CPF + dia duplicado",IF(OR(AND(E3663&lt;&gt;"",E3663&lt;B3663),AND(F3663&lt;&gt;"",F3663&lt;B3663)),"Evento anterior à entrada",IF(AND(F3663&lt;&gt;"",E3663=""),"Conversa sem agendamento",IF(OR(E3663&gt;TODAY(),F3663&gt;TODAY()),"Verificar evento futuro","OK"))))))</f>
        <v/>
      </c>
    </row>
    <row r="3664" spans="9:12">
      <c r="I3664" s="5">
        <f>IF(OR(A3664="",B3664=""),"",B3664-WEEKDAY(B3664,2)+1)</f>
        <v/>
      </c>
      <c r="J3664" s="5">
        <f>IF(I3664="","",I3664+6)</f>
        <v/>
      </c>
      <c r="K3664" s="6">
        <f>IF(OR(A3664="",B3664=""),"",DATE(YEAR(B3664),MONTH(B3664),1))</f>
        <v/>
      </c>
      <c r="L3664" s="7">
        <f>IF(COUNTA(A3664,B3664)=0,"",IF(OR(A3664="",B3664=""),"Preencher CPF e entrada",IF(COUNTIFS($A$12:$A$5011,A3664,$B$12:$B$5011,B3664)&gt;1,"CPF + dia duplicado",IF(OR(AND(E3664&lt;&gt;"",E3664&lt;B3664),AND(F3664&lt;&gt;"",F3664&lt;B3664)),"Evento anterior à entrada",IF(AND(F3664&lt;&gt;"",E3664=""),"Conversa sem agendamento",IF(OR(E3664&gt;TODAY(),F3664&gt;TODAY()),"Verificar evento futuro","OK"))))))</f>
        <v/>
      </c>
    </row>
    <row r="3665" spans="9:12">
      <c r="I3665" s="5">
        <f>IF(OR(A3665="",B3665=""),"",B3665-WEEKDAY(B3665,2)+1)</f>
        <v/>
      </c>
      <c r="J3665" s="5">
        <f>IF(I3665="","",I3665+6)</f>
        <v/>
      </c>
      <c r="K3665" s="6">
        <f>IF(OR(A3665="",B3665=""),"",DATE(YEAR(B3665),MONTH(B3665),1))</f>
        <v/>
      </c>
      <c r="L3665" s="7">
        <f>IF(COUNTA(A3665,B3665)=0,"",IF(OR(A3665="",B3665=""),"Preencher CPF e entrada",IF(COUNTIFS($A$12:$A$5011,A3665,$B$12:$B$5011,B3665)&gt;1,"CPF + dia duplicado",IF(OR(AND(E3665&lt;&gt;"",E3665&lt;B3665),AND(F3665&lt;&gt;"",F3665&lt;B3665)),"Evento anterior à entrada",IF(AND(F3665&lt;&gt;"",E3665=""),"Conversa sem agendamento",IF(OR(E3665&gt;TODAY(),F3665&gt;TODAY()),"Verificar evento futuro","OK"))))))</f>
        <v/>
      </c>
    </row>
    <row r="3666" spans="9:12">
      <c r="I3666" s="5">
        <f>IF(OR(A3666="",B3666=""),"",B3666-WEEKDAY(B3666,2)+1)</f>
        <v/>
      </c>
      <c r="J3666" s="5">
        <f>IF(I3666="","",I3666+6)</f>
        <v/>
      </c>
      <c r="K3666" s="6">
        <f>IF(OR(A3666="",B3666=""),"",DATE(YEAR(B3666),MONTH(B3666),1))</f>
        <v/>
      </c>
      <c r="L3666" s="7">
        <f>IF(COUNTA(A3666,B3666)=0,"",IF(OR(A3666="",B3666=""),"Preencher CPF e entrada",IF(COUNTIFS($A$12:$A$5011,A3666,$B$12:$B$5011,B3666)&gt;1,"CPF + dia duplicado",IF(OR(AND(E3666&lt;&gt;"",E3666&lt;B3666),AND(F3666&lt;&gt;"",F3666&lt;B3666)),"Evento anterior à entrada",IF(AND(F3666&lt;&gt;"",E3666=""),"Conversa sem agendamento",IF(OR(E3666&gt;TODAY(),F3666&gt;TODAY()),"Verificar evento futuro","OK"))))))</f>
        <v/>
      </c>
    </row>
    <row r="3667" spans="9:12">
      <c r="I3667" s="5">
        <f>IF(OR(A3667="",B3667=""),"",B3667-WEEKDAY(B3667,2)+1)</f>
        <v/>
      </c>
      <c r="J3667" s="5">
        <f>IF(I3667="","",I3667+6)</f>
        <v/>
      </c>
      <c r="K3667" s="6">
        <f>IF(OR(A3667="",B3667=""),"",DATE(YEAR(B3667),MONTH(B3667),1))</f>
        <v/>
      </c>
      <c r="L3667" s="7">
        <f>IF(COUNTA(A3667,B3667)=0,"",IF(OR(A3667="",B3667=""),"Preencher CPF e entrada",IF(COUNTIFS($A$12:$A$5011,A3667,$B$12:$B$5011,B3667)&gt;1,"CPF + dia duplicado",IF(OR(AND(E3667&lt;&gt;"",E3667&lt;B3667),AND(F3667&lt;&gt;"",F3667&lt;B3667)),"Evento anterior à entrada",IF(AND(F3667&lt;&gt;"",E3667=""),"Conversa sem agendamento",IF(OR(E3667&gt;TODAY(),F3667&gt;TODAY()),"Verificar evento futuro","OK"))))))</f>
        <v/>
      </c>
    </row>
    <row r="3668" spans="9:12">
      <c r="I3668" s="5">
        <f>IF(OR(A3668="",B3668=""),"",B3668-WEEKDAY(B3668,2)+1)</f>
        <v/>
      </c>
      <c r="J3668" s="5">
        <f>IF(I3668="","",I3668+6)</f>
        <v/>
      </c>
      <c r="K3668" s="6">
        <f>IF(OR(A3668="",B3668=""),"",DATE(YEAR(B3668),MONTH(B3668),1))</f>
        <v/>
      </c>
      <c r="L3668" s="7">
        <f>IF(COUNTA(A3668,B3668)=0,"",IF(OR(A3668="",B3668=""),"Preencher CPF e entrada",IF(COUNTIFS($A$12:$A$5011,A3668,$B$12:$B$5011,B3668)&gt;1,"CPF + dia duplicado",IF(OR(AND(E3668&lt;&gt;"",E3668&lt;B3668),AND(F3668&lt;&gt;"",F3668&lt;B3668)),"Evento anterior à entrada",IF(AND(F3668&lt;&gt;"",E3668=""),"Conversa sem agendamento",IF(OR(E3668&gt;TODAY(),F3668&gt;TODAY()),"Verificar evento futuro","OK"))))))</f>
        <v/>
      </c>
    </row>
    <row r="3669" spans="9:12">
      <c r="I3669" s="5">
        <f>IF(OR(A3669="",B3669=""),"",B3669-WEEKDAY(B3669,2)+1)</f>
        <v/>
      </c>
      <c r="J3669" s="5">
        <f>IF(I3669="","",I3669+6)</f>
        <v/>
      </c>
      <c r="K3669" s="6">
        <f>IF(OR(A3669="",B3669=""),"",DATE(YEAR(B3669),MONTH(B3669),1))</f>
        <v/>
      </c>
      <c r="L3669" s="7">
        <f>IF(COUNTA(A3669,B3669)=0,"",IF(OR(A3669="",B3669=""),"Preencher CPF e entrada",IF(COUNTIFS($A$12:$A$5011,A3669,$B$12:$B$5011,B3669)&gt;1,"CPF + dia duplicado",IF(OR(AND(E3669&lt;&gt;"",E3669&lt;B3669),AND(F3669&lt;&gt;"",F3669&lt;B3669)),"Evento anterior à entrada",IF(AND(F3669&lt;&gt;"",E3669=""),"Conversa sem agendamento",IF(OR(E3669&gt;TODAY(),F3669&gt;TODAY()),"Verificar evento futuro","OK"))))))</f>
        <v/>
      </c>
    </row>
    <row r="3670" spans="9:12">
      <c r="I3670" s="5">
        <f>IF(OR(A3670="",B3670=""),"",B3670-WEEKDAY(B3670,2)+1)</f>
        <v/>
      </c>
      <c r="J3670" s="5">
        <f>IF(I3670="","",I3670+6)</f>
        <v/>
      </c>
      <c r="K3670" s="6">
        <f>IF(OR(A3670="",B3670=""),"",DATE(YEAR(B3670),MONTH(B3670),1))</f>
        <v/>
      </c>
      <c r="L3670" s="7">
        <f>IF(COUNTA(A3670,B3670)=0,"",IF(OR(A3670="",B3670=""),"Preencher CPF e entrada",IF(COUNTIFS($A$12:$A$5011,A3670,$B$12:$B$5011,B3670)&gt;1,"CPF + dia duplicado",IF(OR(AND(E3670&lt;&gt;"",E3670&lt;B3670),AND(F3670&lt;&gt;"",F3670&lt;B3670)),"Evento anterior à entrada",IF(AND(F3670&lt;&gt;"",E3670=""),"Conversa sem agendamento",IF(OR(E3670&gt;TODAY(),F3670&gt;TODAY()),"Verificar evento futuro","OK"))))))</f>
        <v/>
      </c>
    </row>
    <row r="3671" spans="9:12">
      <c r="I3671" s="5">
        <f>IF(OR(A3671="",B3671=""),"",B3671-WEEKDAY(B3671,2)+1)</f>
        <v/>
      </c>
      <c r="J3671" s="5">
        <f>IF(I3671="","",I3671+6)</f>
        <v/>
      </c>
      <c r="K3671" s="6">
        <f>IF(OR(A3671="",B3671=""),"",DATE(YEAR(B3671),MONTH(B3671),1))</f>
        <v/>
      </c>
      <c r="L3671" s="7">
        <f>IF(COUNTA(A3671,B3671)=0,"",IF(OR(A3671="",B3671=""),"Preencher CPF e entrada",IF(COUNTIFS($A$12:$A$5011,A3671,$B$12:$B$5011,B3671)&gt;1,"CPF + dia duplicado",IF(OR(AND(E3671&lt;&gt;"",E3671&lt;B3671),AND(F3671&lt;&gt;"",F3671&lt;B3671)),"Evento anterior à entrada",IF(AND(F3671&lt;&gt;"",E3671=""),"Conversa sem agendamento",IF(OR(E3671&gt;TODAY(),F3671&gt;TODAY()),"Verificar evento futuro","OK"))))))</f>
        <v/>
      </c>
    </row>
    <row r="3672" spans="9:12">
      <c r="I3672" s="5">
        <f>IF(OR(A3672="",B3672=""),"",B3672-WEEKDAY(B3672,2)+1)</f>
        <v/>
      </c>
      <c r="J3672" s="5">
        <f>IF(I3672="","",I3672+6)</f>
        <v/>
      </c>
      <c r="K3672" s="6">
        <f>IF(OR(A3672="",B3672=""),"",DATE(YEAR(B3672),MONTH(B3672),1))</f>
        <v/>
      </c>
      <c r="L3672" s="7">
        <f>IF(COUNTA(A3672,B3672)=0,"",IF(OR(A3672="",B3672=""),"Preencher CPF e entrada",IF(COUNTIFS($A$12:$A$5011,A3672,$B$12:$B$5011,B3672)&gt;1,"CPF + dia duplicado",IF(OR(AND(E3672&lt;&gt;"",E3672&lt;B3672),AND(F3672&lt;&gt;"",F3672&lt;B3672)),"Evento anterior à entrada",IF(AND(F3672&lt;&gt;"",E3672=""),"Conversa sem agendamento",IF(OR(E3672&gt;TODAY(),F3672&gt;TODAY()),"Verificar evento futuro","OK"))))))</f>
        <v/>
      </c>
    </row>
    <row r="3673" spans="9:12">
      <c r="I3673" s="5">
        <f>IF(OR(A3673="",B3673=""),"",B3673-WEEKDAY(B3673,2)+1)</f>
        <v/>
      </c>
      <c r="J3673" s="5">
        <f>IF(I3673="","",I3673+6)</f>
        <v/>
      </c>
      <c r="K3673" s="6">
        <f>IF(OR(A3673="",B3673=""),"",DATE(YEAR(B3673),MONTH(B3673),1))</f>
        <v/>
      </c>
      <c r="L3673" s="7">
        <f>IF(COUNTA(A3673,B3673)=0,"",IF(OR(A3673="",B3673=""),"Preencher CPF e entrada",IF(COUNTIFS($A$12:$A$5011,A3673,$B$12:$B$5011,B3673)&gt;1,"CPF + dia duplicado",IF(OR(AND(E3673&lt;&gt;"",E3673&lt;B3673),AND(F3673&lt;&gt;"",F3673&lt;B3673)),"Evento anterior à entrada",IF(AND(F3673&lt;&gt;"",E3673=""),"Conversa sem agendamento",IF(OR(E3673&gt;TODAY(),F3673&gt;TODAY()),"Verificar evento futuro","OK"))))))</f>
        <v/>
      </c>
    </row>
    <row r="3674" spans="9:12">
      <c r="I3674" s="5">
        <f>IF(OR(A3674="",B3674=""),"",B3674-WEEKDAY(B3674,2)+1)</f>
        <v/>
      </c>
      <c r="J3674" s="5">
        <f>IF(I3674="","",I3674+6)</f>
        <v/>
      </c>
      <c r="K3674" s="6">
        <f>IF(OR(A3674="",B3674=""),"",DATE(YEAR(B3674),MONTH(B3674),1))</f>
        <v/>
      </c>
      <c r="L3674" s="7">
        <f>IF(COUNTA(A3674,B3674)=0,"",IF(OR(A3674="",B3674=""),"Preencher CPF e entrada",IF(COUNTIFS($A$12:$A$5011,A3674,$B$12:$B$5011,B3674)&gt;1,"CPF + dia duplicado",IF(OR(AND(E3674&lt;&gt;"",E3674&lt;B3674),AND(F3674&lt;&gt;"",F3674&lt;B3674)),"Evento anterior à entrada",IF(AND(F3674&lt;&gt;"",E3674=""),"Conversa sem agendamento",IF(OR(E3674&gt;TODAY(),F3674&gt;TODAY()),"Verificar evento futuro","OK"))))))</f>
        <v/>
      </c>
    </row>
    <row r="3675" spans="9:12">
      <c r="I3675" s="5">
        <f>IF(OR(A3675="",B3675=""),"",B3675-WEEKDAY(B3675,2)+1)</f>
        <v/>
      </c>
      <c r="J3675" s="5">
        <f>IF(I3675="","",I3675+6)</f>
        <v/>
      </c>
      <c r="K3675" s="6">
        <f>IF(OR(A3675="",B3675=""),"",DATE(YEAR(B3675),MONTH(B3675),1))</f>
        <v/>
      </c>
      <c r="L3675" s="7">
        <f>IF(COUNTA(A3675,B3675)=0,"",IF(OR(A3675="",B3675=""),"Preencher CPF e entrada",IF(COUNTIFS($A$12:$A$5011,A3675,$B$12:$B$5011,B3675)&gt;1,"CPF + dia duplicado",IF(OR(AND(E3675&lt;&gt;"",E3675&lt;B3675),AND(F3675&lt;&gt;"",F3675&lt;B3675)),"Evento anterior à entrada",IF(AND(F3675&lt;&gt;"",E3675=""),"Conversa sem agendamento",IF(OR(E3675&gt;TODAY(),F3675&gt;TODAY()),"Verificar evento futuro","OK"))))))</f>
        <v/>
      </c>
    </row>
    <row r="3676" spans="9:12">
      <c r="I3676" s="5">
        <f>IF(OR(A3676="",B3676=""),"",B3676-WEEKDAY(B3676,2)+1)</f>
        <v/>
      </c>
      <c r="J3676" s="5">
        <f>IF(I3676="","",I3676+6)</f>
        <v/>
      </c>
      <c r="K3676" s="6">
        <f>IF(OR(A3676="",B3676=""),"",DATE(YEAR(B3676),MONTH(B3676),1))</f>
        <v/>
      </c>
      <c r="L3676" s="7">
        <f>IF(COUNTA(A3676,B3676)=0,"",IF(OR(A3676="",B3676=""),"Preencher CPF e entrada",IF(COUNTIFS($A$12:$A$5011,A3676,$B$12:$B$5011,B3676)&gt;1,"CPF + dia duplicado",IF(OR(AND(E3676&lt;&gt;"",E3676&lt;B3676),AND(F3676&lt;&gt;"",F3676&lt;B3676)),"Evento anterior à entrada",IF(AND(F3676&lt;&gt;"",E3676=""),"Conversa sem agendamento",IF(OR(E3676&gt;TODAY(),F3676&gt;TODAY()),"Verificar evento futuro","OK"))))))</f>
        <v/>
      </c>
    </row>
    <row r="3677" spans="9:12">
      <c r="I3677" s="5">
        <f>IF(OR(A3677="",B3677=""),"",B3677-WEEKDAY(B3677,2)+1)</f>
        <v/>
      </c>
      <c r="J3677" s="5">
        <f>IF(I3677="","",I3677+6)</f>
        <v/>
      </c>
      <c r="K3677" s="6">
        <f>IF(OR(A3677="",B3677=""),"",DATE(YEAR(B3677),MONTH(B3677),1))</f>
        <v/>
      </c>
      <c r="L3677" s="7">
        <f>IF(COUNTA(A3677,B3677)=0,"",IF(OR(A3677="",B3677=""),"Preencher CPF e entrada",IF(COUNTIFS($A$12:$A$5011,A3677,$B$12:$B$5011,B3677)&gt;1,"CPF + dia duplicado",IF(OR(AND(E3677&lt;&gt;"",E3677&lt;B3677),AND(F3677&lt;&gt;"",F3677&lt;B3677)),"Evento anterior à entrada",IF(AND(F3677&lt;&gt;"",E3677=""),"Conversa sem agendamento",IF(OR(E3677&gt;TODAY(),F3677&gt;TODAY()),"Verificar evento futuro","OK"))))))</f>
        <v/>
      </c>
    </row>
    <row r="3678" spans="9:12">
      <c r="I3678" s="5">
        <f>IF(OR(A3678="",B3678=""),"",B3678-WEEKDAY(B3678,2)+1)</f>
        <v/>
      </c>
      <c r="J3678" s="5">
        <f>IF(I3678="","",I3678+6)</f>
        <v/>
      </c>
      <c r="K3678" s="6">
        <f>IF(OR(A3678="",B3678=""),"",DATE(YEAR(B3678),MONTH(B3678),1))</f>
        <v/>
      </c>
      <c r="L3678" s="7">
        <f>IF(COUNTA(A3678,B3678)=0,"",IF(OR(A3678="",B3678=""),"Preencher CPF e entrada",IF(COUNTIFS($A$12:$A$5011,A3678,$B$12:$B$5011,B3678)&gt;1,"CPF + dia duplicado",IF(OR(AND(E3678&lt;&gt;"",E3678&lt;B3678),AND(F3678&lt;&gt;"",F3678&lt;B3678)),"Evento anterior à entrada",IF(AND(F3678&lt;&gt;"",E3678=""),"Conversa sem agendamento",IF(OR(E3678&gt;TODAY(),F3678&gt;TODAY()),"Verificar evento futuro","OK"))))))</f>
        <v/>
      </c>
    </row>
    <row r="3679" spans="9:12">
      <c r="I3679" s="5">
        <f>IF(OR(A3679="",B3679=""),"",B3679-WEEKDAY(B3679,2)+1)</f>
        <v/>
      </c>
      <c r="J3679" s="5">
        <f>IF(I3679="","",I3679+6)</f>
        <v/>
      </c>
      <c r="K3679" s="6">
        <f>IF(OR(A3679="",B3679=""),"",DATE(YEAR(B3679),MONTH(B3679),1))</f>
        <v/>
      </c>
      <c r="L3679" s="7">
        <f>IF(COUNTA(A3679,B3679)=0,"",IF(OR(A3679="",B3679=""),"Preencher CPF e entrada",IF(COUNTIFS($A$12:$A$5011,A3679,$B$12:$B$5011,B3679)&gt;1,"CPF + dia duplicado",IF(OR(AND(E3679&lt;&gt;"",E3679&lt;B3679),AND(F3679&lt;&gt;"",F3679&lt;B3679)),"Evento anterior à entrada",IF(AND(F3679&lt;&gt;"",E3679=""),"Conversa sem agendamento",IF(OR(E3679&gt;TODAY(),F3679&gt;TODAY()),"Verificar evento futuro","OK"))))))</f>
        <v/>
      </c>
    </row>
    <row r="3680" spans="9:12">
      <c r="I3680" s="5">
        <f>IF(OR(A3680="",B3680=""),"",B3680-WEEKDAY(B3680,2)+1)</f>
        <v/>
      </c>
      <c r="J3680" s="5">
        <f>IF(I3680="","",I3680+6)</f>
        <v/>
      </c>
      <c r="K3680" s="6">
        <f>IF(OR(A3680="",B3680=""),"",DATE(YEAR(B3680),MONTH(B3680),1))</f>
        <v/>
      </c>
      <c r="L3680" s="7">
        <f>IF(COUNTA(A3680,B3680)=0,"",IF(OR(A3680="",B3680=""),"Preencher CPF e entrada",IF(COUNTIFS($A$12:$A$5011,A3680,$B$12:$B$5011,B3680)&gt;1,"CPF + dia duplicado",IF(OR(AND(E3680&lt;&gt;"",E3680&lt;B3680),AND(F3680&lt;&gt;"",F3680&lt;B3680)),"Evento anterior à entrada",IF(AND(F3680&lt;&gt;"",E3680=""),"Conversa sem agendamento",IF(OR(E3680&gt;TODAY(),F3680&gt;TODAY()),"Verificar evento futuro","OK"))))))</f>
        <v/>
      </c>
    </row>
    <row r="3681" spans="9:12">
      <c r="I3681" s="5">
        <f>IF(OR(A3681="",B3681=""),"",B3681-WEEKDAY(B3681,2)+1)</f>
        <v/>
      </c>
      <c r="J3681" s="5">
        <f>IF(I3681="","",I3681+6)</f>
        <v/>
      </c>
      <c r="K3681" s="6">
        <f>IF(OR(A3681="",B3681=""),"",DATE(YEAR(B3681),MONTH(B3681),1))</f>
        <v/>
      </c>
      <c r="L3681" s="7">
        <f>IF(COUNTA(A3681,B3681)=0,"",IF(OR(A3681="",B3681=""),"Preencher CPF e entrada",IF(COUNTIFS($A$12:$A$5011,A3681,$B$12:$B$5011,B3681)&gt;1,"CPF + dia duplicado",IF(OR(AND(E3681&lt;&gt;"",E3681&lt;B3681),AND(F3681&lt;&gt;"",F3681&lt;B3681)),"Evento anterior à entrada",IF(AND(F3681&lt;&gt;"",E3681=""),"Conversa sem agendamento",IF(OR(E3681&gt;TODAY(),F3681&gt;TODAY()),"Verificar evento futuro","OK"))))))</f>
        <v/>
      </c>
    </row>
    <row r="3682" spans="9:12">
      <c r="I3682" s="5">
        <f>IF(OR(A3682="",B3682=""),"",B3682-WEEKDAY(B3682,2)+1)</f>
        <v/>
      </c>
      <c r="J3682" s="5">
        <f>IF(I3682="","",I3682+6)</f>
        <v/>
      </c>
      <c r="K3682" s="6">
        <f>IF(OR(A3682="",B3682=""),"",DATE(YEAR(B3682),MONTH(B3682),1))</f>
        <v/>
      </c>
      <c r="L3682" s="7">
        <f>IF(COUNTA(A3682,B3682)=0,"",IF(OR(A3682="",B3682=""),"Preencher CPF e entrada",IF(COUNTIFS($A$12:$A$5011,A3682,$B$12:$B$5011,B3682)&gt;1,"CPF + dia duplicado",IF(OR(AND(E3682&lt;&gt;"",E3682&lt;B3682),AND(F3682&lt;&gt;"",F3682&lt;B3682)),"Evento anterior à entrada",IF(AND(F3682&lt;&gt;"",E3682=""),"Conversa sem agendamento",IF(OR(E3682&gt;TODAY(),F3682&gt;TODAY()),"Verificar evento futuro","OK"))))))</f>
        <v/>
      </c>
    </row>
    <row r="3683" spans="9:12">
      <c r="I3683" s="5">
        <f>IF(OR(A3683="",B3683=""),"",B3683-WEEKDAY(B3683,2)+1)</f>
        <v/>
      </c>
      <c r="J3683" s="5">
        <f>IF(I3683="","",I3683+6)</f>
        <v/>
      </c>
      <c r="K3683" s="6">
        <f>IF(OR(A3683="",B3683=""),"",DATE(YEAR(B3683),MONTH(B3683),1))</f>
        <v/>
      </c>
      <c r="L3683" s="7">
        <f>IF(COUNTA(A3683,B3683)=0,"",IF(OR(A3683="",B3683=""),"Preencher CPF e entrada",IF(COUNTIFS($A$12:$A$5011,A3683,$B$12:$B$5011,B3683)&gt;1,"CPF + dia duplicado",IF(OR(AND(E3683&lt;&gt;"",E3683&lt;B3683),AND(F3683&lt;&gt;"",F3683&lt;B3683)),"Evento anterior à entrada",IF(AND(F3683&lt;&gt;"",E3683=""),"Conversa sem agendamento",IF(OR(E3683&gt;TODAY(),F3683&gt;TODAY()),"Verificar evento futuro","OK"))))))</f>
        <v/>
      </c>
    </row>
    <row r="3684" spans="9:12">
      <c r="I3684" s="5">
        <f>IF(OR(A3684="",B3684=""),"",B3684-WEEKDAY(B3684,2)+1)</f>
        <v/>
      </c>
      <c r="J3684" s="5">
        <f>IF(I3684="","",I3684+6)</f>
        <v/>
      </c>
      <c r="K3684" s="6">
        <f>IF(OR(A3684="",B3684=""),"",DATE(YEAR(B3684),MONTH(B3684),1))</f>
        <v/>
      </c>
      <c r="L3684" s="7">
        <f>IF(COUNTA(A3684,B3684)=0,"",IF(OR(A3684="",B3684=""),"Preencher CPF e entrada",IF(COUNTIFS($A$12:$A$5011,A3684,$B$12:$B$5011,B3684)&gt;1,"CPF + dia duplicado",IF(OR(AND(E3684&lt;&gt;"",E3684&lt;B3684),AND(F3684&lt;&gt;"",F3684&lt;B3684)),"Evento anterior à entrada",IF(AND(F3684&lt;&gt;"",E3684=""),"Conversa sem agendamento",IF(OR(E3684&gt;TODAY(),F3684&gt;TODAY()),"Verificar evento futuro","OK"))))))</f>
        <v/>
      </c>
    </row>
    <row r="3685" spans="9:12">
      <c r="I3685" s="5">
        <f>IF(OR(A3685="",B3685=""),"",B3685-WEEKDAY(B3685,2)+1)</f>
        <v/>
      </c>
      <c r="J3685" s="5">
        <f>IF(I3685="","",I3685+6)</f>
        <v/>
      </c>
      <c r="K3685" s="6">
        <f>IF(OR(A3685="",B3685=""),"",DATE(YEAR(B3685),MONTH(B3685),1))</f>
        <v/>
      </c>
      <c r="L3685" s="7">
        <f>IF(COUNTA(A3685,B3685)=0,"",IF(OR(A3685="",B3685=""),"Preencher CPF e entrada",IF(COUNTIFS($A$12:$A$5011,A3685,$B$12:$B$5011,B3685)&gt;1,"CPF + dia duplicado",IF(OR(AND(E3685&lt;&gt;"",E3685&lt;B3685),AND(F3685&lt;&gt;"",F3685&lt;B3685)),"Evento anterior à entrada",IF(AND(F3685&lt;&gt;"",E3685=""),"Conversa sem agendamento",IF(OR(E3685&gt;TODAY(),F3685&gt;TODAY()),"Verificar evento futuro","OK"))))))</f>
        <v/>
      </c>
    </row>
    <row r="3686" spans="9:12">
      <c r="I3686" s="5">
        <f>IF(OR(A3686="",B3686=""),"",B3686-WEEKDAY(B3686,2)+1)</f>
        <v/>
      </c>
      <c r="J3686" s="5">
        <f>IF(I3686="","",I3686+6)</f>
        <v/>
      </c>
      <c r="K3686" s="6">
        <f>IF(OR(A3686="",B3686=""),"",DATE(YEAR(B3686),MONTH(B3686),1))</f>
        <v/>
      </c>
      <c r="L3686" s="7">
        <f>IF(COUNTA(A3686,B3686)=0,"",IF(OR(A3686="",B3686=""),"Preencher CPF e entrada",IF(COUNTIFS($A$12:$A$5011,A3686,$B$12:$B$5011,B3686)&gt;1,"CPF + dia duplicado",IF(OR(AND(E3686&lt;&gt;"",E3686&lt;B3686),AND(F3686&lt;&gt;"",F3686&lt;B3686)),"Evento anterior à entrada",IF(AND(F3686&lt;&gt;"",E3686=""),"Conversa sem agendamento",IF(OR(E3686&gt;TODAY(),F3686&gt;TODAY()),"Verificar evento futuro","OK"))))))</f>
        <v/>
      </c>
    </row>
    <row r="3687" spans="9:12">
      <c r="I3687" s="5">
        <f>IF(OR(A3687="",B3687=""),"",B3687-WEEKDAY(B3687,2)+1)</f>
        <v/>
      </c>
      <c r="J3687" s="5">
        <f>IF(I3687="","",I3687+6)</f>
        <v/>
      </c>
      <c r="K3687" s="6">
        <f>IF(OR(A3687="",B3687=""),"",DATE(YEAR(B3687),MONTH(B3687),1))</f>
        <v/>
      </c>
      <c r="L3687" s="7">
        <f>IF(COUNTA(A3687,B3687)=0,"",IF(OR(A3687="",B3687=""),"Preencher CPF e entrada",IF(COUNTIFS($A$12:$A$5011,A3687,$B$12:$B$5011,B3687)&gt;1,"CPF + dia duplicado",IF(OR(AND(E3687&lt;&gt;"",E3687&lt;B3687),AND(F3687&lt;&gt;"",F3687&lt;B3687)),"Evento anterior à entrada",IF(AND(F3687&lt;&gt;"",E3687=""),"Conversa sem agendamento",IF(OR(E3687&gt;TODAY(),F3687&gt;TODAY()),"Verificar evento futuro","OK"))))))</f>
        <v/>
      </c>
    </row>
    <row r="3688" spans="9:12">
      <c r="I3688" s="5">
        <f>IF(OR(A3688="",B3688=""),"",B3688-WEEKDAY(B3688,2)+1)</f>
        <v/>
      </c>
      <c r="J3688" s="5">
        <f>IF(I3688="","",I3688+6)</f>
        <v/>
      </c>
      <c r="K3688" s="6">
        <f>IF(OR(A3688="",B3688=""),"",DATE(YEAR(B3688),MONTH(B3688),1))</f>
        <v/>
      </c>
      <c r="L3688" s="7">
        <f>IF(COUNTA(A3688,B3688)=0,"",IF(OR(A3688="",B3688=""),"Preencher CPF e entrada",IF(COUNTIFS($A$12:$A$5011,A3688,$B$12:$B$5011,B3688)&gt;1,"CPF + dia duplicado",IF(OR(AND(E3688&lt;&gt;"",E3688&lt;B3688),AND(F3688&lt;&gt;"",F3688&lt;B3688)),"Evento anterior à entrada",IF(AND(F3688&lt;&gt;"",E3688=""),"Conversa sem agendamento",IF(OR(E3688&gt;TODAY(),F3688&gt;TODAY()),"Verificar evento futuro","OK"))))))</f>
        <v/>
      </c>
    </row>
    <row r="3689" spans="9:12">
      <c r="I3689" s="5">
        <f>IF(OR(A3689="",B3689=""),"",B3689-WEEKDAY(B3689,2)+1)</f>
        <v/>
      </c>
      <c r="J3689" s="5">
        <f>IF(I3689="","",I3689+6)</f>
        <v/>
      </c>
      <c r="K3689" s="6">
        <f>IF(OR(A3689="",B3689=""),"",DATE(YEAR(B3689),MONTH(B3689),1))</f>
        <v/>
      </c>
      <c r="L3689" s="7">
        <f>IF(COUNTA(A3689,B3689)=0,"",IF(OR(A3689="",B3689=""),"Preencher CPF e entrada",IF(COUNTIFS($A$12:$A$5011,A3689,$B$12:$B$5011,B3689)&gt;1,"CPF + dia duplicado",IF(OR(AND(E3689&lt;&gt;"",E3689&lt;B3689),AND(F3689&lt;&gt;"",F3689&lt;B3689)),"Evento anterior à entrada",IF(AND(F3689&lt;&gt;"",E3689=""),"Conversa sem agendamento",IF(OR(E3689&gt;TODAY(),F3689&gt;TODAY()),"Verificar evento futuro","OK"))))))</f>
        <v/>
      </c>
    </row>
    <row r="3690" spans="9:12">
      <c r="I3690" s="5">
        <f>IF(OR(A3690="",B3690=""),"",B3690-WEEKDAY(B3690,2)+1)</f>
        <v/>
      </c>
      <c r="J3690" s="5">
        <f>IF(I3690="","",I3690+6)</f>
        <v/>
      </c>
      <c r="K3690" s="6">
        <f>IF(OR(A3690="",B3690=""),"",DATE(YEAR(B3690),MONTH(B3690),1))</f>
        <v/>
      </c>
      <c r="L3690" s="7">
        <f>IF(COUNTA(A3690,B3690)=0,"",IF(OR(A3690="",B3690=""),"Preencher CPF e entrada",IF(COUNTIFS($A$12:$A$5011,A3690,$B$12:$B$5011,B3690)&gt;1,"CPF + dia duplicado",IF(OR(AND(E3690&lt;&gt;"",E3690&lt;B3690),AND(F3690&lt;&gt;"",F3690&lt;B3690)),"Evento anterior à entrada",IF(AND(F3690&lt;&gt;"",E3690=""),"Conversa sem agendamento",IF(OR(E3690&gt;TODAY(),F3690&gt;TODAY()),"Verificar evento futuro","OK"))))))</f>
        <v/>
      </c>
    </row>
    <row r="3691" spans="9:12">
      <c r="I3691" s="5">
        <f>IF(OR(A3691="",B3691=""),"",B3691-WEEKDAY(B3691,2)+1)</f>
        <v/>
      </c>
      <c r="J3691" s="5">
        <f>IF(I3691="","",I3691+6)</f>
        <v/>
      </c>
      <c r="K3691" s="6">
        <f>IF(OR(A3691="",B3691=""),"",DATE(YEAR(B3691),MONTH(B3691),1))</f>
        <v/>
      </c>
      <c r="L3691" s="7">
        <f>IF(COUNTA(A3691,B3691)=0,"",IF(OR(A3691="",B3691=""),"Preencher CPF e entrada",IF(COUNTIFS($A$12:$A$5011,A3691,$B$12:$B$5011,B3691)&gt;1,"CPF + dia duplicado",IF(OR(AND(E3691&lt;&gt;"",E3691&lt;B3691),AND(F3691&lt;&gt;"",F3691&lt;B3691)),"Evento anterior à entrada",IF(AND(F3691&lt;&gt;"",E3691=""),"Conversa sem agendamento",IF(OR(E3691&gt;TODAY(),F3691&gt;TODAY()),"Verificar evento futuro","OK"))))))</f>
        <v/>
      </c>
    </row>
    <row r="3692" spans="9:12">
      <c r="I3692" s="5">
        <f>IF(OR(A3692="",B3692=""),"",B3692-WEEKDAY(B3692,2)+1)</f>
        <v/>
      </c>
      <c r="J3692" s="5">
        <f>IF(I3692="","",I3692+6)</f>
        <v/>
      </c>
      <c r="K3692" s="6">
        <f>IF(OR(A3692="",B3692=""),"",DATE(YEAR(B3692),MONTH(B3692),1))</f>
        <v/>
      </c>
      <c r="L3692" s="7">
        <f>IF(COUNTA(A3692,B3692)=0,"",IF(OR(A3692="",B3692=""),"Preencher CPF e entrada",IF(COUNTIFS($A$12:$A$5011,A3692,$B$12:$B$5011,B3692)&gt;1,"CPF + dia duplicado",IF(OR(AND(E3692&lt;&gt;"",E3692&lt;B3692),AND(F3692&lt;&gt;"",F3692&lt;B3692)),"Evento anterior à entrada",IF(AND(F3692&lt;&gt;"",E3692=""),"Conversa sem agendamento",IF(OR(E3692&gt;TODAY(),F3692&gt;TODAY()),"Verificar evento futuro","OK"))))))</f>
        <v/>
      </c>
    </row>
    <row r="3693" spans="9:12">
      <c r="I3693" s="5">
        <f>IF(OR(A3693="",B3693=""),"",B3693-WEEKDAY(B3693,2)+1)</f>
        <v/>
      </c>
      <c r="J3693" s="5">
        <f>IF(I3693="","",I3693+6)</f>
        <v/>
      </c>
      <c r="K3693" s="6">
        <f>IF(OR(A3693="",B3693=""),"",DATE(YEAR(B3693),MONTH(B3693),1))</f>
        <v/>
      </c>
      <c r="L3693" s="7">
        <f>IF(COUNTA(A3693,B3693)=0,"",IF(OR(A3693="",B3693=""),"Preencher CPF e entrada",IF(COUNTIFS($A$12:$A$5011,A3693,$B$12:$B$5011,B3693)&gt;1,"CPF + dia duplicado",IF(OR(AND(E3693&lt;&gt;"",E3693&lt;B3693),AND(F3693&lt;&gt;"",F3693&lt;B3693)),"Evento anterior à entrada",IF(AND(F3693&lt;&gt;"",E3693=""),"Conversa sem agendamento",IF(OR(E3693&gt;TODAY(),F3693&gt;TODAY()),"Verificar evento futuro","OK"))))))</f>
        <v/>
      </c>
    </row>
    <row r="3694" spans="9:12">
      <c r="I3694" s="5">
        <f>IF(OR(A3694="",B3694=""),"",B3694-WEEKDAY(B3694,2)+1)</f>
        <v/>
      </c>
      <c r="J3694" s="5">
        <f>IF(I3694="","",I3694+6)</f>
        <v/>
      </c>
      <c r="K3694" s="6">
        <f>IF(OR(A3694="",B3694=""),"",DATE(YEAR(B3694),MONTH(B3694),1))</f>
        <v/>
      </c>
      <c r="L3694" s="7">
        <f>IF(COUNTA(A3694,B3694)=0,"",IF(OR(A3694="",B3694=""),"Preencher CPF e entrada",IF(COUNTIFS($A$12:$A$5011,A3694,$B$12:$B$5011,B3694)&gt;1,"CPF + dia duplicado",IF(OR(AND(E3694&lt;&gt;"",E3694&lt;B3694),AND(F3694&lt;&gt;"",F3694&lt;B3694)),"Evento anterior à entrada",IF(AND(F3694&lt;&gt;"",E3694=""),"Conversa sem agendamento",IF(OR(E3694&gt;TODAY(),F3694&gt;TODAY()),"Verificar evento futuro","OK"))))))</f>
        <v/>
      </c>
    </row>
    <row r="3695" spans="9:12">
      <c r="I3695" s="5">
        <f>IF(OR(A3695="",B3695=""),"",B3695-WEEKDAY(B3695,2)+1)</f>
        <v/>
      </c>
      <c r="J3695" s="5">
        <f>IF(I3695="","",I3695+6)</f>
        <v/>
      </c>
      <c r="K3695" s="6">
        <f>IF(OR(A3695="",B3695=""),"",DATE(YEAR(B3695),MONTH(B3695),1))</f>
        <v/>
      </c>
      <c r="L3695" s="7">
        <f>IF(COUNTA(A3695,B3695)=0,"",IF(OR(A3695="",B3695=""),"Preencher CPF e entrada",IF(COUNTIFS($A$12:$A$5011,A3695,$B$12:$B$5011,B3695)&gt;1,"CPF + dia duplicado",IF(OR(AND(E3695&lt;&gt;"",E3695&lt;B3695),AND(F3695&lt;&gt;"",F3695&lt;B3695)),"Evento anterior à entrada",IF(AND(F3695&lt;&gt;"",E3695=""),"Conversa sem agendamento",IF(OR(E3695&gt;TODAY(),F3695&gt;TODAY()),"Verificar evento futuro","OK"))))))</f>
        <v/>
      </c>
    </row>
    <row r="3696" spans="9:12">
      <c r="I3696" s="5">
        <f>IF(OR(A3696="",B3696=""),"",B3696-WEEKDAY(B3696,2)+1)</f>
        <v/>
      </c>
      <c r="J3696" s="5">
        <f>IF(I3696="","",I3696+6)</f>
        <v/>
      </c>
      <c r="K3696" s="6">
        <f>IF(OR(A3696="",B3696=""),"",DATE(YEAR(B3696),MONTH(B3696),1))</f>
        <v/>
      </c>
      <c r="L3696" s="7">
        <f>IF(COUNTA(A3696,B3696)=0,"",IF(OR(A3696="",B3696=""),"Preencher CPF e entrada",IF(COUNTIFS($A$12:$A$5011,A3696,$B$12:$B$5011,B3696)&gt;1,"CPF + dia duplicado",IF(OR(AND(E3696&lt;&gt;"",E3696&lt;B3696),AND(F3696&lt;&gt;"",F3696&lt;B3696)),"Evento anterior à entrada",IF(AND(F3696&lt;&gt;"",E3696=""),"Conversa sem agendamento",IF(OR(E3696&gt;TODAY(),F3696&gt;TODAY()),"Verificar evento futuro","OK"))))))</f>
        <v/>
      </c>
    </row>
    <row r="3697" spans="9:12">
      <c r="I3697" s="5">
        <f>IF(OR(A3697="",B3697=""),"",B3697-WEEKDAY(B3697,2)+1)</f>
        <v/>
      </c>
      <c r="J3697" s="5">
        <f>IF(I3697="","",I3697+6)</f>
        <v/>
      </c>
      <c r="K3697" s="6">
        <f>IF(OR(A3697="",B3697=""),"",DATE(YEAR(B3697),MONTH(B3697),1))</f>
        <v/>
      </c>
      <c r="L3697" s="7">
        <f>IF(COUNTA(A3697,B3697)=0,"",IF(OR(A3697="",B3697=""),"Preencher CPF e entrada",IF(COUNTIFS($A$12:$A$5011,A3697,$B$12:$B$5011,B3697)&gt;1,"CPF + dia duplicado",IF(OR(AND(E3697&lt;&gt;"",E3697&lt;B3697),AND(F3697&lt;&gt;"",F3697&lt;B3697)),"Evento anterior à entrada",IF(AND(F3697&lt;&gt;"",E3697=""),"Conversa sem agendamento",IF(OR(E3697&gt;TODAY(),F3697&gt;TODAY()),"Verificar evento futuro","OK"))))))</f>
        <v/>
      </c>
    </row>
    <row r="3698" spans="9:12">
      <c r="I3698" s="5">
        <f>IF(OR(A3698="",B3698=""),"",B3698-WEEKDAY(B3698,2)+1)</f>
        <v/>
      </c>
      <c r="J3698" s="5">
        <f>IF(I3698="","",I3698+6)</f>
        <v/>
      </c>
      <c r="K3698" s="6">
        <f>IF(OR(A3698="",B3698=""),"",DATE(YEAR(B3698),MONTH(B3698),1))</f>
        <v/>
      </c>
      <c r="L3698" s="7">
        <f>IF(COUNTA(A3698,B3698)=0,"",IF(OR(A3698="",B3698=""),"Preencher CPF e entrada",IF(COUNTIFS($A$12:$A$5011,A3698,$B$12:$B$5011,B3698)&gt;1,"CPF + dia duplicado",IF(OR(AND(E3698&lt;&gt;"",E3698&lt;B3698),AND(F3698&lt;&gt;"",F3698&lt;B3698)),"Evento anterior à entrada",IF(AND(F3698&lt;&gt;"",E3698=""),"Conversa sem agendamento",IF(OR(E3698&gt;TODAY(),F3698&gt;TODAY()),"Verificar evento futuro","OK"))))))</f>
        <v/>
      </c>
    </row>
    <row r="3699" spans="9:12">
      <c r="I3699" s="5">
        <f>IF(OR(A3699="",B3699=""),"",B3699-WEEKDAY(B3699,2)+1)</f>
        <v/>
      </c>
      <c r="J3699" s="5">
        <f>IF(I3699="","",I3699+6)</f>
        <v/>
      </c>
      <c r="K3699" s="6">
        <f>IF(OR(A3699="",B3699=""),"",DATE(YEAR(B3699),MONTH(B3699),1))</f>
        <v/>
      </c>
      <c r="L3699" s="7">
        <f>IF(COUNTA(A3699,B3699)=0,"",IF(OR(A3699="",B3699=""),"Preencher CPF e entrada",IF(COUNTIFS($A$12:$A$5011,A3699,$B$12:$B$5011,B3699)&gt;1,"CPF + dia duplicado",IF(OR(AND(E3699&lt;&gt;"",E3699&lt;B3699),AND(F3699&lt;&gt;"",F3699&lt;B3699)),"Evento anterior à entrada",IF(AND(F3699&lt;&gt;"",E3699=""),"Conversa sem agendamento",IF(OR(E3699&gt;TODAY(),F3699&gt;TODAY()),"Verificar evento futuro","OK"))))))</f>
        <v/>
      </c>
    </row>
    <row r="3700" spans="9:12">
      <c r="I3700" s="5">
        <f>IF(OR(A3700="",B3700=""),"",B3700-WEEKDAY(B3700,2)+1)</f>
        <v/>
      </c>
      <c r="J3700" s="5">
        <f>IF(I3700="","",I3700+6)</f>
        <v/>
      </c>
      <c r="K3700" s="6">
        <f>IF(OR(A3700="",B3700=""),"",DATE(YEAR(B3700),MONTH(B3700),1))</f>
        <v/>
      </c>
      <c r="L3700" s="7">
        <f>IF(COUNTA(A3700,B3700)=0,"",IF(OR(A3700="",B3700=""),"Preencher CPF e entrada",IF(COUNTIFS($A$12:$A$5011,A3700,$B$12:$B$5011,B3700)&gt;1,"CPF + dia duplicado",IF(OR(AND(E3700&lt;&gt;"",E3700&lt;B3700),AND(F3700&lt;&gt;"",F3700&lt;B3700)),"Evento anterior à entrada",IF(AND(F3700&lt;&gt;"",E3700=""),"Conversa sem agendamento",IF(OR(E3700&gt;TODAY(),F3700&gt;TODAY()),"Verificar evento futuro","OK"))))))</f>
        <v/>
      </c>
    </row>
    <row r="3701" spans="9:12">
      <c r="I3701" s="5">
        <f>IF(OR(A3701="",B3701=""),"",B3701-WEEKDAY(B3701,2)+1)</f>
        <v/>
      </c>
      <c r="J3701" s="5">
        <f>IF(I3701="","",I3701+6)</f>
        <v/>
      </c>
      <c r="K3701" s="6">
        <f>IF(OR(A3701="",B3701=""),"",DATE(YEAR(B3701),MONTH(B3701),1))</f>
        <v/>
      </c>
      <c r="L3701" s="7">
        <f>IF(COUNTA(A3701,B3701)=0,"",IF(OR(A3701="",B3701=""),"Preencher CPF e entrada",IF(COUNTIFS($A$12:$A$5011,A3701,$B$12:$B$5011,B3701)&gt;1,"CPF + dia duplicado",IF(OR(AND(E3701&lt;&gt;"",E3701&lt;B3701),AND(F3701&lt;&gt;"",F3701&lt;B3701)),"Evento anterior à entrada",IF(AND(F3701&lt;&gt;"",E3701=""),"Conversa sem agendamento",IF(OR(E3701&gt;TODAY(),F3701&gt;TODAY()),"Verificar evento futuro","OK"))))))</f>
        <v/>
      </c>
    </row>
    <row r="3702" spans="9:12">
      <c r="I3702" s="5">
        <f>IF(OR(A3702="",B3702=""),"",B3702-WEEKDAY(B3702,2)+1)</f>
        <v/>
      </c>
      <c r="J3702" s="5">
        <f>IF(I3702="","",I3702+6)</f>
        <v/>
      </c>
      <c r="K3702" s="6">
        <f>IF(OR(A3702="",B3702=""),"",DATE(YEAR(B3702),MONTH(B3702),1))</f>
        <v/>
      </c>
      <c r="L3702" s="7">
        <f>IF(COUNTA(A3702,B3702)=0,"",IF(OR(A3702="",B3702=""),"Preencher CPF e entrada",IF(COUNTIFS($A$12:$A$5011,A3702,$B$12:$B$5011,B3702)&gt;1,"CPF + dia duplicado",IF(OR(AND(E3702&lt;&gt;"",E3702&lt;B3702),AND(F3702&lt;&gt;"",F3702&lt;B3702)),"Evento anterior à entrada",IF(AND(F3702&lt;&gt;"",E3702=""),"Conversa sem agendamento",IF(OR(E3702&gt;TODAY(),F3702&gt;TODAY()),"Verificar evento futuro","OK"))))))</f>
        <v/>
      </c>
    </row>
    <row r="3703" spans="9:12">
      <c r="I3703" s="5">
        <f>IF(OR(A3703="",B3703=""),"",B3703-WEEKDAY(B3703,2)+1)</f>
        <v/>
      </c>
      <c r="J3703" s="5">
        <f>IF(I3703="","",I3703+6)</f>
        <v/>
      </c>
      <c r="K3703" s="6">
        <f>IF(OR(A3703="",B3703=""),"",DATE(YEAR(B3703),MONTH(B3703),1))</f>
        <v/>
      </c>
      <c r="L3703" s="7">
        <f>IF(COUNTA(A3703,B3703)=0,"",IF(OR(A3703="",B3703=""),"Preencher CPF e entrada",IF(COUNTIFS($A$12:$A$5011,A3703,$B$12:$B$5011,B3703)&gt;1,"CPF + dia duplicado",IF(OR(AND(E3703&lt;&gt;"",E3703&lt;B3703),AND(F3703&lt;&gt;"",F3703&lt;B3703)),"Evento anterior à entrada",IF(AND(F3703&lt;&gt;"",E3703=""),"Conversa sem agendamento",IF(OR(E3703&gt;TODAY(),F3703&gt;TODAY()),"Verificar evento futuro","OK"))))))</f>
        <v/>
      </c>
    </row>
    <row r="3704" spans="9:12">
      <c r="I3704" s="5">
        <f>IF(OR(A3704="",B3704=""),"",B3704-WEEKDAY(B3704,2)+1)</f>
        <v/>
      </c>
      <c r="J3704" s="5">
        <f>IF(I3704="","",I3704+6)</f>
        <v/>
      </c>
      <c r="K3704" s="6">
        <f>IF(OR(A3704="",B3704=""),"",DATE(YEAR(B3704),MONTH(B3704),1))</f>
        <v/>
      </c>
      <c r="L3704" s="7">
        <f>IF(COUNTA(A3704,B3704)=0,"",IF(OR(A3704="",B3704=""),"Preencher CPF e entrada",IF(COUNTIFS($A$12:$A$5011,A3704,$B$12:$B$5011,B3704)&gt;1,"CPF + dia duplicado",IF(OR(AND(E3704&lt;&gt;"",E3704&lt;B3704),AND(F3704&lt;&gt;"",F3704&lt;B3704)),"Evento anterior à entrada",IF(AND(F3704&lt;&gt;"",E3704=""),"Conversa sem agendamento",IF(OR(E3704&gt;TODAY(),F3704&gt;TODAY()),"Verificar evento futuro","OK"))))))</f>
        <v/>
      </c>
    </row>
    <row r="3705" spans="9:12">
      <c r="I3705" s="5">
        <f>IF(OR(A3705="",B3705=""),"",B3705-WEEKDAY(B3705,2)+1)</f>
        <v/>
      </c>
      <c r="J3705" s="5">
        <f>IF(I3705="","",I3705+6)</f>
        <v/>
      </c>
      <c r="K3705" s="6">
        <f>IF(OR(A3705="",B3705=""),"",DATE(YEAR(B3705),MONTH(B3705),1))</f>
        <v/>
      </c>
      <c r="L3705" s="7">
        <f>IF(COUNTA(A3705,B3705)=0,"",IF(OR(A3705="",B3705=""),"Preencher CPF e entrada",IF(COUNTIFS($A$12:$A$5011,A3705,$B$12:$B$5011,B3705)&gt;1,"CPF + dia duplicado",IF(OR(AND(E3705&lt;&gt;"",E3705&lt;B3705),AND(F3705&lt;&gt;"",F3705&lt;B3705)),"Evento anterior à entrada",IF(AND(F3705&lt;&gt;"",E3705=""),"Conversa sem agendamento",IF(OR(E3705&gt;TODAY(),F3705&gt;TODAY()),"Verificar evento futuro","OK"))))))</f>
        <v/>
      </c>
    </row>
    <row r="3706" spans="9:12">
      <c r="I3706" s="5">
        <f>IF(OR(A3706="",B3706=""),"",B3706-WEEKDAY(B3706,2)+1)</f>
        <v/>
      </c>
      <c r="J3706" s="5">
        <f>IF(I3706="","",I3706+6)</f>
        <v/>
      </c>
      <c r="K3706" s="6">
        <f>IF(OR(A3706="",B3706=""),"",DATE(YEAR(B3706),MONTH(B3706),1))</f>
        <v/>
      </c>
      <c r="L3706" s="7">
        <f>IF(COUNTA(A3706,B3706)=0,"",IF(OR(A3706="",B3706=""),"Preencher CPF e entrada",IF(COUNTIFS($A$12:$A$5011,A3706,$B$12:$B$5011,B3706)&gt;1,"CPF + dia duplicado",IF(OR(AND(E3706&lt;&gt;"",E3706&lt;B3706),AND(F3706&lt;&gt;"",F3706&lt;B3706)),"Evento anterior à entrada",IF(AND(F3706&lt;&gt;"",E3706=""),"Conversa sem agendamento",IF(OR(E3706&gt;TODAY(),F3706&gt;TODAY()),"Verificar evento futuro","OK"))))))</f>
        <v/>
      </c>
    </row>
    <row r="3707" spans="9:12">
      <c r="I3707" s="5">
        <f>IF(OR(A3707="",B3707=""),"",B3707-WEEKDAY(B3707,2)+1)</f>
        <v/>
      </c>
      <c r="J3707" s="5">
        <f>IF(I3707="","",I3707+6)</f>
        <v/>
      </c>
      <c r="K3707" s="6">
        <f>IF(OR(A3707="",B3707=""),"",DATE(YEAR(B3707),MONTH(B3707),1))</f>
        <v/>
      </c>
      <c r="L3707" s="7">
        <f>IF(COUNTA(A3707,B3707)=0,"",IF(OR(A3707="",B3707=""),"Preencher CPF e entrada",IF(COUNTIFS($A$12:$A$5011,A3707,$B$12:$B$5011,B3707)&gt;1,"CPF + dia duplicado",IF(OR(AND(E3707&lt;&gt;"",E3707&lt;B3707),AND(F3707&lt;&gt;"",F3707&lt;B3707)),"Evento anterior à entrada",IF(AND(F3707&lt;&gt;"",E3707=""),"Conversa sem agendamento",IF(OR(E3707&gt;TODAY(),F3707&gt;TODAY()),"Verificar evento futuro","OK"))))))</f>
        <v/>
      </c>
    </row>
    <row r="3708" spans="9:12">
      <c r="I3708" s="5">
        <f>IF(OR(A3708="",B3708=""),"",B3708-WEEKDAY(B3708,2)+1)</f>
        <v/>
      </c>
      <c r="J3708" s="5">
        <f>IF(I3708="","",I3708+6)</f>
        <v/>
      </c>
      <c r="K3708" s="6">
        <f>IF(OR(A3708="",B3708=""),"",DATE(YEAR(B3708),MONTH(B3708),1))</f>
        <v/>
      </c>
      <c r="L3708" s="7">
        <f>IF(COUNTA(A3708,B3708)=0,"",IF(OR(A3708="",B3708=""),"Preencher CPF e entrada",IF(COUNTIFS($A$12:$A$5011,A3708,$B$12:$B$5011,B3708)&gt;1,"CPF + dia duplicado",IF(OR(AND(E3708&lt;&gt;"",E3708&lt;B3708),AND(F3708&lt;&gt;"",F3708&lt;B3708)),"Evento anterior à entrada",IF(AND(F3708&lt;&gt;"",E3708=""),"Conversa sem agendamento",IF(OR(E3708&gt;TODAY(),F3708&gt;TODAY()),"Verificar evento futuro","OK"))))))</f>
        <v/>
      </c>
    </row>
    <row r="3709" spans="9:12">
      <c r="I3709" s="5">
        <f>IF(OR(A3709="",B3709=""),"",B3709-WEEKDAY(B3709,2)+1)</f>
        <v/>
      </c>
      <c r="J3709" s="5">
        <f>IF(I3709="","",I3709+6)</f>
        <v/>
      </c>
      <c r="K3709" s="6">
        <f>IF(OR(A3709="",B3709=""),"",DATE(YEAR(B3709),MONTH(B3709),1))</f>
        <v/>
      </c>
      <c r="L3709" s="7">
        <f>IF(COUNTA(A3709,B3709)=0,"",IF(OR(A3709="",B3709=""),"Preencher CPF e entrada",IF(COUNTIFS($A$12:$A$5011,A3709,$B$12:$B$5011,B3709)&gt;1,"CPF + dia duplicado",IF(OR(AND(E3709&lt;&gt;"",E3709&lt;B3709),AND(F3709&lt;&gt;"",F3709&lt;B3709)),"Evento anterior à entrada",IF(AND(F3709&lt;&gt;"",E3709=""),"Conversa sem agendamento",IF(OR(E3709&gt;TODAY(),F3709&gt;TODAY()),"Verificar evento futuro","OK"))))))</f>
        <v/>
      </c>
    </row>
    <row r="3710" spans="9:12">
      <c r="I3710" s="5">
        <f>IF(OR(A3710="",B3710=""),"",B3710-WEEKDAY(B3710,2)+1)</f>
        <v/>
      </c>
      <c r="J3710" s="5">
        <f>IF(I3710="","",I3710+6)</f>
        <v/>
      </c>
      <c r="K3710" s="6">
        <f>IF(OR(A3710="",B3710=""),"",DATE(YEAR(B3710),MONTH(B3710),1))</f>
        <v/>
      </c>
      <c r="L3710" s="7">
        <f>IF(COUNTA(A3710,B3710)=0,"",IF(OR(A3710="",B3710=""),"Preencher CPF e entrada",IF(COUNTIFS($A$12:$A$5011,A3710,$B$12:$B$5011,B3710)&gt;1,"CPF + dia duplicado",IF(OR(AND(E3710&lt;&gt;"",E3710&lt;B3710),AND(F3710&lt;&gt;"",F3710&lt;B3710)),"Evento anterior à entrada",IF(AND(F3710&lt;&gt;"",E3710=""),"Conversa sem agendamento",IF(OR(E3710&gt;TODAY(),F3710&gt;TODAY()),"Verificar evento futuro","OK"))))))</f>
        <v/>
      </c>
    </row>
    <row r="3711" spans="9:12">
      <c r="I3711" s="5">
        <f>IF(OR(A3711="",B3711=""),"",B3711-WEEKDAY(B3711,2)+1)</f>
        <v/>
      </c>
      <c r="J3711" s="5">
        <f>IF(I3711="","",I3711+6)</f>
        <v/>
      </c>
      <c r="K3711" s="6">
        <f>IF(OR(A3711="",B3711=""),"",DATE(YEAR(B3711),MONTH(B3711),1))</f>
        <v/>
      </c>
      <c r="L3711" s="7">
        <f>IF(COUNTA(A3711,B3711)=0,"",IF(OR(A3711="",B3711=""),"Preencher CPF e entrada",IF(COUNTIFS($A$12:$A$5011,A3711,$B$12:$B$5011,B3711)&gt;1,"CPF + dia duplicado",IF(OR(AND(E3711&lt;&gt;"",E3711&lt;B3711),AND(F3711&lt;&gt;"",F3711&lt;B3711)),"Evento anterior à entrada",IF(AND(F3711&lt;&gt;"",E3711=""),"Conversa sem agendamento",IF(OR(E3711&gt;TODAY(),F3711&gt;TODAY()),"Verificar evento futuro","OK"))))))</f>
        <v/>
      </c>
    </row>
    <row r="3712" spans="9:12">
      <c r="I3712" s="5">
        <f>IF(OR(A3712="",B3712=""),"",B3712-WEEKDAY(B3712,2)+1)</f>
        <v/>
      </c>
      <c r="J3712" s="5">
        <f>IF(I3712="","",I3712+6)</f>
        <v/>
      </c>
      <c r="K3712" s="6">
        <f>IF(OR(A3712="",B3712=""),"",DATE(YEAR(B3712),MONTH(B3712),1))</f>
        <v/>
      </c>
      <c r="L3712" s="7">
        <f>IF(COUNTA(A3712,B3712)=0,"",IF(OR(A3712="",B3712=""),"Preencher CPF e entrada",IF(COUNTIFS($A$12:$A$5011,A3712,$B$12:$B$5011,B3712)&gt;1,"CPF + dia duplicado",IF(OR(AND(E3712&lt;&gt;"",E3712&lt;B3712),AND(F3712&lt;&gt;"",F3712&lt;B3712)),"Evento anterior à entrada",IF(AND(F3712&lt;&gt;"",E3712=""),"Conversa sem agendamento",IF(OR(E3712&gt;TODAY(),F3712&gt;TODAY()),"Verificar evento futuro","OK"))))))</f>
        <v/>
      </c>
    </row>
    <row r="3713" spans="9:12">
      <c r="I3713" s="5">
        <f>IF(OR(A3713="",B3713=""),"",B3713-WEEKDAY(B3713,2)+1)</f>
        <v/>
      </c>
      <c r="J3713" s="5">
        <f>IF(I3713="","",I3713+6)</f>
        <v/>
      </c>
      <c r="K3713" s="6">
        <f>IF(OR(A3713="",B3713=""),"",DATE(YEAR(B3713),MONTH(B3713),1))</f>
        <v/>
      </c>
      <c r="L3713" s="7">
        <f>IF(COUNTA(A3713,B3713)=0,"",IF(OR(A3713="",B3713=""),"Preencher CPF e entrada",IF(COUNTIFS($A$12:$A$5011,A3713,$B$12:$B$5011,B3713)&gt;1,"CPF + dia duplicado",IF(OR(AND(E3713&lt;&gt;"",E3713&lt;B3713),AND(F3713&lt;&gt;"",F3713&lt;B3713)),"Evento anterior à entrada",IF(AND(F3713&lt;&gt;"",E3713=""),"Conversa sem agendamento",IF(OR(E3713&gt;TODAY(),F3713&gt;TODAY()),"Verificar evento futuro","OK"))))))</f>
        <v/>
      </c>
    </row>
    <row r="3714" spans="9:12">
      <c r="I3714" s="5">
        <f>IF(OR(A3714="",B3714=""),"",B3714-WEEKDAY(B3714,2)+1)</f>
        <v/>
      </c>
      <c r="J3714" s="5">
        <f>IF(I3714="","",I3714+6)</f>
        <v/>
      </c>
      <c r="K3714" s="6">
        <f>IF(OR(A3714="",B3714=""),"",DATE(YEAR(B3714),MONTH(B3714),1))</f>
        <v/>
      </c>
      <c r="L3714" s="7">
        <f>IF(COUNTA(A3714,B3714)=0,"",IF(OR(A3714="",B3714=""),"Preencher CPF e entrada",IF(COUNTIFS($A$12:$A$5011,A3714,$B$12:$B$5011,B3714)&gt;1,"CPF + dia duplicado",IF(OR(AND(E3714&lt;&gt;"",E3714&lt;B3714),AND(F3714&lt;&gt;"",F3714&lt;B3714)),"Evento anterior à entrada",IF(AND(F3714&lt;&gt;"",E3714=""),"Conversa sem agendamento",IF(OR(E3714&gt;TODAY(),F3714&gt;TODAY()),"Verificar evento futuro","OK"))))))</f>
        <v/>
      </c>
    </row>
    <row r="3715" spans="9:12">
      <c r="I3715" s="5">
        <f>IF(OR(A3715="",B3715=""),"",B3715-WEEKDAY(B3715,2)+1)</f>
        <v/>
      </c>
      <c r="J3715" s="5">
        <f>IF(I3715="","",I3715+6)</f>
        <v/>
      </c>
      <c r="K3715" s="6">
        <f>IF(OR(A3715="",B3715=""),"",DATE(YEAR(B3715),MONTH(B3715),1))</f>
        <v/>
      </c>
      <c r="L3715" s="7">
        <f>IF(COUNTA(A3715,B3715)=0,"",IF(OR(A3715="",B3715=""),"Preencher CPF e entrada",IF(COUNTIFS($A$12:$A$5011,A3715,$B$12:$B$5011,B3715)&gt;1,"CPF + dia duplicado",IF(OR(AND(E3715&lt;&gt;"",E3715&lt;B3715),AND(F3715&lt;&gt;"",F3715&lt;B3715)),"Evento anterior à entrada",IF(AND(F3715&lt;&gt;"",E3715=""),"Conversa sem agendamento",IF(OR(E3715&gt;TODAY(),F3715&gt;TODAY()),"Verificar evento futuro","OK"))))))</f>
        <v/>
      </c>
    </row>
    <row r="3716" spans="9:12">
      <c r="I3716" s="5">
        <f>IF(OR(A3716="",B3716=""),"",B3716-WEEKDAY(B3716,2)+1)</f>
        <v/>
      </c>
      <c r="J3716" s="5">
        <f>IF(I3716="","",I3716+6)</f>
        <v/>
      </c>
      <c r="K3716" s="6">
        <f>IF(OR(A3716="",B3716=""),"",DATE(YEAR(B3716),MONTH(B3716),1))</f>
        <v/>
      </c>
      <c r="L3716" s="7">
        <f>IF(COUNTA(A3716,B3716)=0,"",IF(OR(A3716="",B3716=""),"Preencher CPF e entrada",IF(COUNTIFS($A$12:$A$5011,A3716,$B$12:$B$5011,B3716)&gt;1,"CPF + dia duplicado",IF(OR(AND(E3716&lt;&gt;"",E3716&lt;B3716),AND(F3716&lt;&gt;"",F3716&lt;B3716)),"Evento anterior à entrada",IF(AND(F3716&lt;&gt;"",E3716=""),"Conversa sem agendamento",IF(OR(E3716&gt;TODAY(),F3716&gt;TODAY()),"Verificar evento futuro","OK"))))))</f>
        <v/>
      </c>
    </row>
    <row r="3717" spans="9:12">
      <c r="I3717" s="5">
        <f>IF(OR(A3717="",B3717=""),"",B3717-WEEKDAY(B3717,2)+1)</f>
        <v/>
      </c>
      <c r="J3717" s="5">
        <f>IF(I3717="","",I3717+6)</f>
        <v/>
      </c>
      <c r="K3717" s="6">
        <f>IF(OR(A3717="",B3717=""),"",DATE(YEAR(B3717),MONTH(B3717),1))</f>
        <v/>
      </c>
      <c r="L3717" s="7">
        <f>IF(COUNTA(A3717,B3717)=0,"",IF(OR(A3717="",B3717=""),"Preencher CPF e entrada",IF(COUNTIFS($A$12:$A$5011,A3717,$B$12:$B$5011,B3717)&gt;1,"CPF + dia duplicado",IF(OR(AND(E3717&lt;&gt;"",E3717&lt;B3717),AND(F3717&lt;&gt;"",F3717&lt;B3717)),"Evento anterior à entrada",IF(AND(F3717&lt;&gt;"",E3717=""),"Conversa sem agendamento",IF(OR(E3717&gt;TODAY(),F3717&gt;TODAY()),"Verificar evento futuro","OK"))))))</f>
        <v/>
      </c>
    </row>
    <row r="3718" spans="9:12">
      <c r="I3718" s="5">
        <f>IF(OR(A3718="",B3718=""),"",B3718-WEEKDAY(B3718,2)+1)</f>
        <v/>
      </c>
      <c r="J3718" s="5">
        <f>IF(I3718="","",I3718+6)</f>
        <v/>
      </c>
      <c r="K3718" s="6">
        <f>IF(OR(A3718="",B3718=""),"",DATE(YEAR(B3718),MONTH(B3718),1))</f>
        <v/>
      </c>
      <c r="L3718" s="7">
        <f>IF(COUNTA(A3718,B3718)=0,"",IF(OR(A3718="",B3718=""),"Preencher CPF e entrada",IF(COUNTIFS($A$12:$A$5011,A3718,$B$12:$B$5011,B3718)&gt;1,"CPF + dia duplicado",IF(OR(AND(E3718&lt;&gt;"",E3718&lt;B3718),AND(F3718&lt;&gt;"",F3718&lt;B3718)),"Evento anterior à entrada",IF(AND(F3718&lt;&gt;"",E3718=""),"Conversa sem agendamento",IF(OR(E3718&gt;TODAY(),F3718&gt;TODAY()),"Verificar evento futuro","OK"))))))</f>
        <v/>
      </c>
    </row>
    <row r="3719" spans="9:12">
      <c r="I3719" s="5">
        <f>IF(OR(A3719="",B3719=""),"",B3719-WEEKDAY(B3719,2)+1)</f>
        <v/>
      </c>
      <c r="J3719" s="5">
        <f>IF(I3719="","",I3719+6)</f>
        <v/>
      </c>
      <c r="K3719" s="6">
        <f>IF(OR(A3719="",B3719=""),"",DATE(YEAR(B3719),MONTH(B3719),1))</f>
        <v/>
      </c>
      <c r="L3719" s="7">
        <f>IF(COUNTA(A3719,B3719)=0,"",IF(OR(A3719="",B3719=""),"Preencher CPF e entrada",IF(COUNTIFS($A$12:$A$5011,A3719,$B$12:$B$5011,B3719)&gt;1,"CPF + dia duplicado",IF(OR(AND(E3719&lt;&gt;"",E3719&lt;B3719),AND(F3719&lt;&gt;"",F3719&lt;B3719)),"Evento anterior à entrada",IF(AND(F3719&lt;&gt;"",E3719=""),"Conversa sem agendamento",IF(OR(E3719&gt;TODAY(),F3719&gt;TODAY()),"Verificar evento futuro","OK"))))))</f>
        <v/>
      </c>
    </row>
    <row r="3720" spans="9:12">
      <c r="I3720" s="5">
        <f>IF(OR(A3720="",B3720=""),"",B3720-WEEKDAY(B3720,2)+1)</f>
        <v/>
      </c>
      <c r="J3720" s="5">
        <f>IF(I3720="","",I3720+6)</f>
        <v/>
      </c>
      <c r="K3720" s="6">
        <f>IF(OR(A3720="",B3720=""),"",DATE(YEAR(B3720),MONTH(B3720),1))</f>
        <v/>
      </c>
      <c r="L3720" s="7">
        <f>IF(COUNTA(A3720,B3720)=0,"",IF(OR(A3720="",B3720=""),"Preencher CPF e entrada",IF(COUNTIFS($A$12:$A$5011,A3720,$B$12:$B$5011,B3720)&gt;1,"CPF + dia duplicado",IF(OR(AND(E3720&lt;&gt;"",E3720&lt;B3720),AND(F3720&lt;&gt;"",F3720&lt;B3720)),"Evento anterior à entrada",IF(AND(F3720&lt;&gt;"",E3720=""),"Conversa sem agendamento",IF(OR(E3720&gt;TODAY(),F3720&gt;TODAY()),"Verificar evento futuro","OK"))))))</f>
        <v/>
      </c>
    </row>
    <row r="3721" spans="9:12">
      <c r="I3721" s="5">
        <f>IF(OR(A3721="",B3721=""),"",B3721-WEEKDAY(B3721,2)+1)</f>
        <v/>
      </c>
      <c r="J3721" s="5">
        <f>IF(I3721="","",I3721+6)</f>
        <v/>
      </c>
      <c r="K3721" s="6">
        <f>IF(OR(A3721="",B3721=""),"",DATE(YEAR(B3721),MONTH(B3721),1))</f>
        <v/>
      </c>
      <c r="L3721" s="7">
        <f>IF(COUNTA(A3721,B3721)=0,"",IF(OR(A3721="",B3721=""),"Preencher CPF e entrada",IF(COUNTIFS($A$12:$A$5011,A3721,$B$12:$B$5011,B3721)&gt;1,"CPF + dia duplicado",IF(OR(AND(E3721&lt;&gt;"",E3721&lt;B3721),AND(F3721&lt;&gt;"",F3721&lt;B3721)),"Evento anterior à entrada",IF(AND(F3721&lt;&gt;"",E3721=""),"Conversa sem agendamento",IF(OR(E3721&gt;TODAY(),F3721&gt;TODAY()),"Verificar evento futuro","OK"))))))</f>
        <v/>
      </c>
    </row>
    <row r="3722" spans="9:12">
      <c r="I3722" s="5">
        <f>IF(OR(A3722="",B3722=""),"",B3722-WEEKDAY(B3722,2)+1)</f>
        <v/>
      </c>
      <c r="J3722" s="5">
        <f>IF(I3722="","",I3722+6)</f>
        <v/>
      </c>
      <c r="K3722" s="6">
        <f>IF(OR(A3722="",B3722=""),"",DATE(YEAR(B3722),MONTH(B3722),1))</f>
        <v/>
      </c>
      <c r="L3722" s="7">
        <f>IF(COUNTA(A3722,B3722)=0,"",IF(OR(A3722="",B3722=""),"Preencher CPF e entrada",IF(COUNTIFS($A$12:$A$5011,A3722,$B$12:$B$5011,B3722)&gt;1,"CPF + dia duplicado",IF(OR(AND(E3722&lt;&gt;"",E3722&lt;B3722),AND(F3722&lt;&gt;"",F3722&lt;B3722)),"Evento anterior à entrada",IF(AND(F3722&lt;&gt;"",E3722=""),"Conversa sem agendamento",IF(OR(E3722&gt;TODAY(),F3722&gt;TODAY()),"Verificar evento futuro","OK"))))))</f>
        <v/>
      </c>
    </row>
    <row r="3723" spans="9:12">
      <c r="I3723" s="5">
        <f>IF(OR(A3723="",B3723=""),"",B3723-WEEKDAY(B3723,2)+1)</f>
        <v/>
      </c>
      <c r="J3723" s="5">
        <f>IF(I3723="","",I3723+6)</f>
        <v/>
      </c>
      <c r="K3723" s="6">
        <f>IF(OR(A3723="",B3723=""),"",DATE(YEAR(B3723),MONTH(B3723),1))</f>
        <v/>
      </c>
      <c r="L3723" s="7">
        <f>IF(COUNTA(A3723,B3723)=0,"",IF(OR(A3723="",B3723=""),"Preencher CPF e entrada",IF(COUNTIFS($A$12:$A$5011,A3723,$B$12:$B$5011,B3723)&gt;1,"CPF + dia duplicado",IF(OR(AND(E3723&lt;&gt;"",E3723&lt;B3723),AND(F3723&lt;&gt;"",F3723&lt;B3723)),"Evento anterior à entrada",IF(AND(F3723&lt;&gt;"",E3723=""),"Conversa sem agendamento",IF(OR(E3723&gt;TODAY(),F3723&gt;TODAY()),"Verificar evento futuro","OK"))))))</f>
        <v/>
      </c>
    </row>
    <row r="3724" spans="9:12">
      <c r="I3724" s="5">
        <f>IF(OR(A3724="",B3724=""),"",B3724-WEEKDAY(B3724,2)+1)</f>
        <v/>
      </c>
      <c r="J3724" s="5">
        <f>IF(I3724="","",I3724+6)</f>
        <v/>
      </c>
      <c r="K3724" s="6">
        <f>IF(OR(A3724="",B3724=""),"",DATE(YEAR(B3724),MONTH(B3724),1))</f>
        <v/>
      </c>
      <c r="L3724" s="7">
        <f>IF(COUNTA(A3724,B3724)=0,"",IF(OR(A3724="",B3724=""),"Preencher CPF e entrada",IF(COUNTIFS($A$12:$A$5011,A3724,$B$12:$B$5011,B3724)&gt;1,"CPF + dia duplicado",IF(OR(AND(E3724&lt;&gt;"",E3724&lt;B3724),AND(F3724&lt;&gt;"",F3724&lt;B3724)),"Evento anterior à entrada",IF(AND(F3724&lt;&gt;"",E3724=""),"Conversa sem agendamento",IF(OR(E3724&gt;TODAY(),F3724&gt;TODAY()),"Verificar evento futuro","OK"))))))</f>
        <v/>
      </c>
    </row>
    <row r="3725" spans="9:12">
      <c r="I3725" s="5">
        <f>IF(OR(A3725="",B3725=""),"",B3725-WEEKDAY(B3725,2)+1)</f>
        <v/>
      </c>
      <c r="J3725" s="5">
        <f>IF(I3725="","",I3725+6)</f>
        <v/>
      </c>
      <c r="K3725" s="6">
        <f>IF(OR(A3725="",B3725=""),"",DATE(YEAR(B3725),MONTH(B3725),1))</f>
        <v/>
      </c>
      <c r="L3725" s="7">
        <f>IF(COUNTA(A3725,B3725)=0,"",IF(OR(A3725="",B3725=""),"Preencher CPF e entrada",IF(COUNTIFS($A$12:$A$5011,A3725,$B$12:$B$5011,B3725)&gt;1,"CPF + dia duplicado",IF(OR(AND(E3725&lt;&gt;"",E3725&lt;B3725),AND(F3725&lt;&gt;"",F3725&lt;B3725)),"Evento anterior à entrada",IF(AND(F3725&lt;&gt;"",E3725=""),"Conversa sem agendamento",IF(OR(E3725&gt;TODAY(),F3725&gt;TODAY()),"Verificar evento futuro","OK"))))))</f>
        <v/>
      </c>
    </row>
    <row r="3726" spans="9:12">
      <c r="I3726" s="5">
        <f>IF(OR(A3726="",B3726=""),"",B3726-WEEKDAY(B3726,2)+1)</f>
        <v/>
      </c>
      <c r="J3726" s="5">
        <f>IF(I3726="","",I3726+6)</f>
        <v/>
      </c>
      <c r="K3726" s="6">
        <f>IF(OR(A3726="",B3726=""),"",DATE(YEAR(B3726),MONTH(B3726),1))</f>
        <v/>
      </c>
      <c r="L3726" s="7">
        <f>IF(COUNTA(A3726,B3726)=0,"",IF(OR(A3726="",B3726=""),"Preencher CPF e entrada",IF(COUNTIFS($A$12:$A$5011,A3726,$B$12:$B$5011,B3726)&gt;1,"CPF + dia duplicado",IF(OR(AND(E3726&lt;&gt;"",E3726&lt;B3726),AND(F3726&lt;&gt;"",F3726&lt;B3726)),"Evento anterior à entrada",IF(AND(F3726&lt;&gt;"",E3726=""),"Conversa sem agendamento",IF(OR(E3726&gt;TODAY(),F3726&gt;TODAY()),"Verificar evento futuro","OK"))))))</f>
        <v/>
      </c>
    </row>
    <row r="3727" spans="9:12">
      <c r="I3727" s="5">
        <f>IF(OR(A3727="",B3727=""),"",B3727-WEEKDAY(B3727,2)+1)</f>
        <v/>
      </c>
      <c r="J3727" s="5">
        <f>IF(I3727="","",I3727+6)</f>
        <v/>
      </c>
      <c r="K3727" s="6">
        <f>IF(OR(A3727="",B3727=""),"",DATE(YEAR(B3727),MONTH(B3727),1))</f>
        <v/>
      </c>
      <c r="L3727" s="7">
        <f>IF(COUNTA(A3727,B3727)=0,"",IF(OR(A3727="",B3727=""),"Preencher CPF e entrada",IF(COUNTIFS($A$12:$A$5011,A3727,$B$12:$B$5011,B3727)&gt;1,"CPF + dia duplicado",IF(OR(AND(E3727&lt;&gt;"",E3727&lt;B3727),AND(F3727&lt;&gt;"",F3727&lt;B3727)),"Evento anterior à entrada",IF(AND(F3727&lt;&gt;"",E3727=""),"Conversa sem agendamento",IF(OR(E3727&gt;TODAY(),F3727&gt;TODAY()),"Verificar evento futuro","OK"))))))</f>
        <v/>
      </c>
    </row>
    <row r="3728" spans="9:12">
      <c r="I3728" s="5">
        <f>IF(OR(A3728="",B3728=""),"",B3728-WEEKDAY(B3728,2)+1)</f>
        <v/>
      </c>
      <c r="J3728" s="5">
        <f>IF(I3728="","",I3728+6)</f>
        <v/>
      </c>
      <c r="K3728" s="6">
        <f>IF(OR(A3728="",B3728=""),"",DATE(YEAR(B3728),MONTH(B3728),1))</f>
        <v/>
      </c>
      <c r="L3728" s="7">
        <f>IF(COUNTA(A3728,B3728)=0,"",IF(OR(A3728="",B3728=""),"Preencher CPF e entrada",IF(COUNTIFS($A$12:$A$5011,A3728,$B$12:$B$5011,B3728)&gt;1,"CPF + dia duplicado",IF(OR(AND(E3728&lt;&gt;"",E3728&lt;B3728),AND(F3728&lt;&gt;"",F3728&lt;B3728)),"Evento anterior à entrada",IF(AND(F3728&lt;&gt;"",E3728=""),"Conversa sem agendamento",IF(OR(E3728&gt;TODAY(),F3728&gt;TODAY()),"Verificar evento futuro","OK"))))))</f>
        <v/>
      </c>
    </row>
    <row r="3729" spans="9:12">
      <c r="I3729" s="5">
        <f>IF(OR(A3729="",B3729=""),"",B3729-WEEKDAY(B3729,2)+1)</f>
        <v/>
      </c>
      <c r="J3729" s="5">
        <f>IF(I3729="","",I3729+6)</f>
        <v/>
      </c>
      <c r="K3729" s="6">
        <f>IF(OR(A3729="",B3729=""),"",DATE(YEAR(B3729),MONTH(B3729),1))</f>
        <v/>
      </c>
      <c r="L3729" s="7">
        <f>IF(COUNTA(A3729,B3729)=0,"",IF(OR(A3729="",B3729=""),"Preencher CPF e entrada",IF(COUNTIFS($A$12:$A$5011,A3729,$B$12:$B$5011,B3729)&gt;1,"CPF + dia duplicado",IF(OR(AND(E3729&lt;&gt;"",E3729&lt;B3729),AND(F3729&lt;&gt;"",F3729&lt;B3729)),"Evento anterior à entrada",IF(AND(F3729&lt;&gt;"",E3729=""),"Conversa sem agendamento",IF(OR(E3729&gt;TODAY(),F3729&gt;TODAY()),"Verificar evento futuro","OK"))))))</f>
        <v/>
      </c>
    </row>
    <row r="3730" spans="9:12">
      <c r="I3730" s="5">
        <f>IF(OR(A3730="",B3730=""),"",B3730-WEEKDAY(B3730,2)+1)</f>
        <v/>
      </c>
      <c r="J3730" s="5">
        <f>IF(I3730="","",I3730+6)</f>
        <v/>
      </c>
      <c r="K3730" s="6">
        <f>IF(OR(A3730="",B3730=""),"",DATE(YEAR(B3730),MONTH(B3730),1))</f>
        <v/>
      </c>
      <c r="L3730" s="7">
        <f>IF(COUNTA(A3730,B3730)=0,"",IF(OR(A3730="",B3730=""),"Preencher CPF e entrada",IF(COUNTIFS($A$12:$A$5011,A3730,$B$12:$B$5011,B3730)&gt;1,"CPF + dia duplicado",IF(OR(AND(E3730&lt;&gt;"",E3730&lt;B3730),AND(F3730&lt;&gt;"",F3730&lt;B3730)),"Evento anterior à entrada",IF(AND(F3730&lt;&gt;"",E3730=""),"Conversa sem agendamento",IF(OR(E3730&gt;TODAY(),F3730&gt;TODAY()),"Verificar evento futuro","OK"))))))</f>
        <v/>
      </c>
    </row>
    <row r="3731" spans="9:12">
      <c r="I3731" s="5">
        <f>IF(OR(A3731="",B3731=""),"",B3731-WEEKDAY(B3731,2)+1)</f>
        <v/>
      </c>
      <c r="J3731" s="5">
        <f>IF(I3731="","",I3731+6)</f>
        <v/>
      </c>
      <c r="K3731" s="6">
        <f>IF(OR(A3731="",B3731=""),"",DATE(YEAR(B3731),MONTH(B3731),1))</f>
        <v/>
      </c>
      <c r="L3731" s="7">
        <f>IF(COUNTA(A3731,B3731)=0,"",IF(OR(A3731="",B3731=""),"Preencher CPF e entrada",IF(COUNTIFS($A$12:$A$5011,A3731,$B$12:$B$5011,B3731)&gt;1,"CPF + dia duplicado",IF(OR(AND(E3731&lt;&gt;"",E3731&lt;B3731),AND(F3731&lt;&gt;"",F3731&lt;B3731)),"Evento anterior à entrada",IF(AND(F3731&lt;&gt;"",E3731=""),"Conversa sem agendamento",IF(OR(E3731&gt;TODAY(),F3731&gt;TODAY()),"Verificar evento futuro","OK"))))))</f>
        <v/>
      </c>
    </row>
    <row r="3732" spans="9:12">
      <c r="I3732" s="5">
        <f>IF(OR(A3732="",B3732=""),"",B3732-WEEKDAY(B3732,2)+1)</f>
        <v/>
      </c>
      <c r="J3732" s="5">
        <f>IF(I3732="","",I3732+6)</f>
        <v/>
      </c>
      <c r="K3732" s="6">
        <f>IF(OR(A3732="",B3732=""),"",DATE(YEAR(B3732),MONTH(B3732),1))</f>
        <v/>
      </c>
      <c r="L3732" s="7">
        <f>IF(COUNTA(A3732,B3732)=0,"",IF(OR(A3732="",B3732=""),"Preencher CPF e entrada",IF(COUNTIFS($A$12:$A$5011,A3732,$B$12:$B$5011,B3732)&gt;1,"CPF + dia duplicado",IF(OR(AND(E3732&lt;&gt;"",E3732&lt;B3732),AND(F3732&lt;&gt;"",F3732&lt;B3732)),"Evento anterior à entrada",IF(AND(F3732&lt;&gt;"",E3732=""),"Conversa sem agendamento",IF(OR(E3732&gt;TODAY(),F3732&gt;TODAY()),"Verificar evento futuro","OK"))))))</f>
        <v/>
      </c>
    </row>
    <row r="3733" spans="9:12">
      <c r="I3733" s="5">
        <f>IF(OR(A3733="",B3733=""),"",B3733-WEEKDAY(B3733,2)+1)</f>
        <v/>
      </c>
      <c r="J3733" s="5">
        <f>IF(I3733="","",I3733+6)</f>
        <v/>
      </c>
      <c r="K3733" s="6">
        <f>IF(OR(A3733="",B3733=""),"",DATE(YEAR(B3733),MONTH(B3733),1))</f>
        <v/>
      </c>
      <c r="L3733" s="7">
        <f>IF(COUNTA(A3733,B3733)=0,"",IF(OR(A3733="",B3733=""),"Preencher CPF e entrada",IF(COUNTIFS($A$12:$A$5011,A3733,$B$12:$B$5011,B3733)&gt;1,"CPF + dia duplicado",IF(OR(AND(E3733&lt;&gt;"",E3733&lt;B3733),AND(F3733&lt;&gt;"",F3733&lt;B3733)),"Evento anterior à entrada",IF(AND(F3733&lt;&gt;"",E3733=""),"Conversa sem agendamento",IF(OR(E3733&gt;TODAY(),F3733&gt;TODAY()),"Verificar evento futuro","OK"))))))</f>
        <v/>
      </c>
    </row>
    <row r="3734" spans="9:12">
      <c r="I3734" s="5">
        <f>IF(OR(A3734="",B3734=""),"",B3734-WEEKDAY(B3734,2)+1)</f>
        <v/>
      </c>
      <c r="J3734" s="5">
        <f>IF(I3734="","",I3734+6)</f>
        <v/>
      </c>
      <c r="K3734" s="6">
        <f>IF(OR(A3734="",B3734=""),"",DATE(YEAR(B3734),MONTH(B3734),1))</f>
        <v/>
      </c>
      <c r="L3734" s="7">
        <f>IF(COUNTA(A3734,B3734)=0,"",IF(OR(A3734="",B3734=""),"Preencher CPF e entrada",IF(COUNTIFS($A$12:$A$5011,A3734,$B$12:$B$5011,B3734)&gt;1,"CPF + dia duplicado",IF(OR(AND(E3734&lt;&gt;"",E3734&lt;B3734),AND(F3734&lt;&gt;"",F3734&lt;B3734)),"Evento anterior à entrada",IF(AND(F3734&lt;&gt;"",E3734=""),"Conversa sem agendamento",IF(OR(E3734&gt;TODAY(),F3734&gt;TODAY()),"Verificar evento futuro","OK"))))))</f>
        <v/>
      </c>
    </row>
    <row r="3735" spans="9:12">
      <c r="I3735" s="5">
        <f>IF(OR(A3735="",B3735=""),"",B3735-WEEKDAY(B3735,2)+1)</f>
        <v/>
      </c>
      <c r="J3735" s="5">
        <f>IF(I3735="","",I3735+6)</f>
        <v/>
      </c>
      <c r="K3735" s="6">
        <f>IF(OR(A3735="",B3735=""),"",DATE(YEAR(B3735),MONTH(B3735),1))</f>
        <v/>
      </c>
      <c r="L3735" s="7">
        <f>IF(COUNTA(A3735,B3735)=0,"",IF(OR(A3735="",B3735=""),"Preencher CPF e entrada",IF(COUNTIFS($A$12:$A$5011,A3735,$B$12:$B$5011,B3735)&gt;1,"CPF + dia duplicado",IF(OR(AND(E3735&lt;&gt;"",E3735&lt;B3735),AND(F3735&lt;&gt;"",F3735&lt;B3735)),"Evento anterior à entrada",IF(AND(F3735&lt;&gt;"",E3735=""),"Conversa sem agendamento",IF(OR(E3735&gt;TODAY(),F3735&gt;TODAY()),"Verificar evento futuro","OK"))))))</f>
        <v/>
      </c>
    </row>
    <row r="3736" spans="9:12">
      <c r="I3736" s="5">
        <f>IF(OR(A3736="",B3736=""),"",B3736-WEEKDAY(B3736,2)+1)</f>
        <v/>
      </c>
      <c r="J3736" s="5">
        <f>IF(I3736="","",I3736+6)</f>
        <v/>
      </c>
      <c r="K3736" s="6">
        <f>IF(OR(A3736="",B3736=""),"",DATE(YEAR(B3736),MONTH(B3736),1))</f>
        <v/>
      </c>
      <c r="L3736" s="7">
        <f>IF(COUNTA(A3736,B3736)=0,"",IF(OR(A3736="",B3736=""),"Preencher CPF e entrada",IF(COUNTIFS($A$12:$A$5011,A3736,$B$12:$B$5011,B3736)&gt;1,"CPF + dia duplicado",IF(OR(AND(E3736&lt;&gt;"",E3736&lt;B3736),AND(F3736&lt;&gt;"",F3736&lt;B3736)),"Evento anterior à entrada",IF(AND(F3736&lt;&gt;"",E3736=""),"Conversa sem agendamento",IF(OR(E3736&gt;TODAY(),F3736&gt;TODAY()),"Verificar evento futuro","OK"))))))</f>
        <v/>
      </c>
    </row>
    <row r="3737" spans="9:12">
      <c r="I3737" s="5">
        <f>IF(OR(A3737="",B3737=""),"",B3737-WEEKDAY(B3737,2)+1)</f>
        <v/>
      </c>
      <c r="J3737" s="5">
        <f>IF(I3737="","",I3737+6)</f>
        <v/>
      </c>
      <c r="K3737" s="6">
        <f>IF(OR(A3737="",B3737=""),"",DATE(YEAR(B3737),MONTH(B3737),1))</f>
        <v/>
      </c>
      <c r="L3737" s="7">
        <f>IF(COUNTA(A3737,B3737)=0,"",IF(OR(A3737="",B3737=""),"Preencher CPF e entrada",IF(COUNTIFS($A$12:$A$5011,A3737,$B$12:$B$5011,B3737)&gt;1,"CPF + dia duplicado",IF(OR(AND(E3737&lt;&gt;"",E3737&lt;B3737),AND(F3737&lt;&gt;"",F3737&lt;B3737)),"Evento anterior à entrada",IF(AND(F3737&lt;&gt;"",E3737=""),"Conversa sem agendamento",IF(OR(E3737&gt;TODAY(),F3737&gt;TODAY()),"Verificar evento futuro","OK"))))))</f>
        <v/>
      </c>
    </row>
    <row r="3738" spans="9:12">
      <c r="I3738" s="5">
        <f>IF(OR(A3738="",B3738=""),"",B3738-WEEKDAY(B3738,2)+1)</f>
        <v/>
      </c>
      <c r="J3738" s="5">
        <f>IF(I3738="","",I3738+6)</f>
        <v/>
      </c>
      <c r="K3738" s="6">
        <f>IF(OR(A3738="",B3738=""),"",DATE(YEAR(B3738),MONTH(B3738),1))</f>
        <v/>
      </c>
      <c r="L3738" s="7">
        <f>IF(COUNTA(A3738,B3738)=0,"",IF(OR(A3738="",B3738=""),"Preencher CPF e entrada",IF(COUNTIFS($A$12:$A$5011,A3738,$B$12:$B$5011,B3738)&gt;1,"CPF + dia duplicado",IF(OR(AND(E3738&lt;&gt;"",E3738&lt;B3738),AND(F3738&lt;&gt;"",F3738&lt;B3738)),"Evento anterior à entrada",IF(AND(F3738&lt;&gt;"",E3738=""),"Conversa sem agendamento",IF(OR(E3738&gt;TODAY(),F3738&gt;TODAY()),"Verificar evento futuro","OK"))))))</f>
        <v/>
      </c>
    </row>
    <row r="3739" spans="9:12">
      <c r="I3739" s="5">
        <f>IF(OR(A3739="",B3739=""),"",B3739-WEEKDAY(B3739,2)+1)</f>
        <v/>
      </c>
      <c r="J3739" s="5">
        <f>IF(I3739="","",I3739+6)</f>
        <v/>
      </c>
      <c r="K3739" s="6">
        <f>IF(OR(A3739="",B3739=""),"",DATE(YEAR(B3739),MONTH(B3739),1))</f>
        <v/>
      </c>
      <c r="L3739" s="7">
        <f>IF(COUNTA(A3739,B3739)=0,"",IF(OR(A3739="",B3739=""),"Preencher CPF e entrada",IF(COUNTIFS($A$12:$A$5011,A3739,$B$12:$B$5011,B3739)&gt;1,"CPF + dia duplicado",IF(OR(AND(E3739&lt;&gt;"",E3739&lt;B3739),AND(F3739&lt;&gt;"",F3739&lt;B3739)),"Evento anterior à entrada",IF(AND(F3739&lt;&gt;"",E3739=""),"Conversa sem agendamento",IF(OR(E3739&gt;TODAY(),F3739&gt;TODAY()),"Verificar evento futuro","OK"))))))</f>
        <v/>
      </c>
    </row>
    <row r="3740" spans="9:12">
      <c r="I3740" s="5">
        <f>IF(OR(A3740="",B3740=""),"",B3740-WEEKDAY(B3740,2)+1)</f>
        <v/>
      </c>
      <c r="J3740" s="5">
        <f>IF(I3740="","",I3740+6)</f>
        <v/>
      </c>
      <c r="K3740" s="6">
        <f>IF(OR(A3740="",B3740=""),"",DATE(YEAR(B3740),MONTH(B3740),1))</f>
        <v/>
      </c>
      <c r="L3740" s="7">
        <f>IF(COUNTA(A3740,B3740)=0,"",IF(OR(A3740="",B3740=""),"Preencher CPF e entrada",IF(COUNTIFS($A$12:$A$5011,A3740,$B$12:$B$5011,B3740)&gt;1,"CPF + dia duplicado",IF(OR(AND(E3740&lt;&gt;"",E3740&lt;B3740),AND(F3740&lt;&gt;"",F3740&lt;B3740)),"Evento anterior à entrada",IF(AND(F3740&lt;&gt;"",E3740=""),"Conversa sem agendamento",IF(OR(E3740&gt;TODAY(),F3740&gt;TODAY()),"Verificar evento futuro","OK"))))))</f>
        <v/>
      </c>
    </row>
    <row r="3741" spans="9:12">
      <c r="I3741" s="5">
        <f>IF(OR(A3741="",B3741=""),"",B3741-WEEKDAY(B3741,2)+1)</f>
        <v/>
      </c>
      <c r="J3741" s="5">
        <f>IF(I3741="","",I3741+6)</f>
        <v/>
      </c>
      <c r="K3741" s="6">
        <f>IF(OR(A3741="",B3741=""),"",DATE(YEAR(B3741),MONTH(B3741),1))</f>
        <v/>
      </c>
      <c r="L3741" s="7">
        <f>IF(COUNTA(A3741,B3741)=0,"",IF(OR(A3741="",B3741=""),"Preencher CPF e entrada",IF(COUNTIFS($A$12:$A$5011,A3741,$B$12:$B$5011,B3741)&gt;1,"CPF + dia duplicado",IF(OR(AND(E3741&lt;&gt;"",E3741&lt;B3741),AND(F3741&lt;&gt;"",F3741&lt;B3741)),"Evento anterior à entrada",IF(AND(F3741&lt;&gt;"",E3741=""),"Conversa sem agendamento",IF(OR(E3741&gt;TODAY(),F3741&gt;TODAY()),"Verificar evento futuro","OK"))))))</f>
        <v/>
      </c>
    </row>
    <row r="3742" spans="9:12">
      <c r="I3742" s="5">
        <f>IF(OR(A3742="",B3742=""),"",B3742-WEEKDAY(B3742,2)+1)</f>
        <v/>
      </c>
      <c r="J3742" s="5">
        <f>IF(I3742="","",I3742+6)</f>
        <v/>
      </c>
      <c r="K3742" s="6">
        <f>IF(OR(A3742="",B3742=""),"",DATE(YEAR(B3742),MONTH(B3742),1))</f>
        <v/>
      </c>
      <c r="L3742" s="7">
        <f>IF(COUNTA(A3742,B3742)=0,"",IF(OR(A3742="",B3742=""),"Preencher CPF e entrada",IF(COUNTIFS($A$12:$A$5011,A3742,$B$12:$B$5011,B3742)&gt;1,"CPF + dia duplicado",IF(OR(AND(E3742&lt;&gt;"",E3742&lt;B3742),AND(F3742&lt;&gt;"",F3742&lt;B3742)),"Evento anterior à entrada",IF(AND(F3742&lt;&gt;"",E3742=""),"Conversa sem agendamento",IF(OR(E3742&gt;TODAY(),F3742&gt;TODAY()),"Verificar evento futuro","OK"))))))</f>
        <v/>
      </c>
    </row>
    <row r="3743" spans="9:12">
      <c r="I3743" s="5">
        <f>IF(OR(A3743="",B3743=""),"",B3743-WEEKDAY(B3743,2)+1)</f>
        <v/>
      </c>
      <c r="J3743" s="5">
        <f>IF(I3743="","",I3743+6)</f>
        <v/>
      </c>
      <c r="K3743" s="6">
        <f>IF(OR(A3743="",B3743=""),"",DATE(YEAR(B3743),MONTH(B3743),1))</f>
        <v/>
      </c>
      <c r="L3743" s="7">
        <f>IF(COUNTA(A3743,B3743)=0,"",IF(OR(A3743="",B3743=""),"Preencher CPF e entrada",IF(COUNTIFS($A$12:$A$5011,A3743,$B$12:$B$5011,B3743)&gt;1,"CPF + dia duplicado",IF(OR(AND(E3743&lt;&gt;"",E3743&lt;B3743),AND(F3743&lt;&gt;"",F3743&lt;B3743)),"Evento anterior à entrada",IF(AND(F3743&lt;&gt;"",E3743=""),"Conversa sem agendamento",IF(OR(E3743&gt;TODAY(),F3743&gt;TODAY()),"Verificar evento futuro","OK"))))))</f>
        <v/>
      </c>
    </row>
    <row r="3744" spans="9:12">
      <c r="I3744" s="5">
        <f>IF(OR(A3744="",B3744=""),"",B3744-WEEKDAY(B3744,2)+1)</f>
        <v/>
      </c>
      <c r="J3744" s="5">
        <f>IF(I3744="","",I3744+6)</f>
        <v/>
      </c>
      <c r="K3744" s="6">
        <f>IF(OR(A3744="",B3744=""),"",DATE(YEAR(B3744),MONTH(B3744),1))</f>
        <v/>
      </c>
      <c r="L3744" s="7">
        <f>IF(COUNTA(A3744,B3744)=0,"",IF(OR(A3744="",B3744=""),"Preencher CPF e entrada",IF(COUNTIFS($A$12:$A$5011,A3744,$B$12:$B$5011,B3744)&gt;1,"CPF + dia duplicado",IF(OR(AND(E3744&lt;&gt;"",E3744&lt;B3744),AND(F3744&lt;&gt;"",F3744&lt;B3744)),"Evento anterior à entrada",IF(AND(F3744&lt;&gt;"",E3744=""),"Conversa sem agendamento",IF(OR(E3744&gt;TODAY(),F3744&gt;TODAY()),"Verificar evento futuro","OK"))))))</f>
        <v/>
      </c>
    </row>
    <row r="3745" spans="9:12">
      <c r="I3745" s="5">
        <f>IF(OR(A3745="",B3745=""),"",B3745-WEEKDAY(B3745,2)+1)</f>
        <v/>
      </c>
      <c r="J3745" s="5">
        <f>IF(I3745="","",I3745+6)</f>
        <v/>
      </c>
      <c r="K3745" s="6">
        <f>IF(OR(A3745="",B3745=""),"",DATE(YEAR(B3745),MONTH(B3745),1))</f>
        <v/>
      </c>
      <c r="L3745" s="7">
        <f>IF(COUNTA(A3745,B3745)=0,"",IF(OR(A3745="",B3745=""),"Preencher CPF e entrada",IF(COUNTIFS($A$12:$A$5011,A3745,$B$12:$B$5011,B3745)&gt;1,"CPF + dia duplicado",IF(OR(AND(E3745&lt;&gt;"",E3745&lt;B3745),AND(F3745&lt;&gt;"",F3745&lt;B3745)),"Evento anterior à entrada",IF(AND(F3745&lt;&gt;"",E3745=""),"Conversa sem agendamento",IF(OR(E3745&gt;TODAY(),F3745&gt;TODAY()),"Verificar evento futuro","OK"))))))</f>
        <v/>
      </c>
    </row>
    <row r="3746" spans="9:12">
      <c r="I3746" s="5">
        <f>IF(OR(A3746="",B3746=""),"",B3746-WEEKDAY(B3746,2)+1)</f>
        <v/>
      </c>
      <c r="J3746" s="5">
        <f>IF(I3746="","",I3746+6)</f>
        <v/>
      </c>
      <c r="K3746" s="6">
        <f>IF(OR(A3746="",B3746=""),"",DATE(YEAR(B3746),MONTH(B3746),1))</f>
        <v/>
      </c>
      <c r="L3746" s="7">
        <f>IF(COUNTA(A3746,B3746)=0,"",IF(OR(A3746="",B3746=""),"Preencher CPF e entrada",IF(COUNTIFS($A$12:$A$5011,A3746,$B$12:$B$5011,B3746)&gt;1,"CPF + dia duplicado",IF(OR(AND(E3746&lt;&gt;"",E3746&lt;B3746),AND(F3746&lt;&gt;"",F3746&lt;B3746)),"Evento anterior à entrada",IF(AND(F3746&lt;&gt;"",E3746=""),"Conversa sem agendamento",IF(OR(E3746&gt;TODAY(),F3746&gt;TODAY()),"Verificar evento futuro","OK"))))))</f>
        <v/>
      </c>
    </row>
    <row r="3747" spans="9:12">
      <c r="I3747" s="5">
        <f>IF(OR(A3747="",B3747=""),"",B3747-WEEKDAY(B3747,2)+1)</f>
        <v/>
      </c>
      <c r="J3747" s="5">
        <f>IF(I3747="","",I3747+6)</f>
        <v/>
      </c>
      <c r="K3747" s="6">
        <f>IF(OR(A3747="",B3747=""),"",DATE(YEAR(B3747),MONTH(B3747),1))</f>
        <v/>
      </c>
      <c r="L3747" s="7">
        <f>IF(COUNTA(A3747,B3747)=0,"",IF(OR(A3747="",B3747=""),"Preencher CPF e entrada",IF(COUNTIFS($A$12:$A$5011,A3747,$B$12:$B$5011,B3747)&gt;1,"CPF + dia duplicado",IF(OR(AND(E3747&lt;&gt;"",E3747&lt;B3747),AND(F3747&lt;&gt;"",F3747&lt;B3747)),"Evento anterior à entrada",IF(AND(F3747&lt;&gt;"",E3747=""),"Conversa sem agendamento",IF(OR(E3747&gt;TODAY(),F3747&gt;TODAY()),"Verificar evento futuro","OK"))))))</f>
        <v/>
      </c>
    </row>
    <row r="3748" spans="9:12">
      <c r="I3748" s="5">
        <f>IF(OR(A3748="",B3748=""),"",B3748-WEEKDAY(B3748,2)+1)</f>
        <v/>
      </c>
      <c r="J3748" s="5">
        <f>IF(I3748="","",I3748+6)</f>
        <v/>
      </c>
      <c r="K3748" s="6">
        <f>IF(OR(A3748="",B3748=""),"",DATE(YEAR(B3748),MONTH(B3748),1))</f>
        <v/>
      </c>
      <c r="L3748" s="7">
        <f>IF(COUNTA(A3748,B3748)=0,"",IF(OR(A3748="",B3748=""),"Preencher CPF e entrada",IF(COUNTIFS($A$12:$A$5011,A3748,$B$12:$B$5011,B3748)&gt;1,"CPF + dia duplicado",IF(OR(AND(E3748&lt;&gt;"",E3748&lt;B3748),AND(F3748&lt;&gt;"",F3748&lt;B3748)),"Evento anterior à entrada",IF(AND(F3748&lt;&gt;"",E3748=""),"Conversa sem agendamento",IF(OR(E3748&gt;TODAY(),F3748&gt;TODAY()),"Verificar evento futuro","OK"))))))</f>
        <v/>
      </c>
    </row>
    <row r="3749" spans="9:12">
      <c r="I3749" s="5">
        <f>IF(OR(A3749="",B3749=""),"",B3749-WEEKDAY(B3749,2)+1)</f>
        <v/>
      </c>
      <c r="J3749" s="5">
        <f>IF(I3749="","",I3749+6)</f>
        <v/>
      </c>
      <c r="K3749" s="6">
        <f>IF(OR(A3749="",B3749=""),"",DATE(YEAR(B3749),MONTH(B3749),1))</f>
        <v/>
      </c>
      <c r="L3749" s="7">
        <f>IF(COUNTA(A3749,B3749)=0,"",IF(OR(A3749="",B3749=""),"Preencher CPF e entrada",IF(COUNTIFS($A$12:$A$5011,A3749,$B$12:$B$5011,B3749)&gt;1,"CPF + dia duplicado",IF(OR(AND(E3749&lt;&gt;"",E3749&lt;B3749),AND(F3749&lt;&gt;"",F3749&lt;B3749)),"Evento anterior à entrada",IF(AND(F3749&lt;&gt;"",E3749=""),"Conversa sem agendamento",IF(OR(E3749&gt;TODAY(),F3749&gt;TODAY()),"Verificar evento futuro","OK"))))))</f>
        <v/>
      </c>
    </row>
    <row r="3750" spans="9:12">
      <c r="I3750" s="5">
        <f>IF(OR(A3750="",B3750=""),"",B3750-WEEKDAY(B3750,2)+1)</f>
        <v/>
      </c>
      <c r="J3750" s="5">
        <f>IF(I3750="","",I3750+6)</f>
        <v/>
      </c>
      <c r="K3750" s="6">
        <f>IF(OR(A3750="",B3750=""),"",DATE(YEAR(B3750),MONTH(B3750),1))</f>
        <v/>
      </c>
      <c r="L3750" s="7">
        <f>IF(COUNTA(A3750,B3750)=0,"",IF(OR(A3750="",B3750=""),"Preencher CPF e entrada",IF(COUNTIFS($A$12:$A$5011,A3750,$B$12:$B$5011,B3750)&gt;1,"CPF + dia duplicado",IF(OR(AND(E3750&lt;&gt;"",E3750&lt;B3750),AND(F3750&lt;&gt;"",F3750&lt;B3750)),"Evento anterior à entrada",IF(AND(F3750&lt;&gt;"",E3750=""),"Conversa sem agendamento",IF(OR(E3750&gt;TODAY(),F3750&gt;TODAY()),"Verificar evento futuro","OK"))))))</f>
        <v/>
      </c>
    </row>
    <row r="3751" spans="9:12">
      <c r="I3751" s="5">
        <f>IF(OR(A3751="",B3751=""),"",B3751-WEEKDAY(B3751,2)+1)</f>
        <v/>
      </c>
      <c r="J3751" s="5">
        <f>IF(I3751="","",I3751+6)</f>
        <v/>
      </c>
      <c r="K3751" s="6">
        <f>IF(OR(A3751="",B3751=""),"",DATE(YEAR(B3751),MONTH(B3751),1))</f>
        <v/>
      </c>
      <c r="L3751" s="7">
        <f>IF(COUNTA(A3751,B3751)=0,"",IF(OR(A3751="",B3751=""),"Preencher CPF e entrada",IF(COUNTIFS($A$12:$A$5011,A3751,$B$12:$B$5011,B3751)&gt;1,"CPF + dia duplicado",IF(OR(AND(E3751&lt;&gt;"",E3751&lt;B3751),AND(F3751&lt;&gt;"",F3751&lt;B3751)),"Evento anterior à entrada",IF(AND(F3751&lt;&gt;"",E3751=""),"Conversa sem agendamento",IF(OR(E3751&gt;TODAY(),F3751&gt;TODAY()),"Verificar evento futuro","OK"))))))</f>
        <v/>
      </c>
    </row>
    <row r="3752" spans="9:12">
      <c r="I3752" s="5">
        <f>IF(OR(A3752="",B3752=""),"",B3752-WEEKDAY(B3752,2)+1)</f>
        <v/>
      </c>
      <c r="J3752" s="5">
        <f>IF(I3752="","",I3752+6)</f>
        <v/>
      </c>
      <c r="K3752" s="6">
        <f>IF(OR(A3752="",B3752=""),"",DATE(YEAR(B3752),MONTH(B3752),1))</f>
        <v/>
      </c>
      <c r="L3752" s="7">
        <f>IF(COUNTA(A3752,B3752)=0,"",IF(OR(A3752="",B3752=""),"Preencher CPF e entrada",IF(COUNTIFS($A$12:$A$5011,A3752,$B$12:$B$5011,B3752)&gt;1,"CPF + dia duplicado",IF(OR(AND(E3752&lt;&gt;"",E3752&lt;B3752),AND(F3752&lt;&gt;"",F3752&lt;B3752)),"Evento anterior à entrada",IF(AND(F3752&lt;&gt;"",E3752=""),"Conversa sem agendamento",IF(OR(E3752&gt;TODAY(),F3752&gt;TODAY()),"Verificar evento futuro","OK"))))))</f>
        <v/>
      </c>
    </row>
    <row r="3753" spans="9:12">
      <c r="I3753" s="5">
        <f>IF(OR(A3753="",B3753=""),"",B3753-WEEKDAY(B3753,2)+1)</f>
        <v/>
      </c>
      <c r="J3753" s="5">
        <f>IF(I3753="","",I3753+6)</f>
        <v/>
      </c>
      <c r="K3753" s="6">
        <f>IF(OR(A3753="",B3753=""),"",DATE(YEAR(B3753),MONTH(B3753),1))</f>
        <v/>
      </c>
      <c r="L3753" s="7">
        <f>IF(COUNTA(A3753,B3753)=0,"",IF(OR(A3753="",B3753=""),"Preencher CPF e entrada",IF(COUNTIFS($A$12:$A$5011,A3753,$B$12:$B$5011,B3753)&gt;1,"CPF + dia duplicado",IF(OR(AND(E3753&lt;&gt;"",E3753&lt;B3753),AND(F3753&lt;&gt;"",F3753&lt;B3753)),"Evento anterior à entrada",IF(AND(F3753&lt;&gt;"",E3753=""),"Conversa sem agendamento",IF(OR(E3753&gt;TODAY(),F3753&gt;TODAY()),"Verificar evento futuro","OK"))))))</f>
        <v/>
      </c>
    </row>
    <row r="3754" spans="9:12">
      <c r="I3754" s="5">
        <f>IF(OR(A3754="",B3754=""),"",B3754-WEEKDAY(B3754,2)+1)</f>
        <v/>
      </c>
      <c r="J3754" s="5">
        <f>IF(I3754="","",I3754+6)</f>
        <v/>
      </c>
      <c r="K3754" s="6">
        <f>IF(OR(A3754="",B3754=""),"",DATE(YEAR(B3754),MONTH(B3754),1))</f>
        <v/>
      </c>
      <c r="L3754" s="7">
        <f>IF(COUNTA(A3754,B3754)=0,"",IF(OR(A3754="",B3754=""),"Preencher CPF e entrada",IF(COUNTIFS($A$12:$A$5011,A3754,$B$12:$B$5011,B3754)&gt;1,"CPF + dia duplicado",IF(OR(AND(E3754&lt;&gt;"",E3754&lt;B3754),AND(F3754&lt;&gt;"",F3754&lt;B3754)),"Evento anterior à entrada",IF(AND(F3754&lt;&gt;"",E3754=""),"Conversa sem agendamento",IF(OR(E3754&gt;TODAY(),F3754&gt;TODAY()),"Verificar evento futuro","OK"))))))</f>
        <v/>
      </c>
    </row>
    <row r="3755" spans="9:12">
      <c r="I3755" s="5">
        <f>IF(OR(A3755="",B3755=""),"",B3755-WEEKDAY(B3755,2)+1)</f>
        <v/>
      </c>
      <c r="J3755" s="5">
        <f>IF(I3755="","",I3755+6)</f>
        <v/>
      </c>
      <c r="K3755" s="6">
        <f>IF(OR(A3755="",B3755=""),"",DATE(YEAR(B3755),MONTH(B3755),1))</f>
        <v/>
      </c>
      <c r="L3755" s="7">
        <f>IF(COUNTA(A3755,B3755)=0,"",IF(OR(A3755="",B3755=""),"Preencher CPF e entrada",IF(COUNTIFS($A$12:$A$5011,A3755,$B$12:$B$5011,B3755)&gt;1,"CPF + dia duplicado",IF(OR(AND(E3755&lt;&gt;"",E3755&lt;B3755),AND(F3755&lt;&gt;"",F3755&lt;B3755)),"Evento anterior à entrada",IF(AND(F3755&lt;&gt;"",E3755=""),"Conversa sem agendamento",IF(OR(E3755&gt;TODAY(),F3755&gt;TODAY()),"Verificar evento futuro","OK"))))))</f>
        <v/>
      </c>
    </row>
    <row r="3756" spans="9:12">
      <c r="I3756" s="5">
        <f>IF(OR(A3756="",B3756=""),"",B3756-WEEKDAY(B3756,2)+1)</f>
        <v/>
      </c>
      <c r="J3756" s="5">
        <f>IF(I3756="","",I3756+6)</f>
        <v/>
      </c>
      <c r="K3756" s="6">
        <f>IF(OR(A3756="",B3756=""),"",DATE(YEAR(B3756),MONTH(B3756),1))</f>
        <v/>
      </c>
      <c r="L3756" s="7">
        <f>IF(COUNTA(A3756,B3756)=0,"",IF(OR(A3756="",B3756=""),"Preencher CPF e entrada",IF(COUNTIFS($A$12:$A$5011,A3756,$B$12:$B$5011,B3756)&gt;1,"CPF + dia duplicado",IF(OR(AND(E3756&lt;&gt;"",E3756&lt;B3756),AND(F3756&lt;&gt;"",F3756&lt;B3756)),"Evento anterior à entrada",IF(AND(F3756&lt;&gt;"",E3756=""),"Conversa sem agendamento",IF(OR(E3756&gt;TODAY(),F3756&gt;TODAY()),"Verificar evento futuro","OK"))))))</f>
        <v/>
      </c>
    </row>
    <row r="3757" spans="9:12">
      <c r="I3757" s="5">
        <f>IF(OR(A3757="",B3757=""),"",B3757-WEEKDAY(B3757,2)+1)</f>
        <v/>
      </c>
      <c r="J3757" s="5">
        <f>IF(I3757="","",I3757+6)</f>
        <v/>
      </c>
      <c r="K3757" s="6">
        <f>IF(OR(A3757="",B3757=""),"",DATE(YEAR(B3757),MONTH(B3757),1))</f>
        <v/>
      </c>
      <c r="L3757" s="7">
        <f>IF(COUNTA(A3757,B3757)=0,"",IF(OR(A3757="",B3757=""),"Preencher CPF e entrada",IF(COUNTIFS($A$12:$A$5011,A3757,$B$12:$B$5011,B3757)&gt;1,"CPF + dia duplicado",IF(OR(AND(E3757&lt;&gt;"",E3757&lt;B3757),AND(F3757&lt;&gt;"",F3757&lt;B3757)),"Evento anterior à entrada",IF(AND(F3757&lt;&gt;"",E3757=""),"Conversa sem agendamento",IF(OR(E3757&gt;TODAY(),F3757&gt;TODAY()),"Verificar evento futuro","OK"))))))</f>
        <v/>
      </c>
    </row>
    <row r="3758" spans="9:12">
      <c r="I3758" s="5">
        <f>IF(OR(A3758="",B3758=""),"",B3758-WEEKDAY(B3758,2)+1)</f>
        <v/>
      </c>
      <c r="J3758" s="5">
        <f>IF(I3758="","",I3758+6)</f>
        <v/>
      </c>
      <c r="K3758" s="6">
        <f>IF(OR(A3758="",B3758=""),"",DATE(YEAR(B3758),MONTH(B3758),1))</f>
        <v/>
      </c>
      <c r="L3758" s="7">
        <f>IF(COUNTA(A3758,B3758)=0,"",IF(OR(A3758="",B3758=""),"Preencher CPF e entrada",IF(COUNTIFS($A$12:$A$5011,A3758,$B$12:$B$5011,B3758)&gt;1,"CPF + dia duplicado",IF(OR(AND(E3758&lt;&gt;"",E3758&lt;B3758),AND(F3758&lt;&gt;"",F3758&lt;B3758)),"Evento anterior à entrada",IF(AND(F3758&lt;&gt;"",E3758=""),"Conversa sem agendamento",IF(OR(E3758&gt;TODAY(),F3758&gt;TODAY()),"Verificar evento futuro","OK"))))))</f>
        <v/>
      </c>
    </row>
    <row r="3759" spans="9:12">
      <c r="I3759" s="5">
        <f>IF(OR(A3759="",B3759=""),"",B3759-WEEKDAY(B3759,2)+1)</f>
        <v/>
      </c>
      <c r="J3759" s="5">
        <f>IF(I3759="","",I3759+6)</f>
        <v/>
      </c>
      <c r="K3759" s="6">
        <f>IF(OR(A3759="",B3759=""),"",DATE(YEAR(B3759),MONTH(B3759),1))</f>
        <v/>
      </c>
      <c r="L3759" s="7">
        <f>IF(COUNTA(A3759,B3759)=0,"",IF(OR(A3759="",B3759=""),"Preencher CPF e entrada",IF(COUNTIFS($A$12:$A$5011,A3759,$B$12:$B$5011,B3759)&gt;1,"CPF + dia duplicado",IF(OR(AND(E3759&lt;&gt;"",E3759&lt;B3759),AND(F3759&lt;&gt;"",F3759&lt;B3759)),"Evento anterior à entrada",IF(AND(F3759&lt;&gt;"",E3759=""),"Conversa sem agendamento",IF(OR(E3759&gt;TODAY(),F3759&gt;TODAY()),"Verificar evento futuro","OK"))))))</f>
        <v/>
      </c>
    </row>
    <row r="3760" spans="9:12">
      <c r="I3760" s="5">
        <f>IF(OR(A3760="",B3760=""),"",B3760-WEEKDAY(B3760,2)+1)</f>
        <v/>
      </c>
      <c r="J3760" s="5">
        <f>IF(I3760="","",I3760+6)</f>
        <v/>
      </c>
      <c r="K3760" s="6">
        <f>IF(OR(A3760="",B3760=""),"",DATE(YEAR(B3760),MONTH(B3760),1))</f>
        <v/>
      </c>
      <c r="L3760" s="7">
        <f>IF(COUNTA(A3760,B3760)=0,"",IF(OR(A3760="",B3760=""),"Preencher CPF e entrada",IF(COUNTIFS($A$12:$A$5011,A3760,$B$12:$B$5011,B3760)&gt;1,"CPF + dia duplicado",IF(OR(AND(E3760&lt;&gt;"",E3760&lt;B3760),AND(F3760&lt;&gt;"",F3760&lt;B3760)),"Evento anterior à entrada",IF(AND(F3760&lt;&gt;"",E3760=""),"Conversa sem agendamento",IF(OR(E3760&gt;TODAY(),F3760&gt;TODAY()),"Verificar evento futuro","OK"))))))</f>
        <v/>
      </c>
    </row>
    <row r="3761" spans="9:12">
      <c r="I3761" s="5">
        <f>IF(OR(A3761="",B3761=""),"",B3761-WEEKDAY(B3761,2)+1)</f>
        <v/>
      </c>
      <c r="J3761" s="5">
        <f>IF(I3761="","",I3761+6)</f>
        <v/>
      </c>
      <c r="K3761" s="6">
        <f>IF(OR(A3761="",B3761=""),"",DATE(YEAR(B3761),MONTH(B3761),1))</f>
        <v/>
      </c>
      <c r="L3761" s="7">
        <f>IF(COUNTA(A3761,B3761)=0,"",IF(OR(A3761="",B3761=""),"Preencher CPF e entrada",IF(COUNTIFS($A$12:$A$5011,A3761,$B$12:$B$5011,B3761)&gt;1,"CPF + dia duplicado",IF(OR(AND(E3761&lt;&gt;"",E3761&lt;B3761),AND(F3761&lt;&gt;"",F3761&lt;B3761)),"Evento anterior à entrada",IF(AND(F3761&lt;&gt;"",E3761=""),"Conversa sem agendamento",IF(OR(E3761&gt;TODAY(),F3761&gt;TODAY()),"Verificar evento futuro","OK"))))))</f>
        <v/>
      </c>
    </row>
    <row r="3762" spans="9:12">
      <c r="I3762" s="5">
        <f>IF(OR(A3762="",B3762=""),"",B3762-WEEKDAY(B3762,2)+1)</f>
        <v/>
      </c>
      <c r="J3762" s="5">
        <f>IF(I3762="","",I3762+6)</f>
        <v/>
      </c>
      <c r="K3762" s="6">
        <f>IF(OR(A3762="",B3762=""),"",DATE(YEAR(B3762),MONTH(B3762),1))</f>
        <v/>
      </c>
      <c r="L3762" s="7">
        <f>IF(COUNTA(A3762,B3762)=0,"",IF(OR(A3762="",B3762=""),"Preencher CPF e entrada",IF(COUNTIFS($A$12:$A$5011,A3762,$B$12:$B$5011,B3762)&gt;1,"CPF + dia duplicado",IF(OR(AND(E3762&lt;&gt;"",E3762&lt;B3762),AND(F3762&lt;&gt;"",F3762&lt;B3762)),"Evento anterior à entrada",IF(AND(F3762&lt;&gt;"",E3762=""),"Conversa sem agendamento",IF(OR(E3762&gt;TODAY(),F3762&gt;TODAY()),"Verificar evento futuro","OK"))))))</f>
        <v/>
      </c>
    </row>
    <row r="3763" spans="9:12">
      <c r="I3763" s="5">
        <f>IF(OR(A3763="",B3763=""),"",B3763-WEEKDAY(B3763,2)+1)</f>
        <v/>
      </c>
      <c r="J3763" s="5">
        <f>IF(I3763="","",I3763+6)</f>
        <v/>
      </c>
      <c r="K3763" s="6">
        <f>IF(OR(A3763="",B3763=""),"",DATE(YEAR(B3763),MONTH(B3763),1))</f>
        <v/>
      </c>
      <c r="L3763" s="7">
        <f>IF(COUNTA(A3763,B3763)=0,"",IF(OR(A3763="",B3763=""),"Preencher CPF e entrada",IF(COUNTIFS($A$12:$A$5011,A3763,$B$12:$B$5011,B3763)&gt;1,"CPF + dia duplicado",IF(OR(AND(E3763&lt;&gt;"",E3763&lt;B3763),AND(F3763&lt;&gt;"",F3763&lt;B3763)),"Evento anterior à entrada",IF(AND(F3763&lt;&gt;"",E3763=""),"Conversa sem agendamento",IF(OR(E3763&gt;TODAY(),F3763&gt;TODAY()),"Verificar evento futuro","OK"))))))</f>
        <v/>
      </c>
    </row>
    <row r="3764" spans="9:12">
      <c r="I3764" s="5">
        <f>IF(OR(A3764="",B3764=""),"",B3764-WEEKDAY(B3764,2)+1)</f>
        <v/>
      </c>
      <c r="J3764" s="5">
        <f>IF(I3764="","",I3764+6)</f>
        <v/>
      </c>
      <c r="K3764" s="6">
        <f>IF(OR(A3764="",B3764=""),"",DATE(YEAR(B3764),MONTH(B3764),1))</f>
        <v/>
      </c>
      <c r="L3764" s="7">
        <f>IF(COUNTA(A3764,B3764)=0,"",IF(OR(A3764="",B3764=""),"Preencher CPF e entrada",IF(COUNTIFS($A$12:$A$5011,A3764,$B$12:$B$5011,B3764)&gt;1,"CPF + dia duplicado",IF(OR(AND(E3764&lt;&gt;"",E3764&lt;B3764),AND(F3764&lt;&gt;"",F3764&lt;B3764)),"Evento anterior à entrada",IF(AND(F3764&lt;&gt;"",E3764=""),"Conversa sem agendamento",IF(OR(E3764&gt;TODAY(),F3764&gt;TODAY()),"Verificar evento futuro","OK"))))))</f>
        <v/>
      </c>
    </row>
    <row r="3765" spans="9:12">
      <c r="I3765" s="5">
        <f>IF(OR(A3765="",B3765=""),"",B3765-WEEKDAY(B3765,2)+1)</f>
        <v/>
      </c>
      <c r="J3765" s="5">
        <f>IF(I3765="","",I3765+6)</f>
        <v/>
      </c>
      <c r="K3765" s="6">
        <f>IF(OR(A3765="",B3765=""),"",DATE(YEAR(B3765),MONTH(B3765),1))</f>
        <v/>
      </c>
      <c r="L3765" s="7">
        <f>IF(COUNTA(A3765,B3765)=0,"",IF(OR(A3765="",B3765=""),"Preencher CPF e entrada",IF(COUNTIFS($A$12:$A$5011,A3765,$B$12:$B$5011,B3765)&gt;1,"CPF + dia duplicado",IF(OR(AND(E3765&lt;&gt;"",E3765&lt;B3765),AND(F3765&lt;&gt;"",F3765&lt;B3765)),"Evento anterior à entrada",IF(AND(F3765&lt;&gt;"",E3765=""),"Conversa sem agendamento",IF(OR(E3765&gt;TODAY(),F3765&gt;TODAY()),"Verificar evento futuro","OK"))))))</f>
        <v/>
      </c>
    </row>
    <row r="3766" spans="9:12">
      <c r="I3766" s="5">
        <f>IF(OR(A3766="",B3766=""),"",B3766-WEEKDAY(B3766,2)+1)</f>
        <v/>
      </c>
      <c r="J3766" s="5">
        <f>IF(I3766="","",I3766+6)</f>
        <v/>
      </c>
      <c r="K3766" s="6">
        <f>IF(OR(A3766="",B3766=""),"",DATE(YEAR(B3766),MONTH(B3766),1))</f>
        <v/>
      </c>
      <c r="L3766" s="7">
        <f>IF(COUNTA(A3766,B3766)=0,"",IF(OR(A3766="",B3766=""),"Preencher CPF e entrada",IF(COUNTIFS($A$12:$A$5011,A3766,$B$12:$B$5011,B3766)&gt;1,"CPF + dia duplicado",IF(OR(AND(E3766&lt;&gt;"",E3766&lt;B3766),AND(F3766&lt;&gt;"",F3766&lt;B3766)),"Evento anterior à entrada",IF(AND(F3766&lt;&gt;"",E3766=""),"Conversa sem agendamento",IF(OR(E3766&gt;TODAY(),F3766&gt;TODAY()),"Verificar evento futuro","OK"))))))</f>
        <v/>
      </c>
    </row>
    <row r="3767" spans="9:12">
      <c r="I3767" s="5">
        <f>IF(OR(A3767="",B3767=""),"",B3767-WEEKDAY(B3767,2)+1)</f>
        <v/>
      </c>
      <c r="J3767" s="5">
        <f>IF(I3767="","",I3767+6)</f>
        <v/>
      </c>
      <c r="K3767" s="6">
        <f>IF(OR(A3767="",B3767=""),"",DATE(YEAR(B3767),MONTH(B3767),1))</f>
        <v/>
      </c>
      <c r="L3767" s="7">
        <f>IF(COUNTA(A3767,B3767)=0,"",IF(OR(A3767="",B3767=""),"Preencher CPF e entrada",IF(COUNTIFS($A$12:$A$5011,A3767,$B$12:$B$5011,B3767)&gt;1,"CPF + dia duplicado",IF(OR(AND(E3767&lt;&gt;"",E3767&lt;B3767),AND(F3767&lt;&gt;"",F3767&lt;B3767)),"Evento anterior à entrada",IF(AND(F3767&lt;&gt;"",E3767=""),"Conversa sem agendamento",IF(OR(E3767&gt;TODAY(),F3767&gt;TODAY()),"Verificar evento futuro","OK"))))))</f>
        <v/>
      </c>
    </row>
    <row r="3768" spans="9:12">
      <c r="I3768" s="5">
        <f>IF(OR(A3768="",B3768=""),"",B3768-WEEKDAY(B3768,2)+1)</f>
        <v/>
      </c>
      <c r="J3768" s="5">
        <f>IF(I3768="","",I3768+6)</f>
        <v/>
      </c>
      <c r="K3768" s="6">
        <f>IF(OR(A3768="",B3768=""),"",DATE(YEAR(B3768),MONTH(B3768),1))</f>
        <v/>
      </c>
      <c r="L3768" s="7">
        <f>IF(COUNTA(A3768,B3768)=0,"",IF(OR(A3768="",B3768=""),"Preencher CPF e entrada",IF(COUNTIFS($A$12:$A$5011,A3768,$B$12:$B$5011,B3768)&gt;1,"CPF + dia duplicado",IF(OR(AND(E3768&lt;&gt;"",E3768&lt;B3768),AND(F3768&lt;&gt;"",F3768&lt;B3768)),"Evento anterior à entrada",IF(AND(F3768&lt;&gt;"",E3768=""),"Conversa sem agendamento",IF(OR(E3768&gt;TODAY(),F3768&gt;TODAY()),"Verificar evento futuro","OK"))))))</f>
        <v/>
      </c>
    </row>
    <row r="3769" spans="9:12">
      <c r="I3769" s="5">
        <f>IF(OR(A3769="",B3769=""),"",B3769-WEEKDAY(B3769,2)+1)</f>
        <v/>
      </c>
      <c r="J3769" s="5">
        <f>IF(I3769="","",I3769+6)</f>
        <v/>
      </c>
      <c r="K3769" s="6">
        <f>IF(OR(A3769="",B3769=""),"",DATE(YEAR(B3769),MONTH(B3769),1))</f>
        <v/>
      </c>
      <c r="L3769" s="7">
        <f>IF(COUNTA(A3769,B3769)=0,"",IF(OR(A3769="",B3769=""),"Preencher CPF e entrada",IF(COUNTIFS($A$12:$A$5011,A3769,$B$12:$B$5011,B3769)&gt;1,"CPF + dia duplicado",IF(OR(AND(E3769&lt;&gt;"",E3769&lt;B3769),AND(F3769&lt;&gt;"",F3769&lt;B3769)),"Evento anterior à entrada",IF(AND(F3769&lt;&gt;"",E3769=""),"Conversa sem agendamento",IF(OR(E3769&gt;TODAY(),F3769&gt;TODAY()),"Verificar evento futuro","OK"))))))</f>
        <v/>
      </c>
    </row>
    <row r="3770" spans="9:12">
      <c r="I3770" s="5">
        <f>IF(OR(A3770="",B3770=""),"",B3770-WEEKDAY(B3770,2)+1)</f>
        <v/>
      </c>
      <c r="J3770" s="5">
        <f>IF(I3770="","",I3770+6)</f>
        <v/>
      </c>
      <c r="K3770" s="6">
        <f>IF(OR(A3770="",B3770=""),"",DATE(YEAR(B3770),MONTH(B3770),1))</f>
        <v/>
      </c>
      <c r="L3770" s="7">
        <f>IF(COUNTA(A3770,B3770)=0,"",IF(OR(A3770="",B3770=""),"Preencher CPF e entrada",IF(COUNTIFS($A$12:$A$5011,A3770,$B$12:$B$5011,B3770)&gt;1,"CPF + dia duplicado",IF(OR(AND(E3770&lt;&gt;"",E3770&lt;B3770),AND(F3770&lt;&gt;"",F3770&lt;B3770)),"Evento anterior à entrada",IF(AND(F3770&lt;&gt;"",E3770=""),"Conversa sem agendamento",IF(OR(E3770&gt;TODAY(),F3770&gt;TODAY()),"Verificar evento futuro","OK"))))))</f>
        <v/>
      </c>
    </row>
    <row r="3771" spans="9:12">
      <c r="I3771" s="5">
        <f>IF(OR(A3771="",B3771=""),"",B3771-WEEKDAY(B3771,2)+1)</f>
        <v/>
      </c>
      <c r="J3771" s="5">
        <f>IF(I3771="","",I3771+6)</f>
        <v/>
      </c>
      <c r="K3771" s="6">
        <f>IF(OR(A3771="",B3771=""),"",DATE(YEAR(B3771),MONTH(B3771),1))</f>
        <v/>
      </c>
      <c r="L3771" s="7">
        <f>IF(COUNTA(A3771,B3771)=0,"",IF(OR(A3771="",B3771=""),"Preencher CPF e entrada",IF(COUNTIFS($A$12:$A$5011,A3771,$B$12:$B$5011,B3771)&gt;1,"CPF + dia duplicado",IF(OR(AND(E3771&lt;&gt;"",E3771&lt;B3771),AND(F3771&lt;&gt;"",F3771&lt;B3771)),"Evento anterior à entrada",IF(AND(F3771&lt;&gt;"",E3771=""),"Conversa sem agendamento",IF(OR(E3771&gt;TODAY(),F3771&gt;TODAY()),"Verificar evento futuro","OK"))))))</f>
        <v/>
      </c>
    </row>
    <row r="3772" spans="9:12">
      <c r="I3772" s="5">
        <f>IF(OR(A3772="",B3772=""),"",B3772-WEEKDAY(B3772,2)+1)</f>
        <v/>
      </c>
      <c r="J3772" s="5">
        <f>IF(I3772="","",I3772+6)</f>
        <v/>
      </c>
      <c r="K3772" s="6">
        <f>IF(OR(A3772="",B3772=""),"",DATE(YEAR(B3772),MONTH(B3772),1))</f>
        <v/>
      </c>
      <c r="L3772" s="7">
        <f>IF(COUNTA(A3772,B3772)=0,"",IF(OR(A3772="",B3772=""),"Preencher CPF e entrada",IF(COUNTIFS($A$12:$A$5011,A3772,$B$12:$B$5011,B3772)&gt;1,"CPF + dia duplicado",IF(OR(AND(E3772&lt;&gt;"",E3772&lt;B3772),AND(F3772&lt;&gt;"",F3772&lt;B3772)),"Evento anterior à entrada",IF(AND(F3772&lt;&gt;"",E3772=""),"Conversa sem agendamento",IF(OR(E3772&gt;TODAY(),F3772&gt;TODAY()),"Verificar evento futuro","OK"))))))</f>
        <v/>
      </c>
    </row>
    <row r="3773" spans="9:12">
      <c r="I3773" s="5">
        <f>IF(OR(A3773="",B3773=""),"",B3773-WEEKDAY(B3773,2)+1)</f>
        <v/>
      </c>
      <c r="J3773" s="5">
        <f>IF(I3773="","",I3773+6)</f>
        <v/>
      </c>
      <c r="K3773" s="6">
        <f>IF(OR(A3773="",B3773=""),"",DATE(YEAR(B3773),MONTH(B3773),1))</f>
        <v/>
      </c>
      <c r="L3773" s="7">
        <f>IF(COUNTA(A3773,B3773)=0,"",IF(OR(A3773="",B3773=""),"Preencher CPF e entrada",IF(COUNTIFS($A$12:$A$5011,A3773,$B$12:$B$5011,B3773)&gt;1,"CPF + dia duplicado",IF(OR(AND(E3773&lt;&gt;"",E3773&lt;B3773),AND(F3773&lt;&gt;"",F3773&lt;B3773)),"Evento anterior à entrada",IF(AND(F3773&lt;&gt;"",E3773=""),"Conversa sem agendamento",IF(OR(E3773&gt;TODAY(),F3773&gt;TODAY()),"Verificar evento futuro","OK"))))))</f>
        <v/>
      </c>
    </row>
    <row r="3774" spans="9:12">
      <c r="I3774" s="5">
        <f>IF(OR(A3774="",B3774=""),"",B3774-WEEKDAY(B3774,2)+1)</f>
        <v/>
      </c>
      <c r="J3774" s="5">
        <f>IF(I3774="","",I3774+6)</f>
        <v/>
      </c>
      <c r="K3774" s="6">
        <f>IF(OR(A3774="",B3774=""),"",DATE(YEAR(B3774),MONTH(B3774),1))</f>
        <v/>
      </c>
      <c r="L3774" s="7">
        <f>IF(COUNTA(A3774,B3774)=0,"",IF(OR(A3774="",B3774=""),"Preencher CPF e entrada",IF(COUNTIFS($A$12:$A$5011,A3774,$B$12:$B$5011,B3774)&gt;1,"CPF + dia duplicado",IF(OR(AND(E3774&lt;&gt;"",E3774&lt;B3774),AND(F3774&lt;&gt;"",F3774&lt;B3774)),"Evento anterior à entrada",IF(AND(F3774&lt;&gt;"",E3774=""),"Conversa sem agendamento",IF(OR(E3774&gt;TODAY(),F3774&gt;TODAY()),"Verificar evento futuro","OK"))))))</f>
        <v/>
      </c>
    </row>
    <row r="3775" spans="9:12">
      <c r="I3775" s="5">
        <f>IF(OR(A3775="",B3775=""),"",B3775-WEEKDAY(B3775,2)+1)</f>
        <v/>
      </c>
      <c r="J3775" s="5">
        <f>IF(I3775="","",I3775+6)</f>
        <v/>
      </c>
      <c r="K3775" s="6">
        <f>IF(OR(A3775="",B3775=""),"",DATE(YEAR(B3775),MONTH(B3775),1))</f>
        <v/>
      </c>
      <c r="L3775" s="7">
        <f>IF(COUNTA(A3775,B3775)=0,"",IF(OR(A3775="",B3775=""),"Preencher CPF e entrada",IF(COUNTIFS($A$12:$A$5011,A3775,$B$12:$B$5011,B3775)&gt;1,"CPF + dia duplicado",IF(OR(AND(E3775&lt;&gt;"",E3775&lt;B3775),AND(F3775&lt;&gt;"",F3775&lt;B3775)),"Evento anterior à entrada",IF(AND(F3775&lt;&gt;"",E3775=""),"Conversa sem agendamento",IF(OR(E3775&gt;TODAY(),F3775&gt;TODAY()),"Verificar evento futuro","OK"))))))</f>
        <v/>
      </c>
    </row>
    <row r="3776" spans="9:12">
      <c r="I3776" s="5">
        <f>IF(OR(A3776="",B3776=""),"",B3776-WEEKDAY(B3776,2)+1)</f>
        <v/>
      </c>
      <c r="J3776" s="5">
        <f>IF(I3776="","",I3776+6)</f>
        <v/>
      </c>
      <c r="K3776" s="6">
        <f>IF(OR(A3776="",B3776=""),"",DATE(YEAR(B3776),MONTH(B3776),1))</f>
        <v/>
      </c>
      <c r="L3776" s="7">
        <f>IF(COUNTA(A3776,B3776)=0,"",IF(OR(A3776="",B3776=""),"Preencher CPF e entrada",IF(COUNTIFS($A$12:$A$5011,A3776,$B$12:$B$5011,B3776)&gt;1,"CPF + dia duplicado",IF(OR(AND(E3776&lt;&gt;"",E3776&lt;B3776),AND(F3776&lt;&gt;"",F3776&lt;B3776)),"Evento anterior à entrada",IF(AND(F3776&lt;&gt;"",E3776=""),"Conversa sem agendamento",IF(OR(E3776&gt;TODAY(),F3776&gt;TODAY()),"Verificar evento futuro","OK"))))))</f>
        <v/>
      </c>
    </row>
    <row r="3777" spans="9:12">
      <c r="I3777" s="5">
        <f>IF(OR(A3777="",B3777=""),"",B3777-WEEKDAY(B3777,2)+1)</f>
        <v/>
      </c>
      <c r="J3777" s="5">
        <f>IF(I3777="","",I3777+6)</f>
        <v/>
      </c>
      <c r="K3777" s="6">
        <f>IF(OR(A3777="",B3777=""),"",DATE(YEAR(B3777),MONTH(B3777),1))</f>
        <v/>
      </c>
      <c r="L3777" s="7">
        <f>IF(COUNTA(A3777,B3777)=0,"",IF(OR(A3777="",B3777=""),"Preencher CPF e entrada",IF(COUNTIFS($A$12:$A$5011,A3777,$B$12:$B$5011,B3777)&gt;1,"CPF + dia duplicado",IF(OR(AND(E3777&lt;&gt;"",E3777&lt;B3777),AND(F3777&lt;&gt;"",F3777&lt;B3777)),"Evento anterior à entrada",IF(AND(F3777&lt;&gt;"",E3777=""),"Conversa sem agendamento",IF(OR(E3777&gt;TODAY(),F3777&gt;TODAY()),"Verificar evento futuro","OK"))))))</f>
        <v/>
      </c>
    </row>
    <row r="3778" spans="9:12">
      <c r="I3778" s="5">
        <f>IF(OR(A3778="",B3778=""),"",B3778-WEEKDAY(B3778,2)+1)</f>
        <v/>
      </c>
      <c r="J3778" s="5">
        <f>IF(I3778="","",I3778+6)</f>
        <v/>
      </c>
      <c r="K3778" s="6">
        <f>IF(OR(A3778="",B3778=""),"",DATE(YEAR(B3778),MONTH(B3778),1))</f>
        <v/>
      </c>
      <c r="L3778" s="7">
        <f>IF(COUNTA(A3778,B3778)=0,"",IF(OR(A3778="",B3778=""),"Preencher CPF e entrada",IF(COUNTIFS($A$12:$A$5011,A3778,$B$12:$B$5011,B3778)&gt;1,"CPF + dia duplicado",IF(OR(AND(E3778&lt;&gt;"",E3778&lt;B3778),AND(F3778&lt;&gt;"",F3778&lt;B3778)),"Evento anterior à entrada",IF(AND(F3778&lt;&gt;"",E3778=""),"Conversa sem agendamento",IF(OR(E3778&gt;TODAY(),F3778&gt;TODAY()),"Verificar evento futuro","OK"))))))</f>
        <v/>
      </c>
    </row>
    <row r="3779" spans="9:12">
      <c r="I3779" s="5">
        <f>IF(OR(A3779="",B3779=""),"",B3779-WEEKDAY(B3779,2)+1)</f>
        <v/>
      </c>
      <c r="J3779" s="5">
        <f>IF(I3779="","",I3779+6)</f>
        <v/>
      </c>
      <c r="K3779" s="6">
        <f>IF(OR(A3779="",B3779=""),"",DATE(YEAR(B3779),MONTH(B3779),1))</f>
        <v/>
      </c>
      <c r="L3779" s="7">
        <f>IF(COUNTA(A3779,B3779)=0,"",IF(OR(A3779="",B3779=""),"Preencher CPF e entrada",IF(COUNTIFS($A$12:$A$5011,A3779,$B$12:$B$5011,B3779)&gt;1,"CPF + dia duplicado",IF(OR(AND(E3779&lt;&gt;"",E3779&lt;B3779),AND(F3779&lt;&gt;"",F3779&lt;B3779)),"Evento anterior à entrada",IF(AND(F3779&lt;&gt;"",E3779=""),"Conversa sem agendamento",IF(OR(E3779&gt;TODAY(),F3779&gt;TODAY()),"Verificar evento futuro","OK"))))))</f>
        <v/>
      </c>
    </row>
    <row r="3780" spans="9:12">
      <c r="I3780" s="5">
        <f>IF(OR(A3780="",B3780=""),"",B3780-WEEKDAY(B3780,2)+1)</f>
        <v/>
      </c>
      <c r="J3780" s="5">
        <f>IF(I3780="","",I3780+6)</f>
        <v/>
      </c>
      <c r="K3780" s="6">
        <f>IF(OR(A3780="",B3780=""),"",DATE(YEAR(B3780),MONTH(B3780),1))</f>
        <v/>
      </c>
      <c r="L3780" s="7">
        <f>IF(COUNTA(A3780,B3780)=0,"",IF(OR(A3780="",B3780=""),"Preencher CPF e entrada",IF(COUNTIFS($A$12:$A$5011,A3780,$B$12:$B$5011,B3780)&gt;1,"CPF + dia duplicado",IF(OR(AND(E3780&lt;&gt;"",E3780&lt;B3780),AND(F3780&lt;&gt;"",F3780&lt;B3780)),"Evento anterior à entrada",IF(AND(F3780&lt;&gt;"",E3780=""),"Conversa sem agendamento",IF(OR(E3780&gt;TODAY(),F3780&gt;TODAY()),"Verificar evento futuro","OK"))))))</f>
        <v/>
      </c>
    </row>
    <row r="3781" spans="9:12">
      <c r="I3781" s="5">
        <f>IF(OR(A3781="",B3781=""),"",B3781-WEEKDAY(B3781,2)+1)</f>
        <v/>
      </c>
      <c r="J3781" s="5">
        <f>IF(I3781="","",I3781+6)</f>
        <v/>
      </c>
      <c r="K3781" s="6">
        <f>IF(OR(A3781="",B3781=""),"",DATE(YEAR(B3781),MONTH(B3781),1))</f>
        <v/>
      </c>
      <c r="L3781" s="7">
        <f>IF(COUNTA(A3781,B3781)=0,"",IF(OR(A3781="",B3781=""),"Preencher CPF e entrada",IF(COUNTIFS($A$12:$A$5011,A3781,$B$12:$B$5011,B3781)&gt;1,"CPF + dia duplicado",IF(OR(AND(E3781&lt;&gt;"",E3781&lt;B3781),AND(F3781&lt;&gt;"",F3781&lt;B3781)),"Evento anterior à entrada",IF(AND(F3781&lt;&gt;"",E3781=""),"Conversa sem agendamento",IF(OR(E3781&gt;TODAY(),F3781&gt;TODAY()),"Verificar evento futuro","OK"))))))</f>
        <v/>
      </c>
    </row>
    <row r="3782" spans="9:12">
      <c r="I3782" s="5">
        <f>IF(OR(A3782="",B3782=""),"",B3782-WEEKDAY(B3782,2)+1)</f>
        <v/>
      </c>
      <c r="J3782" s="5">
        <f>IF(I3782="","",I3782+6)</f>
        <v/>
      </c>
      <c r="K3782" s="6">
        <f>IF(OR(A3782="",B3782=""),"",DATE(YEAR(B3782),MONTH(B3782),1))</f>
        <v/>
      </c>
      <c r="L3782" s="7">
        <f>IF(COUNTA(A3782,B3782)=0,"",IF(OR(A3782="",B3782=""),"Preencher CPF e entrada",IF(COUNTIFS($A$12:$A$5011,A3782,$B$12:$B$5011,B3782)&gt;1,"CPF + dia duplicado",IF(OR(AND(E3782&lt;&gt;"",E3782&lt;B3782),AND(F3782&lt;&gt;"",F3782&lt;B3782)),"Evento anterior à entrada",IF(AND(F3782&lt;&gt;"",E3782=""),"Conversa sem agendamento",IF(OR(E3782&gt;TODAY(),F3782&gt;TODAY()),"Verificar evento futuro","OK"))))))</f>
        <v/>
      </c>
    </row>
    <row r="3783" spans="9:12">
      <c r="I3783" s="5">
        <f>IF(OR(A3783="",B3783=""),"",B3783-WEEKDAY(B3783,2)+1)</f>
        <v/>
      </c>
      <c r="J3783" s="5">
        <f>IF(I3783="","",I3783+6)</f>
        <v/>
      </c>
      <c r="K3783" s="6">
        <f>IF(OR(A3783="",B3783=""),"",DATE(YEAR(B3783),MONTH(B3783),1))</f>
        <v/>
      </c>
      <c r="L3783" s="7">
        <f>IF(COUNTA(A3783,B3783)=0,"",IF(OR(A3783="",B3783=""),"Preencher CPF e entrada",IF(COUNTIFS($A$12:$A$5011,A3783,$B$12:$B$5011,B3783)&gt;1,"CPF + dia duplicado",IF(OR(AND(E3783&lt;&gt;"",E3783&lt;B3783),AND(F3783&lt;&gt;"",F3783&lt;B3783)),"Evento anterior à entrada",IF(AND(F3783&lt;&gt;"",E3783=""),"Conversa sem agendamento",IF(OR(E3783&gt;TODAY(),F3783&gt;TODAY()),"Verificar evento futuro","OK"))))))</f>
        <v/>
      </c>
    </row>
    <row r="3784" spans="9:12">
      <c r="I3784" s="5">
        <f>IF(OR(A3784="",B3784=""),"",B3784-WEEKDAY(B3784,2)+1)</f>
        <v/>
      </c>
      <c r="J3784" s="5">
        <f>IF(I3784="","",I3784+6)</f>
        <v/>
      </c>
      <c r="K3784" s="6">
        <f>IF(OR(A3784="",B3784=""),"",DATE(YEAR(B3784),MONTH(B3784),1))</f>
        <v/>
      </c>
      <c r="L3784" s="7">
        <f>IF(COUNTA(A3784,B3784)=0,"",IF(OR(A3784="",B3784=""),"Preencher CPF e entrada",IF(COUNTIFS($A$12:$A$5011,A3784,$B$12:$B$5011,B3784)&gt;1,"CPF + dia duplicado",IF(OR(AND(E3784&lt;&gt;"",E3784&lt;B3784),AND(F3784&lt;&gt;"",F3784&lt;B3784)),"Evento anterior à entrada",IF(AND(F3784&lt;&gt;"",E3784=""),"Conversa sem agendamento",IF(OR(E3784&gt;TODAY(),F3784&gt;TODAY()),"Verificar evento futuro","OK"))))))</f>
        <v/>
      </c>
    </row>
    <row r="3785" spans="9:12">
      <c r="I3785" s="5">
        <f>IF(OR(A3785="",B3785=""),"",B3785-WEEKDAY(B3785,2)+1)</f>
        <v/>
      </c>
      <c r="J3785" s="5">
        <f>IF(I3785="","",I3785+6)</f>
        <v/>
      </c>
      <c r="K3785" s="6">
        <f>IF(OR(A3785="",B3785=""),"",DATE(YEAR(B3785),MONTH(B3785),1))</f>
        <v/>
      </c>
      <c r="L3785" s="7">
        <f>IF(COUNTA(A3785,B3785)=0,"",IF(OR(A3785="",B3785=""),"Preencher CPF e entrada",IF(COUNTIFS($A$12:$A$5011,A3785,$B$12:$B$5011,B3785)&gt;1,"CPF + dia duplicado",IF(OR(AND(E3785&lt;&gt;"",E3785&lt;B3785),AND(F3785&lt;&gt;"",F3785&lt;B3785)),"Evento anterior à entrada",IF(AND(F3785&lt;&gt;"",E3785=""),"Conversa sem agendamento",IF(OR(E3785&gt;TODAY(),F3785&gt;TODAY()),"Verificar evento futuro","OK"))))))</f>
        <v/>
      </c>
    </row>
    <row r="3786" spans="9:12">
      <c r="I3786" s="5">
        <f>IF(OR(A3786="",B3786=""),"",B3786-WEEKDAY(B3786,2)+1)</f>
        <v/>
      </c>
      <c r="J3786" s="5">
        <f>IF(I3786="","",I3786+6)</f>
        <v/>
      </c>
      <c r="K3786" s="6">
        <f>IF(OR(A3786="",B3786=""),"",DATE(YEAR(B3786),MONTH(B3786),1))</f>
        <v/>
      </c>
      <c r="L3786" s="7">
        <f>IF(COUNTA(A3786,B3786)=0,"",IF(OR(A3786="",B3786=""),"Preencher CPF e entrada",IF(COUNTIFS($A$12:$A$5011,A3786,$B$12:$B$5011,B3786)&gt;1,"CPF + dia duplicado",IF(OR(AND(E3786&lt;&gt;"",E3786&lt;B3786),AND(F3786&lt;&gt;"",F3786&lt;B3786)),"Evento anterior à entrada",IF(AND(F3786&lt;&gt;"",E3786=""),"Conversa sem agendamento",IF(OR(E3786&gt;TODAY(),F3786&gt;TODAY()),"Verificar evento futuro","OK"))))))</f>
        <v/>
      </c>
    </row>
    <row r="3787" spans="9:12">
      <c r="I3787" s="5">
        <f>IF(OR(A3787="",B3787=""),"",B3787-WEEKDAY(B3787,2)+1)</f>
        <v/>
      </c>
      <c r="J3787" s="5">
        <f>IF(I3787="","",I3787+6)</f>
        <v/>
      </c>
      <c r="K3787" s="6">
        <f>IF(OR(A3787="",B3787=""),"",DATE(YEAR(B3787),MONTH(B3787),1))</f>
        <v/>
      </c>
      <c r="L3787" s="7">
        <f>IF(COUNTA(A3787,B3787)=0,"",IF(OR(A3787="",B3787=""),"Preencher CPF e entrada",IF(COUNTIFS($A$12:$A$5011,A3787,$B$12:$B$5011,B3787)&gt;1,"CPF + dia duplicado",IF(OR(AND(E3787&lt;&gt;"",E3787&lt;B3787),AND(F3787&lt;&gt;"",F3787&lt;B3787)),"Evento anterior à entrada",IF(AND(F3787&lt;&gt;"",E3787=""),"Conversa sem agendamento",IF(OR(E3787&gt;TODAY(),F3787&gt;TODAY()),"Verificar evento futuro","OK"))))))</f>
        <v/>
      </c>
    </row>
    <row r="3788" spans="9:12">
      <c r="I3788" s="5">
        <f>IF(OR(A3788="",B3788=""),"",B3788-WEEKDAY(B3788,2)+1)</f>
        <v/>
      </c>
      <c r="J3788" s="5">
        <f>IF(I3788="","",I3788+6)</f>
        <v/>
      </c>
      <c r="K3788" s="6">
        <f>IF(OR(A3788="",B3788=""),"",DATE(YEAR(B3788),MONTH(B3788),1))</f>
        <v/>
      </c>
      <c r="L3788" s="7">
        <f>IF(COUNTA(A3788,B3788)=0,"",IF(OR(A3788="",B3788=""),"Preencher CPF e entrada",IF(COUNTIFS($A$12:$A$5011,A3788,$B$12:$B$5011,B3788)&gt;1,"CPF + dia duplicado",IF(OR(AND(E3788&lt;&gt;"",E3788&lt;B3788),AND(F3788&lt;&gt;"",F3788&lt;B3788)),"Evento anterior à entrada",IF(AND(F3788&lt;&gt;"",E3788=""),"Conversa sem agendamento",IF(OR(E3788&gt;TODAY(),F3788&gt;TODAY()),"Verificar evento futuro","OK"))))))</f>
        <v/>
      </c>
    </row>
    <row r="3789" spans="9:12">
      <c r="I3789" s="5">
        <f>IF(OR(A3789="",B3789=""),"",B3789-WEEKDAY(B3789,2)+1)</f>
        <v/>
      </c>
      <c r="J3789" s="5">
        <f>IF(I3789="","",I3789+6)</f>
        <v/>
      </c>
      <c r="K3789" s="6">
        <f>IF(OR(A3789="",B3789=""),"",DATE(YEAR(B3789),MONTH(B3789),1))</f>
        <v/>
      </c>
      <c r="L3789" s="7">
        <f>IF(COUNTA(A3789,B3789)=0,"",IF(OR(A3789="",B3789=""),"Preencher CPF e entrada",IF(COUNTIFS($A$12:$A$5011,A3789,$B$12:$B$5011,B3789)&gt;1,"CPF + dia duplicado",IF(OR(AND(E3789&lt;&gt;"",E3789&lt;B3789),AND(F3789&lt;&gt;"",F3789&lt;B3789)),"Evento anterior à entrada",IF(AND(F3789&lt;&gt;"",E3789=""),"Conversa sem agendamento",IF(OR(E3789&gt;TODAY(),F3789&gt;TODAY()),"Verificar evento futuro","OK"))))))</f>
        <v/>
      </c>
    </row>
    <row r="3790" spans="9:12">
      <c r="I3790" s="5">
        <f>IF(OR(A3790="",B3790=""),"",B3790-WEEKDAY(B3790,2)+1)</f>
        <v/>
      </c>
      <c r="J3790" s="5">
        <f>IF(I3790="","",I3790+6)</f>
        <v/>
      </c>
      <c r="K3790" s="6">
        <f>IF(OR(A3790="",B3790=""),"",DATE(YEAR(B3790),MONTH(B3790),1))</f>
        <v/>
      </c>
      <c r="L3790" s="7">
        <f>IF(COUNTA(A3790,B3790)=0,"",IF(OR(A3790="",B3790=""),"Preencher CPF e entrada",IF(COUNTIFS($A$12:$A$5011,A3790,$B$12:$B$5011,B3790)&gt;1,"CPF + dia duplicado",IF(OR(AND(E3790&lt;&gt;"",E3790&lt;B3790),AND(F3790&lt;&gt;"",F3790&lt;B3790)),"Evento anterior à entrada",IF(AND(F3790&lt;&gt;"",E3790=""),"Conversa sem agendamento",IF(OR(E3790&gt;TODAY(),F3790&gt;TODAY()),"Verificar evento futuro","OK"))))))</f>
        <v/>
      </c>
    </row>
    <row r="3791" spans="9:12">
      <c r="I3791" s="5">
        <f>IF(OR(A3791="",B3791=""),"",B3791-WEEKDAY(B3791,2)+1)</f>
        <v/>
      </c>
      <c r="J3791" s="5">
        <f>IF(I3791="","",I3791+6)</f>
        <v/>
      </c>
      <c r="K3791" s="6">
        <f>IF(OR(A3791="",B3791=""),"",DATE(YEAR(B3791),MONTH(B3791),1))</f>
        <v/>
      </c>
      <c r="L3791" s="7">
        <f>IF(COUNTA(A3791,B3791)=0,"",IF(OR(A3791="",B3791=""),"Preencher CPF e entrada",IF(COUNTIFS($A$12:$A$5011,A3791,$B$12:$B$5011,B3791)&gt;1,"CPF + dia duplicado",IF(OR(AND(E3791&lt;&gt;"",E3791&lt;B3791),AND(F3791&lt;&gt;"",F3791&lt;B3791)),"Evento anterior à entrada",IF(AND(F3791&lt;&gt;"",E3791=""),"Conversa sem agendamento",IF(OR(E3791&gt;TODAY(),F3791&gt;TODAY()),"Verificar evento futuro","OK"))))))</f>
        <v/>
      </c>
    </row>
    <row r="3792" spans="9:12">
      <c r="I3792" s="5">
        <f>IF(OR(A3792="",B3792=""),"",B3792-WEEKDAY(B3792,2)+1)</f>
        <v/>
      </c>
      <c r="J3792" s="5">
        <f>IF(I3792="","",I3792+6)</f>
        <v/>
      </c>
      <c r="K3792" s="6">
        <f>IF(OR(A3792="",B3792=""),"",DATE(YEAR(B3792),MONTH(B3792),1))</f>
        <v/>
      </c>
      <c r="L3792" s="7">
        <f>IF(COUNTA(A3792,B3792)=0,"",IF(OR(A3792="",B3792=""),"Preencher CPF e entrada",IF(COUNTIFS($A$12:$A$5011,A3792,$B$12:$B$5011,B3792)&gt;1,"CPF + dia duplicado",IF(OR(AND(E3792&lt;&gt;"",E3792&lt;B3792),AND(F3792&lt;&gt;"",F3792&lt;B3792)),"Evento anterior à entrada",IF(AND(F3792&lt;&gt;"",E3792=""),"Conversa sem agendamento",IF(OR(E3792&gt;TODAY(),F3792&gt;TODAY()),"Verificar evento futuro","OK"))))))</f>
        <v/>
      </c>
    </row>
    <row r="3793" spans="9:12">
      <c r="I3793" s="5">
        <f>IF(OR(A3793="",B3793=""),"",B3793-WEEKDAY(B3793,2)+1)</f>
        <v/>
      </c>
      <c r="J3793" s="5">
        <f>IF(I3793="","",I3793+6)</f>
        <v/>
      </c>
      <c r="K3793" s="6">
        <f>IF(OR(A3793="",B3793=""),"",DATE(YEAR(B3793),MONTH(B3793),1))</f>
        <v/>
      </c>
      <c r="L3793" s="7">
        <f>IF(COUNTA(A3793,B3793)=0,"",IF(OR(A3793="",B3793=""),"Preencher CPF e entrada",IF(COUNTIFS($A$12:$A$5011,A3793,$B$12:$B$5011,B3793)&gt;1,"CPF + dia duplicado",IF(OR(AND(E3793&lt;&gt;"",E3793&lt;B3793),AND(F3793&lt;&gt;"",F3793&lt;B3793)),"Evento anterior à entrada",IF(AND(F3793&lt;&gt;"",E3793=""),"Conversa sem agendamento",IF(OR(E3793&gt;TODAY(),F3793&gt;TODAY()),"Verificar evento futuro","OK"))))))</f>
        <v/>
      </c>
    </row>
    <row r="3794" spans="9:12">
      <c r="I3794" s="5">
        <f>IF(OR(A3794="",B3794=""),"",B3794-WEEKDAY(B3794,2)+1)</f>
        <v/>
      </c>
      <c r="J3794" s="5">
        <f>IF(I3794="","",I3794+6)</f>
        <v/>
      </c>
      <c r="K3794" s="6">
        <f>IF(OR(A3794="",B3794=""),"",DATE(YEAR(B3794),MONTH(B3794),1))</f>
        <v/>
      </c>
      <c r="L3794" s="7">
        <f>IF(COUNTA(A3794,B3794)=0,"",IF(OR(A3794="",B3794=""),"Preencher CPF e entrada",IF(COUNTIFS($A$12:$A$5011,A3794,$B$12:$B$5011,B3794)&gt;1,"CPF + dia duplicado",IF(OR(AND(E3794&lt;&gt;"",E3794&lt;B3794),AND(F3794&lt;&gt;"",F3794&lt;B3794)),"Evento anterior à entrada",IF(AND(F3794&lt;&gt;"",E3794=""),"Conversa sem agendamento",IF(OR(E3794&gt;TODAY(),F3794&gt;TODAY()),"Verificar evento futuro","OK"))))))</f>
        <v/>
      </c>
    </row>
    <row r="3795" spans="9:12">
      <c r="I3795" s="5">
        <f>IF(OR(A3795="",B3795=""),"",B3795-WEEKDAY(B3795,2)+1)</f>
        <v/>
      </c>
      <c r="J3795" s="5">
        <f>IF(I3795="","",I3795+6)</f>
        <v/>
      </c>
      <c r="K3795" s="6">
        <f>IF(OR(A3795="",B3795=""),"",DATE(YEAR(B3795),MONTH(B3795),1))</f>
        <v/>
      </c>
      <c r="L3795" s="7">
        <f>IF(COUNTA(A3795,B3795)=0,"",IF(OR(A3795="",B3795=""),"Preencher CPF e entrada",IF(COUNTIFS($A$12:$A$5011,A3795,$B$12:$B$5011,B3795)&gt;1,"CPF + dia duplicado",IF(OR(AND(E3795&lt;&gt;"",E3795&lt;B3795),AND(F3795&lt;&gt;"",F3795&lt;B3795)),"Evento anterior à entrada",IF(AND(F3795&lt;&gt;"",E3795=""),"Conversa sem agendamento",IF(OR(E3795&gt;TODAY(),F3795&gt;TODAY()),"Verificar evento futuro","OK"))))))</f>
        <v/>
      </c>
    </row>
    <row r="3796" spans="9:12">
      <c r="I3796" s="5">
        <f>IF(OR(A3796="",B3796=""),"",B3796-WEEKDAY(B3796,2)+1)</f>
        <v/>
      </c>
      <c r="J3796" s="5">
        <f>IF(I3796="","",I3796+6)</f>
        <v/>
      </c>
      <c r="K3796" s="6">
        <f>IF(OR(A3796="",B3796=""),"",DATE(YEAR(B3796),MONTH(B3796),1))</f>
        <v/>
      </c>
      <c r="L3796" s="7">
        <f>IF(COUNTA(A3796,B3796)=0,"",IF(OR(A3796="",B3796=""),"Preencher CPF e entrada",IF(COUNTIFS($A$12:$A$5011,A3796,$B$12:$B$5011,B3796)&gt;1,"CPF + dia duplicado",IF(OR(AND(E3796&lt;&gt;"",E3796&lt;B3796),AND(F3796&lt;&gt;"",F3796&lt;B3796)),"Evento anterior à entrada",IF(AND(F3796&lt;&gt;"",E3796=""),"Conversa sem agendamento",IF(OR(E3796&gt;TODAY(),F3796&gt;TODAY()),"Verificar evento futuro","OK"))))))</f>
        <v/>
      </c>
    </row>
    <row r="3797" spans="9:12">
      <c r="I3797" s="5">
        <f>IF(OR(A3797="",B3797=""),"",B3797-WEEKDAY(B3797,2)+1)</f>
        <v/>
      </c>
      <c r="J3797" s="5">
        <f>IF(I3797="","",I3797+6)</f>
        <v/>
      </c>
      <c r="K3797" s="6">
        <f>IF(OR(A3797="",B3797=""),"",DATE(YEAR(B3797),MONTH(B3797),1))</f>
        <v/>
      </c>
      <c r="L3797" s="7">
        <f>IF(COUNTA(A3797,B3797)=0,"",IF(OR(A3797="",B3797=""),"Preencher CPF e entrada",IF(COUNTIFS($A$12:$A$5011,A3797,$B$12:$B$5011,B3797)&gt;1,"CPF + dia duplicado",IF(OR(AND(E3797&lt;&gt;"",E3797&lt;B3797),AND(F3797&lt;&gt;"",F3797&lt;B3797)),"Evento anterior à entrada",IF(AND(F3797&lt;&gt;"",E3797=""),"Conversa sem agendamento",IF(OR(E3797&gt;TODAY(),F3797&gt;TODAY()),"Verificar evento futuro","OK"))))))</f>
        <v/>
      </c>
    </row>
    <row r="3798" spans="9:12">
      <c r="I3798" s="5">
        <f>IF(OR(A3798="",B3798=""),"",B3798-WEEKDAY(B3798,2)+1)</f>
        <v/>
      </c>
      <c r="J3798" s="5">
        <f>IF(I3798="","",I3798+6)</f>
        <v/>
      </c>
      <c r="K3798" s="6">
        <f>IF(OR(A3798="",B3798=""),"",DATE(YEAR(B3798),MONTH(B3798),1))</f>
        <v/>
      </c>
      <c r="L3798" s="7">
        <f>IF(COUNTA(A3798,B3798)=0,"",IF(OR(A3798="",B3798=""),"Preencher CPF e entrada",IF(COUNTIFS($A$12:$A$5011,A3798,$B$12:$B$5011,B3798)&gt;1,"CPF + dia duplicado",IF(OR(AND(E3798&lt;&gt;"",E3798&lt;B3798),AND(F3798&lt;&gt;"",F3798&lt;B3798)),"Evento anterior à entrada",IF(AND(F3798&lt;&gt;"",E3798=""),"Conversa sem agendamento",IF(OR(E3798&gt;TODAY(),F3798&gt;TODAY()),"Verificar evento futuro","OK"))))))</f>
        <v/>
      </c>
    </row>
    <row r="3799" spans="9:12">
      <c r="I3799" s="5">
        <f>IF(OR(A3799="",B3799=""),"",B3799-WEEKDAY(B3799,2)+1)</f>
        <v/>
      </c>
      <c r="J3799" s="5">
        <f>IF(I3799="","",I3799+6)</f>
        <v/>
      </c>
      <c r="K3799" s="6">
        <f>IF(OR(A3799="",B3799=""),"",DATE(YEAR(B3799),MONTH(B3799),1))</f>
        <v/>
      </c>
      <c r="L3799" s="7">
        <f>IF(COUNTA(A3799,B3799)=0,"",IF(OR(A3799="",B3799=""),"Preencher CPF e entrada",IF(COUNTIFS($A$12:$A$5011,A3799,$B$12:$B$5011,B3799)&gt;1,"CPF + dia duplicado",IF(OR(AND(E3799&lt;&gt;"",E3799&lt;B3799),AND(F3799&lt;&gt;"",F3799&lt;B3799)),"Evento anterior à entrada",IF(AND(F3799&lt;&gt;"",E3799=""),"Conversa sem agendamento",IF(OR(E3799&gt;TODAY(),F3799&gt;TODAY()),"Verificar evento futuro","OK"))))))</f>
        <v/>
      </c>
    </row>
    <row r="3800" spans="9:12">
      <c r="I3800" s="5">
        <f>IF(OR(A3800="",B3800=""),"",B3800-WEEKDAY(B3800,2)+1)</f>
        <v/>
      </c>
      <c r="J3800" s="5">
        <f>IF(I3800="","",I3800+6)</f>
        <v/>
      </c>
      <c r="K3800" s="6">
        <f>IF(OR(A3800="",B3800=""),"",DATE(YEAR(B3800),MONTH(B3800),1))</f>
        <v/>
      </c>
      <c r="L3800" s="7">
        <f>IF(COUNTA(A3800,B3800)=0,"",IF(OR(A3800="",B3800=""),"Preencher CPF e entrada",IF(COUNTIFS($A$12:$A$5011,A3800,$B$12:$B$5011,B3800)&gt;1,"CPF + dia duplicado",IF(OR(AND(E3800&lt;&gt;"",E3800&lt;B3800),AND(F3800&lt;&gt;"",F3800&lt;B3800)),"Evento anterior à entrada",IF(AND(F3800&lt;&gt;"",E3800=""),"Conversa sem agendamento",IF(OR(E3800&gt;TODAY(),F3800&gt;TODAY()),"Verificar evento futuro","OK"))))))</f>
        <v/>
      </c>
    </row>
    <row r="3801" spans="9:12">
      <c r="I3801" s="5">
        <f>IF(OR(A3801="",B3801=""),"",B3801-WEEKDAY(B3801,2)+1)</f>
        <v/>
      </c>
      <c r="J3801" s="5">
        <f>IF(I3801="","",I3801+6)</f>
        <v/>
      </c>
      <c r="K3801" s="6">
        <f>IF(OR(A3801="",B3801=""),"",DATE(YEAR(B3801),MONTH(B3801),1))</f>
        <v/>
      </c>
      <c r="L3801" s="7">
        <f>IF(COUNTA(A3801,B3801)=0,"",IF(OR(A3801="",B3801=""),"Preencher CPF e entrada",IF(COUNTIFS($A$12:$A$5011,A3801,$B$12:$B$5011,B3801)&gt;1,"CPF + dia duplicado",IF(OR(AND(E3801&lt;&gt;"",E3801&lt;B3801),AND(F3801&lt;&gt;"",F3801&lt;B3801)),"Evento anterior à entrada",IF(AND(F3801&lt;&gt;"",E3801=""),"Conversa sem agendamento",IF(OR(E3801&gt;TODAY(),F3801&gt;TODAY()),"Verificar evento futuro","OK"))))))</f>
        <v/>
      </c>
    </row>
    <row r="3802" spans="9:12">
      <c r="I3802" s="5">
        <f>IF(OR(A3802="",B3802=""),"",B3802-WEEKDAY(B3802,2)+1)</f>
        <v/>
      </c>
      <c r="J3802" s="5">
        <f>IF(I3802="","",I3802+6)</f>
        <v/>
      </c>
      <c r="K3802" s="6">
        <f>IF(OR(A3802="",B3802=""),"",DATE(YEAR(B3802),MONTH(B3802),1))</f>
        <v/>
      </c>
      <c r="L3802" s="7">
        <f>IF(COUNTA(A3802,B3802)=0,"",IF(OR(A3802="",B3802=""),"Preencher CPF e entrada",IF(COUNTIFS($A$12:$A$5011,A3802,$B$12:$B$5011,B3802)&gt;1,"CPF + dia duplicado",IF(OR(AND(E3802&lt;&gt;"",E3802&lt;B3802),AND(F3802&lt;&gt;"",F3802&lt;B3802)),"Evento anterior à entrada",IF(AND(F3802&lt;&gt;"",E3802=""),"Conversa sem agendamento",IF(OR(E3802&gt;TODAY(),F3802&gt;TODAY()),"Verificar evento futuro","OK"))))))</f>
        <v/>
      </c>
    </row>
    <row r="3803" spans="9:12">
      <c r="I3803" s="5">
        <f>IF(OR(A3803="",B3803=""),"",B3803-WEEKDAY(B3803,2)+1)</f>
        <v/>
      </c>
      <c r="J3803" s="5">
        <f>IF(I3803="","",I3803+6)</f>
        <v/>
      </c>
      <c r="K3803" s="6">
        <f>IF(OR(A3803="",B3803=""),"",DATE(YEAR(B3803),MONTH(B3803),1))</f>
        <v/>
      </c>
      <c r="L3803" s="7">
        <f>IF(COUNTA(A3803,B3803)=0,"",IF(OR(A3803="",B3803=""),"Preencher CPF e entrada",IF(COUNTIFS($A$12:$A$5011,A3803,$B$12:$B$5011,B3803)&gt;1,"CPF + dia duplicado",IF(OR(AND(E3803&lt;&gt;"",E3803&lt;B3803),AND(F3803&lt;&gt;"",F3803&lt;B3803)),"Evento anterior à entrada",IF(AND(F3803&lt;&gt;"",E3803=""),"Conversa sem agendamento",IF(OR(E3803&gt;TODAY(),F3803&gt;TODAY()),"Verificar evento futuro","OK"))))))</f>
        <v/>
      </c>
    </row>
    <row r="3804" spans="9:12">
      <c r="I3804" s="5">
        <f>IF(OR(A3804="",B3804=""),"",B3804-WEEKDAY(B3804,2)+1)</f>
        <v/>
      </c>
      <c r="J3804" s="5">
        <f>IF(I3804="","",I3804+6)</f>
        <v/>
      </c>
      <c r="K3804" s="6">
        <f>IF(OR(A3804="",B3804=""),"",DATE(YEAR(B3804),MONTH(B3804),1))</f>
        <v/>
      </c>
      <c r="L3804" s="7">
        <f>IF(COUNTA(A3804,B3804)=0,"",IF(OR(A3804="",B3804=""),"Preencher CPF e entrada",IF(COUNTIFS($A$12:$A$5011,A3804,$B$12:$B$5011,B3804)&gt;1,"CPF + dia duplicado",IF(OR(AND(E3804&lt;&gt;"",E3804&lt;B3804),AND(F3804&lt;&gt;"",F3804&lt;B3804)),"Evento anterior à entrada",IF(AND(F3804&lt;&gt;"",E3804=""),"Conversa sem agendamento",IF(OR(E3804&gt;TODAY(),F3804&gt;TODAY()),"Verificar evento futuro","OK"))))))</f>
        <v/>
      </c>
    </row>
    <row r="3805" spans="9:12">
      <c r="I3805" s="5">
        <f>IF(OR(A3805="",B3805=""),"",B3805-WEEKDAY(B3805,2)+1)</f>
        <v/>
      </c>
      <c r="J3805" s="5">
        <f>IF(I3805="","",I3805+6)</f>
        <v/>
      </c>
      <c r="K3805" s="6">
        <f>IF(OR(A3805="",B3805=""),"",DATE(YEAR(B3805),MONTH(B3805),1))</f>
        <v/>
      </c>
      <c r="L3805" s="7">
        <f>IF(COUNTA(A3805,B3805)=0,"",IF(OR(A3805="",B3805=""),"Preencher CPF e entrada",IF(COUNTIFS($A$12:$A$5011,A3805,$B$12:$B$5011,B3805)&gt;1,"CPF + dia duplicado",IF(OR(AND(E3805&lt;&gt;"",E3805&lt;B3805),AND(F3805&lt;&gt;"",F3805&lt;B3805)),"Evento anterior à entrada",IF(AND(F3805&lt;&gt;"",E3805=""),"Conversa sem agendamento",IF(OR(E3805&gt;TODAY(),F3805&gt;TODAY()),"Verificar evento futuro","OK"))))))</f>
        <v/>
      </c>
    </row>
    <row r="3806" spans="9:12">
      <c r="I3806" s="5">
        <f>IF(OR(A3806="",B3806=""),"",B3806-WEEKDAY(B3806,2)+1)</f>
        <v/>
      </c>
      <c r="J3806" s="5">
        <f>IF(I3806="","",I3806+6)</f>
        <v/>
      </c>
      <c r="K3806" s="6">
        <f>IF(OR(A3806="",B3806=""),"",DATE(YEAR(B3806),MONTH(B3806),1))</f>
        <v/>
      </c>
      <c r="L3806" s="7">
        <f>IF(COUNTA(A3806,B3806)=0,"",IF(OR(A3806="",B3806=""),"Preencher CPF e entrada",IF(COUNTIFS($A$12:$A$5011,A3806,$B$12:$B$5011,B3806)&gt;1,"CPF + dia duplicado",IF(OR(AND(E3806&lt;&gt;"",E3806&lt;B3806),AND(F3806&lt;&gt;"",F3806&lt;B3806)),"Evento anterior à entrada",IF(AND(F3806&lt;&gt;"",E3806=""),"Conversa sem agendamento",IF(OR(E3806&gt;TODAY(),F3806&gt;TODAY()),"Verificar evento futuro","OK"))))))</f>
        <v/>
      </c>
    </row>
    <row r="3807" spans="9:12">
      <c r="I3807" s="5">
        <f>IF(OR(A3807="",B3807=""),"",B3807-WEEKDAY(B3807,2)+1)</f>
        <v/>
      </c>
      <c r="J3807" s="5">
        <f>IF(I3807="","",I3807+6)</f>
        <v/>
      </c>
      <c r="K3807" s="6">
        <f>IF(OR(A3807="",B3807=""),"",DATE(YEAR(B3807),MONTH(B3807),1))</f>
        <v/>
      </c>
      <c r="L3807" s="7">
        <f>IF(COUNTA(A3807,B3807)=0,"",IF(OR(A3807="",B3807=""),"Preencher CPF e entrada",IF(COUNTIFS($A$12:$A$5011,A3807,$B$12:$B$5011,B3807)&gt;1,"CPF + dia duplicado",IF(OR(AND(E3807&lt;&gt;"",E3807&lt;B3807),AND(F3807&lt;&gt;"",F3807&lt;B3807)),"Evento anterior à entrada",IF(AND(F3807&lt;&gt;"",E3807=""),"Conversa sem agendamento",IF(OR(E3807&gt;TODAY(),F3807&gt;TODAY()),"Verificar evento futuro","OK"))))))</f>
        <v/>
      </c>
    </row>
    <row r="3808" spans="9:12">
      <c r="I3808" s="5">
        <f>IF(OR(A3808="",B3808=""),"",B3808-WEEKDAY(B3808,2)+1)</f>
        <v/>
      </c>
      <c r="J3808" s="5">
        <f>IF(I3808="","",I3808+6)</f>
        <v/>
      </c>
      <c r="K3808" s="6">
        <f>IF(OR(A3808="",B3808=""),"",DATE(YEAR(B3808),MONTH(B3808),1))</f>
        <v/>
      </c>
      <c r="L3808" s="7">
        <f>IF(COUNTA(A3808,B3808)=0,"",IF(OR(A3808="",B3808=""),"Preencher CPF e entrada",IF(COUNTIFS($A$12:$A$5011,A3808,$B$12:$B$5011,B3808)&gt;1,"CPF + dia duplicado",IF(OR(AND(E3808&lt;&gt;"",E3808&lt;B3808),AND(F3808&lt;&gt;"",F3808&lt;B3808)),"Evento anterior à entrada",IF(AND(F3808&lt;&gt;"",E3808=""),"Conversa sem agendamento",IF(OR(E3808&gt;TODAY(),F3808&gt;TODAY()),"Verificar evento futuro","OK"))))))</f>
        <v/>
      </c>
    </row>
    <row r="3809" spans="9:12">
      <c r="I3809" s="5">
        <f>IF(OR(A3809="",B3809=""),"",B3809-WEEKDAY(B3809,2)+1)</f>
        <v/>
      </c>
      <c r="J3809" s="5">
        <f>IF(I3809="","",I3809+6)</f>
        <v/>
      </c>
      <c r="K3809" s="6">
        <f>IF(OR(A3809="",B3809=""),"",DATE(YEAR(B3809),MONTH(B3809),1))</f>
        <v/>
      </c>
      <c r="L3809" s="7">
        <f>IF(COUNTA(A3809,B3809)=0,"",IF(OR(A3809="",B3809=""),"Preencher CPF e entrada",IF(COUNTIFS($A$12:$A$5011,A3809,$B$12:$B$5011,B3809)&gt;1,"CPF + dia duplicado",IF(OR(AND(E3809&lt;&gt;"",E3809&lt;B3809),AND(F3809&lt;&gt;"",F3809&lt;B3809)),"Evento anterior à entrada",IF(AND(F3809&lt;&gt;"",E3809=""),"Conversa sem agendamento",IF(OR(E3809&gt;TODAY(),F3809&gt;TODAY()),"Verificar evento futuro","OK"))))))</f>
        <v/>
      </c>
    </row>
    <row r="3810" spans="9:12">
      <c r="I3810" s="5">
        <f>IF(OR(A3810="",B3810=""),"",B3810-WEEKDAY(B3810,2)+1)</f>
        <v/>
      </c>
      <c r="J3810" s="5">
        <f>IF(I3810="","",I3810+6)</f>
        <v/>
      </c>
      <c r="K3810" s="6">
        <f>IF(OR(A3810="",B3810=""),"",DATE(YEAR(B3810),MONTH(B3810),1))</f>
        <v/>
      </c>
      <c r="L3810" s="7">
        <f>IF(COUNTA(A3810,B3810)=0,"",IF(OR(A3810="",B3810=""),"Preencher CPF e entrada",IF(COUNTIFS($A$12:$A$5011,A3810,$B$12:$B$5011,B3810)&gt;1,"CPF + dia duplicado",IF(OR(AND(E3810&lt;&gt;"",E3810&lt;B3810),AND(F3810&lt;&gt;"",F3810&lt;B3810)),"Evento anterior à entrada",IF(AND(F3810&lt;&gt;"",E3810=""),"Conversa sem agendamento",IF(OR(E3810&gt;TODAY(),F3810&gt;TODAY()),"Verificar evento futuro","OK"))))))</f>
        <v/>
      </c>
    </row>
    <row r="3811" spans="9:12">
      <c r="I3811" s="5">
        <f>IF(OR(A3811="",B3811=""),"",B3811-WEEKDAY(B3811,2)+1)</f>
        <v/>
      </c>
      <c r="J3811" s="5">
        <f>IF(I3811="","",I3811+6)</f>
        <v/>
      </c>
      <c r="K3811" s="6">
        <f>IF(OR(A3811="",B3811=""),"",DATE(YEAR(B3811),MONTH(B3811),1))</f>
        <v/>
      </c>
      <c r="L3811" s="7">
        <f>IF(COUNTA(A3811,B3811)=0,"",IF(OR(A3811="",B3811=""),"Preencher CPF e entrada",IF(COUNTIFS($A$12:$A$5011,A3811,$B$12:$B$5011,B3811)&gt;1,"CPF + dia duplicado",IF(OR(AND(E3811&lt;&gt;"",E3811&lt;B3811),AND(F3811&lt;&gt;"",F3811&lt;B3811)),"Evento anterior à entrada",IF(AND(F3811&lt;&gt;"",E3811=""),"Conversa sem agendamento",IF(OR(E3811&gt;TODAY(),F3811&gt;TODAY()),"Verificar evento futuro","OK"))))))</f>
        <v/>
      </c>
    </row>
    <row r="3812" spans="9:12">
      <c r="I3812" s="5">
        <f>IF(OR(A3812="",B3812=""),"",B3812-WEEKDAY(B3812,2)+1)</f>
        <v/>
      </c>
      <c r="J3812" s="5">
        <f>IF(I3812="","",I3812+6)</f>
        <v/>
      </c>
      <c r="K3812" s="6">
        <f>IF(OR(A3812="",B3812=""),"",DATE(YEAR(B3812),MONTH(B3812),1))</f>
        <v/>
      </c>
      <c r="L3812" s="7">
        <f>IF(COUNTA(A3812,B3812)=0,"",IF(OR(A3812="",B3812=""),"Preencher CPF e entrada",IF(COUNTIFS($A$12:$A$5011,A3812,$B$12:$B$5011,B3812)&gt;1,"CPF + dia duplicado",IF(OR(AND(E3812&lt;&gt;"",E3812&lt;B3812),AND(F3812&lt;&gt;"",F3812&lt;B3812)),"Evento anterior à entrada",IF(AND(F3812&lt;&gt;"",E3812=""),"Conversa sem agendamento",IF(OR(E3812&gt;TODAY(),F3812&gt;TODAY()),"Verificar evento futuro","OK"))))))</f>
        <v/>
      </c>
    </row>
    <row r="3813" spans="9:12">
      <c r="I3813" s="5">
        <f>IF(OR(A3813="",B3813=""),"",B3813-WEEKDAY(B3813,2)+1)</f>
        <v/>
      </c>
      <c r="J3813" s="5">
        <f>IF(I3813="","",I3813+6)</f>
        <v/>
      </c>
      <c r="K3813" s="6">
        <f>IF(OR(A3813="",B3813=""),"",DATE(YEAR(B3813),MONTH(B3813),1))</f>
        <v/>
      </c>
      <c r="L3813" s="7">
        <f>IF(COUNTA(A3813,B3813)=0,"",IF(OR(A3813="",B3813=""),"Preencher CPF e entrada",IF(COUNTIFS($A$12:$A$5011,A3813,$B$12:$B$5011,B3813)&gt;1,"CPF + dia duplicado",IF(OR(AND(E3813&lt;&gt;"",E3813&lt;B3813),AND(F3813&lt;&gt;"",F3813&lt;B3813)),"Evento anterior à entrada",IF(AND(F3813&lt;&gt;"",E3813=""),"Conversa sem agendamento",IF(OR(E3813&gt;TODAY(),F3813&gt;TODAY()),"Verificar evento futuro","OK"))))))</f>
        <v/>
      </c>
    </row>
    <row r="3814" spans="9:12">
      <c r="I3814" s="5">
        <f>IF(OR(A3814="",B3814=""),"",B3814-WEEKDAY(B3814,2)+1)</f>
        <v/>
      </c>
      <c r="J3814" s="5">
        <f>IF(I3814="","",I3814+6)</f>
        <v/>
      </c>
      <c r="K3814" s="6">
        <f>IF(OR(A3814="",B3814=""),"",DATE(YEAR(B3814),MONTH(B3814),1))</f>
        <v/>
      </c>
      <c r="L3814" s="7">
        <f>IF(COUNTA(A3814,B3814)=0,"",IF(OR(A3814="",B3814=""),"Preencher CPF e entrada",IF(COUNTIFS($A$12:$A$5011,A3814,$B$12:$B$5011,B3814)&gt;1,"CPF + dia duplicado",IF(OR(AND(E3814&lt;&gt;"",E3814&lt;B3814),AND(F3814&lt;&gt;"",F3814&lt;B3814)),"Evento anterior à entrada",IF(AND(F3814&lt;&gt;"",E3814=""),"Conversa sem agendamento",IF(OR(E3814&gt;TODAY(),F3814&gt;TODAY()),"Verificar evento futuro","OK"))))))</f>
        <v/>
      </c>
    </row>
    <row r="3815" spans="9:12">
      <c r="I3815" s="5">
        <f>IF(OR(A3815="",B3815=""),"",B3815-WEEKDAY(B3815,2)+1)</f>
        <v/>
      </c>
      <c r="J3815" s="5">
        <f>IF(I3815="","",I3815+6)</f>
        <v/>
      </c>
      <c r="K3815" s="6">
        <f>IF(OR(A3815="",B3815=""),"",DATE(YEAR(B3815),MONTH(B3815),1))</f>
        <v/>
      </c>
      <c r="L3815" s="7">
        <f>IF(COUNTA(A3815,B3815)=0,"",IF(OR(A3815="",B3815=""),"Preencher CPF e entrada",IF(COUNTIFS($A$12:$A$5011,A3815,$B$12:$B$5011,B3815)&gt;1,"CPF + dia duplicado",IF(OR(AND(E3815&lt;&gt;"",E3815&lt;B3815),AND(F3815&lt;&gt;"",F3815&lt;B3815)),"Evento anterior à entrada",IF(AND(F3815&lt;&gt;"",E3815=""),"Conversa sem agendamento",IF(OR(E3815&gt;TODAY(),F3815&gt;TODAY()),"Verificar evento futuro","OK"))))))</f>
        <v/>
      </c>
    </row>
    <row r="3816" spans="9:12">
      <c r="I3816" s="5">
        <f>IF(OR(A3816="",B3816=""),"",B3816-WEEKDAY(B3816,2)+1)</f>
        <v/>
      </c>
      <c r="J3816" s="5">
        <f>IF(I3816="","",I3816+6)</f>
        <v/>
      </c>
      <c r="K3816" s="6">
        <f>IF(OR(A3816="",B3816=""),"",DATE(YEAR(B3816),MONTH(B3816),1))</f>
        <v/>
      </c>
      <c r="L3816" s="7">
        <f>IF(COUNTA(A3816,B3816)=0,"",IF(OR(A3816="",B3816=""),"Preencher CPF e entrada",IF(COUNTIFS($A$12:$A$5011,A3816,$B$12:$B$5011,B3816)&gt;1,"CPF + dia duplicado",IF(OR(AND(E3816&lt;&gt;"",E3816&lt;B3816),AND(F3816&lt;&gt;"",F3816&lt;B3816)),"Evento anterior à entrada",IF(AND(F3816&lt;&gt;"",E3816=""),"Conversa sem agendamento",IF(OR(E3816&gt;TODAY(),F3816&gt;TODAY()),"Verificar evento futuro","OK"))))))</f>
        <v/>
      </c>
    </row>
    <row r="3817" spans="9:12">
      <c r="I3817" s="5">
        <f>IF(OR(A3817="",B3817=""),"",B3817-WEEKDAY(B3817,2)+1)</f>
        <v/>
      </c>
      <c r="J3817" s="5">
        <f>IF(I3817="","",I3817+6)</f>
        <v/>
      </c>
      <c r="K3817" s="6">
        <f>IF(OR(A3817="",B3817=""),"",DATE(YEAR(B3817),MONTH(B3817),1))</f>
        <v/>
      </c>
      <c r="L3817" s="7">
        <f>IF(COUNTA(A3817,B3817)=0,"",IF(OR(A3817="",B3817=""),"Preencher CPF e entrada",IF(COUNTIFS($A$12:$A$5011,A3817,$B$12:$B$5011,B3817)&gt;1,"CPF + dia duplicado",IF(OR(AND(E3817&lt;&gt;"",E3817&lt;B3817),AND(F3817&lt;&gt;"",F3817&lt;B3817)),"Evento anterior à entrada",IF(AND(F3817&lt;&gt;"",E3817=""),"Conversa sem agendamento",IF(OR(E3817&gt;TODAY(),F3817&gt;TODAY()),"Verificar evento futuro","OK"))))))</f>
        <v/>
      </c>
    </row>
    <row r="3818" spans="9:12">
      <c r="I3818" s="5">
        <f>IF(OR(A3818="",B3818=""),"",B3818-WEEKDAY(B3818,2)+1)</f>
        <v/>
      </c>
      <c r="J3818" s="5">
        <f>IF(I3818="","",I3818+6)</f>
        <v/>
      </c>
      <c r="K3818" s="6">
        <f>IF(OR(A3818="",B3818=""),"",DATE(YEAR(B3818),MONTH(B3818),1))</f>
        <v/>
      </c>
      <c r="L3818" s="7">
        <f>IF(COUNTA(A3818,B3818)=0,"",IF(OR(A3818="",B3818=""),"Preencher CPF e entrada",IF(COUNTIFS($A$12:$A$5011,A3818,$B$12:$B$5011,B3818)&gt;1,"CPF + dia duplicado",IF(OR(AND(E3818&lt;&gt;"",E3818&lt;B3818),AND(F3818&lt;&gt;"",F3818&lt;B3818)),"Evento anterior à entrada",IF(AND(F3818&lt;&gt;"",E3818=""),"Conversa sem agendamento",IF(OR(E3818&gt;TODAY(),F3818&gt;TODAY()),"Verificar evento futuro","OK"))))))</f>
        <v/>
      </c>
    </row>
    <row r="3819" spans="9:12">
      <c r="I3819" s="5">
        <f>IF(OR(A3819="",B3819=""),"",B3819-WEEKDAY(B3819,2)+1)</f>
        <v/>
      </c>
      <c r="J3819" s="5">
        <f>IF(I3819="","",I3819+6)</f>
        <v/>
      </c>
      <c r="K3819" s="6">
        <f>IF(OR(A3819="",B3819=""),"",DATE(YEAR(B3819),MONTH(B3819),1))</f>
        <v/>
      </c>
      <c r="L3819" s="7">
        <f>IF(COUNTA(A3819,B3819)=0,"",IF(OR(A3819="",B3819=""),"Preencher CPF e entrada",IF(COUNTIFS($A$12:$A$5011,A3819,$B$12:$B$5011,B3819)&gt;1,"CPF + dia duplicado",IF(OR(AND(E3819&lt;&gt;"",E3819&lt;B3819),AND(F3819&lt;&gt;"",F3819&lt;B3819)),"Evento anterior à entrada",IF(AND(F3819&lt;&gt;"",E3819=""),"Conversa sem agendamento",IF(OR(E3819&gt;TODAY(),F3819&gt;TODAY()),"Verificar evento futuro","OK"))))))</f>
        <v/>
      </c>
    </row>
    <row r="3820" spans="9:12">
      <c r="I3820" s="5">
        <f>IF(OR(A3820="",B3820=""),"",B3820-WEEKDAY(B3820,2)+1)</f>
        <v/>
      </c>
      <c r="J3820" s="5">
        <f>IF(I3820="","",I3820+6)</f>
        <v/>
      </c>
      <c r="K3820" s="6">
        <f>IF(OR(A3820="",B3820=""),"",DATE(YEAR(B3820),MONTH(B3820),1))</f>
        <v/>
      </c>
      <c r="L3820" s="7">
        <f>IF(COUNTA(A3820,B3820)=0,"",IF(OR(A3820="",B3820=""),"Preencher CPF e entrada",IF(COUNTIFS($A$12:$A$5011,A3820,$B$12:$B$5011,B3820)&gt;1,"CPF + dia duplicado",IF(OR(AND(E3820&lt;&gt;"",E3820&lt;B3820),AND(F3820&lt;&gt;"",F3820&lt;B3820)),"Evento anterior à entrada",IF(AND(F3820&lt;&gt;"",E3820=""),"Conversa sem agendamento",IF(OR(E3820&gt;TODAY(),F3820&gt;TODAY()),"Verificar evento futuro","OK"))))))</f>
        <v/>
      </c>
    </row>
    <row r="3821" spans="9:12">
      <c r="I3821" s="5">
        <f>IF(OR(A3821="",B3821=""),"",B3821-WEEKDAY(B3821,2)+1)</f>
        <v/>
      </c>
      <c r="J3821" s="5">
        <f>IF(I3821="","",I3821+6)</f>
        <v/>
      </c>
      <c r="K3821" s="6">
        <f>IF(OR(A3821="",B3821=""),"",DATE(YEAR(B3821),MONTH(B3821),1))</f>
        <v/>
      </c>
      <c r="L3821" s="7">
        <f>IF(COUNTA(A3821,B3821)=0,"",IF(OR(A3821="",B3821=""),"Preencher CPF e entrada",IF(COUNTIFS($A$12:$A$5011,A3821,$B$12:$B$5011,B3821)&gt;1,"CPF + dia duplicado",IF(OR(AND(E3821&lt;&gt;"",E3821&lt;B3821),AND(F3821&lt;&gt;"",F3821&lt;B3821)),"Evento anterior à entrada",IF(AND(F3821&lt;&gt;"",E3821=""),"Conversa sem agendamento",IF(OR(E3821&gt;TODAY(),F3821&gt;TODAY()),"Verificar evento futuro","OK"))))))</f>
        <v/>
      </c>
    </row>
    <row r="3822" spans="9:12">
      <c r="I3822" s="5">
        <f>IF(OR(A3822="",B3822=""),"",B3822-WEEKDAY(B3822,2)+1)</f>
        <v/>
      </c>
      <c r="J3822" s="5">
        <f>IF(I3822="","",I3822+6)</f>
        <v/>
      </c>
      <c r="K3822" s="6">
        <f>IF(OR(A3822="",B3822=""),"",DATE(YEAR(B3822),MONTH(B3822),1))</f>
        <v/>
      </c>
      <c r="L3822" s="7">
        <f>IF(COUNTA(A3822,B3822)=0,"",IF(OR(A3822="",B3822=""),"Preencher CPF e entrada",IF(COUNTIFS($A$12:$A$5011,A3822,$B$12:$B$5011,B3822)&gt;1,"CPF + dia duplicado",IF(OR(AND(E3822&lt;&gt;"",E3822&lt;B3822),AND(F3822&lt;&gt;"",F3822&lt;B3822)),"Evento anterior à entrada",IF(AND(F3822&lt;&gt;"",E3822=""),"Conversa sem agendamento",IF(OR(E3822&gt;TODAY(),F3822&gt;TODAY()),"Verificar evento futuro","OK"))))))</f>
        <v/>
      </c>
    </row>
    <row r="3823" spans="9:12">
      <c r="I3823" s="5">
        <f>IF(OR(A3823="",B3823=""),"",B3823-WEEKDAY(B3823,2)+1)</f>
        <v/>
      </c>
      <c r="J3823" s="5">
        <f>IF(I3823="","",I3823+6)</f>
        <v/>
      </c>
      <c r="K3823" s="6">
        <f>IF(OR(A3823="",B3823=""),"",DATE(YEAR(B3823),MONTH(B3823),1))</f>
        <v/>
      </c>
      <c r="L3823" s="7">
        <f>IF(COUNTA(A3823,B3823)=0,"",IF(OR(A3823="",B3823=""),"Preencher CPF e entrada",IF(COUNTIFS($A$12:$A$5011,A3823,$B$12:$B$5011,B3823)&gt;1,"CPF + dia duplicado",IF(OR(AND(E3823&lt;&gt;"",E3823&lt;B3823),AND(F3823&lt;&gt;"",F3823&lt;B3823)),"Evento anterior à entrada",IF(AND(F3823&lt;&gt;"",E3823=""),"Conversa sem agendamento",IF(OR(E3823&gt;TODAY(),F3823&gt;TODAY()),"Verificar evento futuro","OK"))))))</f>
        <v/>
      </c>
    </row>
    <row r="3824" spans="9:12">
      <c r="I3824" s="5">
        <f>IF(OR(A3824="",B3824=""),"",B3824-WEEKDAY(B3824,2)+1)</f>
        <v/>
      </c>
      <c r="J3824" s="5">
        <f>IF(I3824="","",I3824+6)</f>
        <v/>
      </c>
      <c r="K3824" s="6">
        <f>IF(OR(A3824="",B3824=""),"",DATE(YEAR(B3824),MONTH(B3824),1))</f>
        <v/>
      </c>
      <c r="L3824" s="7">
        <f>IF(COUNTA(A3824,B3824)=0,"",IF(OR(A3824="",B3824=""),"Preencher CPF e entrada",IF(COUNTIFS($A$12:$A$5011,A3824,$B$12:$B$5011,B3824)&gt;1,"CPF + dia duplicado",IF(OR(AND(E3824&lt;&gt;"",E3824&lt;B3824),AND(F3824&lt;&gt;"",F3824&lt;B3824)),"Evento anterior à entrada",IF(AND(F3824&lt;&gt;"",E3824=""),"Conversa sem agendamento",IF(OR(E3824&gt;TODAY(),F3824&gt;TODAY()),"Verificar evento futuro","OK"))))))</f>
        <v/>
      </c>
    </row>
    <row r="3825" spans="9:12">
      <c r="I3825" s="5">
        <f>IF(OR(A3825="",B3825=""),"",B3825-WEEKDAY(B3825,2)+1)</f>
        <v/>
      </c>
      <c r="J3825" s="5">
        <f>IF(I3825="","",I3825+6)</f>
        <v/>
      </c>
      <c r="K3825" s="6">
        <f>IF(OR(A3825="",B3825=""),"",DATE(YEAR(B3825),MONTH(B3825),1))</f>
        <v/>
      </c>
      <c r="L3825" s="7">
        <f>IF(COUNTA(A3825,B3825)=0,"",IF(OR(A3825="",B3825=""),"Preencher CPF e entrada",IF(COUNTIFS($A$12:$A$5011,A3825,$B$12:$B$5011,B3825)&gt;1,"CPF + dia duplicado",IF(OR(AND(E3825&lt;&gt;"",E3825&lt;B3825),AND(F3825&lt;&gt;"",F3825&lt;B3825)),"Evento anterior à entrada",IF(AND(F3825&lt;&gt;"",E3825=""),"Conversa sem agendamento",IF(OR(E3825&gt;TODAY(),F3825&gt;TODAY()),"Verificar evento futuro","OK"))))))</f>
        <v/>
      </c>
    </row>
    <row r="3826" spans="9:12">
      <c r="I3826" s="5">
        <f>IF(OR(A3826="",B3826=""),"",B3826-WEEKDAY(B3826,2)+1)</f>
        <v/>
      </c>
      <c r="J3826" s="5">
        <f>IF(I3826="","",I3826+6)</f>
        <v/>
      </c>
      <c r="K3826" s="6">
        <f>IF(OR(A3826="",B3826=""),"",DATE(YEAR(B3826),MONTH(B3826),1))</f>
        <v/>
      </c>
      <c r="L3826" s="7">
        <f>IF(COUNTA(A3826,B3826)=0,"",IF(OR(A3826="",B3826=""),"Preencher CPF e entrada",IF(COUNTIFS($A$12:$A$5011,A3826,$B$12:$B$5011,B3826)&gt;1,"CPF + dia duplicado",IF(OR(AND(E3826&lt;&gt;"",E3826&lt;B3826),AND(F3826&lt;&gt;"",F3826&lt;B3826)),"Evento anterior à entrada",IF(AND(F3826&lt;&gt;"",E3826=""),"Conversa sem agendamento",IF(OR(E3826&gt;TODAY(),F3826&gt;TODAY()),"Verificar evento futuro","OK"))))))</f>
        <v/>
      </c>
    </row>
    <row r="3827" spans="9:12">
      <c r="I3827" s="5">
        <f>IF(OR(A3827="",B3827=""),"",B3827-WEEKDAY(B3827,2)+1)</f>
        <v/>
      </c>
      <c r="J3827" s="5">
        <f>IF(I3827="","",I3827+6)</f>
        <v/>
      </c>
      <c r="K3827" s="6">
        <f>IF(OR(A3827="",B3827=""),"",DATE(YEAR(B3827),MONTH(B3827),1))</f>
        <v/>
      </c>
      <c r="L3827" s="7">
        <f>IF(COUNTA(A3827,B3827)=0,"",IF(OR(A3827="",B3827=""),"Preencher CPF e entrada",IF(COUNTIFS($A$12:$A$5011,A3827,$B$12:$B$5011,B3827)&gt;1,"CPF + dia duplicado",IF(OR(AND(E3827&lt;&gt;"",E3827&lt;B3827),AND(F3827&lt;&gt;"",F3827&lt;B3827)),"Evento anterior à entrada",IF(AND(F3827&lt;&gt;"",E3827=""),"Conversa sem agendamento",IF(OR(E3827&gt;TODAY(),F3827&gt;TODAY()),"Verificar evento futuro","OK"))))))</f>
        <v/>
      </c>
    </row>
    <row r="3828" spans="9:12">
      <c r="I3828" s="5">
        <f>IF(OR(A3828="",B3828=""),"",B3828-WEEKDAY(B3828,2)+1)</f>
        <v/>
      </c>
      <c r="J3828" s="5">
        <f>IF(I3828="","",I3828+6)</f>
        <v/>
      </c>
      <c r="K3828" s="6">
        <f>IF(OR(A3828="",B3828=""),"",DATE(YEAR(B3828),MONTH(B3828),1))</f>
        <v/>
      </c>
      <c r="L3828" s="7">
        <f>IF(COUNTA(A3828,B3828)=0,"",IF(OR(A3828="",B3828=""),"Preencher CPF e entrada",IF(COUNTIFS($A$12:$A$5011,A3828,$B$12:$B$5011,B3828)&gt;1,"CPF + dia duplicado",IF(OR(AND(E3828&lt;&gt;"",E3828&lt;B3828),AND(F3828&lt;&gt;"",F3828&lt;B3828)),"Evento anterior à entrada",IF(AND(F3828&lt;&gt;"",E3828=""),"Conversa sem agendamento",IF(OR(E3828&gt;TODAY(),F3828&gt;TODAY()),"Verificar evento futuro","OK"))))))</f>
        <v/>
      </c>
    </row>
    <row r="3829" spans="9:12">
      <c r="I3829" s="5">
        <f>IF(OR(A3829="",B3829=""),"",B3829-WEEKDAY(B3829,2)+1)</f>
        <v/>
      </c>
      <c r="J3829" s="5">
        <f>IF(I3829="","",I3829+6)</f>
        <v/>
      </c>
      <c r="K3829" s="6">
        <f>IF(OR(A3829="",B3829=""),"",DATE(YEAR(B3829),MONTH(B3829),1))</f>
        <v/>
      </c>
      <c r="L3829" s="7">
        <f>IF(COUNTA(A3829,B3829)=0,"",IF(OR(A3829="",B3829=""),"Preencher CPF e entrada",IF(COUNTIFS($A$12:$A$5011,A3829,$B$12:$B$5011,B3829)&gt;1,"CPF + dia duplicado",IF(OR(AND(E3829&lt;&gt;"",E3829&lt;B3829),AND(F3829&lt;&gt;"",F3829&lt;B3829)),"Evento anterior à entrada",IF(AND(F3829&lt;&gt;"",E3829=""),"Conversa sem agendamento",IF(OR(E3829&gt;TODAY(),F3829&gt;TODAY()),"Verificar evento futuro","OK"))))))</f>
        <v/>
      </c>
    </row>
    <row r="3830" spans="9:12">
      <c r="I3830" s="5">
        <f>IF(OR(A3830="",B3830=""),"",B3830-WEEKDAY(B3830,2)+1)</f>
        <v/>
      </c>
      <c r="J3830" s="5">
        <f>IF(I3830="","",I3830+6)</f>
        <v/>
      </c>
      <c r="K3830" s="6">
        <f>IF(OR(A3830="",B3830=""),"",DATE(YEAR(B3830),MONTH(B3830),1))</f>
        <v/>
      </c>
      <c r="L3830" s="7">
        <f>IF(COUNTA(A3830,B3830)=0,"",IF(OR(A3830="",B3830=""),"Preencher CPF e entrada",IF(COUNTIFS($A$12:$A$5011,A3830,$B$12:$B$5011,B3830)&gt;1,"CPF + dia duplicado",IF(OR(AND(E3830&lt;&gt;"",E3830&lt;B3830),AND(F3830&lt;&gt;"",F3830&lt;B3830)),"Evento anterior à entrada",IF(AND(F3830&lt;&gt;"",E3830=""),"Conversa sem agendamento",IF(OR(E3830&gt;TODAY(),F3830&gt;TODAY()),"Verificar evento futuro","OK"))))))</f>
        <v/>
      </c>
    </row>
    <row r="3831" spans="9:12">
      <c r="I3831" s="5">
        <f>IF(OR(A3831="",B3831=""),"",B3831-WEEKDAY(B3831,2)+1)</f>
        <v/>
      </c>
      <c r="J3831" s="5">
        <f>IF(I3831="","",I3831+6)</f>
        <v/>
      </c>
      <c r="K3831" s="6">
        <f>IF(OR(A3831="",B3831=""),"",DATE(YEAR(B3831),MONTH(B3831),1))</f>
        <v/>
      </c>
      <c r="L3831" s="7">
        <f>IF(COUNTA(A3831,B3831)=0,"",IF(OR(A3831="",B3831=""),"Preencher CPF e entrada",IF(COUNTIFS($A$12:$A$5011,A3831,$B$12:$B$5011,B3831)&gt;1,"CPF + dia duplicado",IF(OR(AND(E3831&lt;&gt;"",E3831&lt;B3831),AND(F3831&lt;&gt;"",F3831&lt;B3831)),"Evento anterior à entrada",IF(AND(F3831&lt;&gt;"",E3831=""),"Conversa sem agendamento",IF(OR(E3831&gt;TODAY(),F3831&gt;TODAY()),"Verificar evento futuro","OK"))))))</f>
        <v/>
      </c>
    </row>
    <row r="3832" spans="9:12">
      <c r="I3832" s="5">
        <f>IF(OR(A3832="",B3832=""),"",B3832-WEEKDAY(B3832,2)+1)</f>
        <v/>
      </c>
      <c r="J3832" s="5">
        <f>IF(I3832="","",I3832+6)</f>
        <v/>
      </c>
      <c r="K3832" s="6">
        <f>IF(OR(A3832="",B3832=""),"",DATE(YEAR(B3832),MONTH(B3832),1))</f>
        <v/>
      </c>
      <c r="L3832" s="7">
        <f>IF(COUNTA(A3832,B3832)=0,"",IF(OR(A3832="",B3832=""),"Preencher CPF e entrada",IF(COUNTIFS($A$12:$A$5011,A3832,$B$12:$B$5011,B3832)&gt;1,"CPF + dia duplicado",IF(OR(AND(E3832&lt;&gt;"",E3832&lt;B3832),AND(F3832&lt;&gt;"",F3832&lt;B3832)),"Evento anterior à entrada",IF(AND(F3832&lt;&gt;"",E3832=""),"Conversa sem agendamento",IF(OR(E3832&gt;TODAY(),F3832&gt;TODAY()),"Verificar evento futuro","OK"))))))</f>
        <v/>
      </c>
    </row>
    <row r="3833" spans="9:12">
      <c r="I3833" s="5">
        <f>IF(OR(A3833="",B3833=""),"",B3833-WEEKDAY(B3833,2)+1)</f>
        <v/>
      </c>
      <c r="J3833" s="5">
        <f>IF(I3833="","",I3833+6)</f>
        <v/>
      </c>
      <c r="K3833" s="6">
        <f>IF(OR(A3833="",B3833=""),"",DATE(YEAR(B3833),MONTH(B3833),1))</f>
        <v/>
      </c>
      <c r="L3833" s="7">
        <f>IF(COUNTA(A3833,B3833)=0,"",IF(OR(A3833="",B3833=""),"Preencher CPF e entrada",IF(COUNTIFS($A$12:$A$5011,A3833,$B$12:$B$5011,B3833)&gt;1,"CPF + dia duplicado",IF(OR(AND(E3833&lt;&gt;"",E3833&lt;B3833),AND(F3833&lt;&gt;"",F3833&lt;B3833)),"Evento anterior à entrada",IF(AND(F3833&lt;&gt;"",E3833=""),"Conversa sem agendamento",IF(OR(E3833&gt;TODAY(),F3833&gt;TODAY()),"Verificar evento futuro","OK"))))))</f>
        <v/>
      </c>
    </row>
    <row r="3834" spans="9:12">
      <c r="I3834" s="5">
        <f>IF(OR(A3834="",B3834=""),"",B3834-WEEKDAY(B3834,2)+1)</f>
        <v/>
      </c>
      <c r="J3834" s="5">
        <f>IF(I3834="","",I3834+6)</f>
        <v/>
      </c>
      <c r="K3834" s="6">
        <f>IF(OR(A3834="",B3834=""),"",DATE(YEAR(B3834),MONTH(B3834),1))</f>
        <v/>
      </c>
      <c r="L3834" s="7">
        <f>IF(COUNTA(A3834,B3834)=0,"",IF(OR(A3834="",B3834=""),"Preencher CPF e entrada",IF(COUNTIFS($A$12:$A$5011,A3834,$B$12:$B$5011,B3834)&gt;1,"CPF + dia duplicado",IF(OR(AND(E3834&lt;&gt;"",E3834&lt;B3834),AND(F3834&lt;&gt;"",F3834&lt;B3834)),"Evento anterior à entrada",IF(AND(F3834&lt;&gt;"",E3834=""),"Conversa sem agendamento",IF(OR(E3834&gt;TODAY(),F3834&gt;TODAY()),"Verificar evento futuro","OK"))))))</f>
        <v/>
      </c>
    </row>
    <row r="3835" spans="9:12">
      <c r="I3835" s="5">
        <f>IF(OR(A3835="",B3835=""),"",B3835-WEEKDAY(B3835,2)+1)</f>
        <v/>
      </c>
      <c r="J3835" s="5">
        <f>IF(I3835="","",I3835+6)</f>
        <v/>
      </c>
      <c r="K3835" s="6">
        <f>IF(OR(A3835="",B3835=""),"",DATE(YEAR(B3835),MONTH(B3835),1))</f>
        <v/>
      </c>
      <c r="L3835" s="7">
        <f>IF(COUNTA(A3835,B3835)=0,"",IF(OR(A3835="",B3835=""),"Preencher CPF e entrada",IF(COUNTIFS($A$12:$A$5011,A3835,$B$12:$B$5011,B3835)&gt;1,"CPF + dia duplicado",IF(OR(AND(E3835&lt;&gt;"",E3835&lt;B3835),AND(F3835&lt;&gt;"",F3835&lt;B3835)),"Evento anterior à entrada",IF(AND(F3835&lt;&gt;"",E3835=""),"Conversa sem agendamento",IF(OR(E3835&gt;TODAY(),F3835&gt;TODAY()),"Verificar evento futuro","OK"))))))</f>
        <v/>
      </c>
    </row>
    <row r="3836" spans="9:12">
      <c r="I3836" s="5">
        <f>IF(OR(A3836="",B3836=""),"",B3836-WEEKDAY(B3836,2)+1)</f>
        <v/>
      </c>
      <c r="J3836" s="5">
        <f>IF(I3836="","",I3836+6)</f>
        <v/>
      </c>
      <c r="K3836" s="6">
        <f>IF(OR(A3836="",B3836=""),"",DATE(YEAR(B3836),MONTH(B3836),1))</f>
        <v/>
      </c>
      <c r="L3836" s="7">
        <f>IF(COUNTA(A3836,B3836)=0,"",IF(OR(A3836="",B3836=""),"Preencher CPF e entrada",IF(COUNTIFS($A$12:$A$5011,A3836,$B$12:$B$5011,B3836)&gt;1,"CPF + dia duplicado",IF(OR(AND(E3836&lt;&gt;"",E3836&lt;B3836),AND(F3836&lt;&gt;"",F3836&lt;B3836)),"Evento anterior à entrada",IF(AND(F3836&lt;&gt;"",E3836=""),"Conversa sem agendamento",IF(OR(E3836&gt;TODAY(),F3836&gt;TODAY()),"Verificar evento futuro","OK"))))))</f>
        <v/>
      </c>
    </row>
    <row r="3837" spans="9:12">
      <c r="I3837" s="5">
        <f>IF(OR(A3837="",B3837=""),"",B3837-WEEKDAY(B3837,2)+1)</f>
        <v/>
      </c>
      <c r="J3837" s="5">
        <f>IF(I3837="","",I3837+6)</f>
        <v/>
      </c>
      <c r="K3837" s="6">
        <f>IF(OR(A3837="",B3837=""),"",DATE(YEAR(B3837),MONTH(B3837),1))</f>
        <v/>
      </c>
      <c r="L3837" s="7">
        <f>IF(COUNTA(A3837,B3837)=0,"",IF(OR(A3837="",B3837=""),"Preencher CPF e entrada",IF(COUNTIFS($A$12:$A$5011,A3837,$B$12:$B$5011,B3837)&gt;1,"CPF + dia duplicado",IF(OR(AND(E3837&lt;&gt;"",E3837&lt;B3837),AND(F3837&lt;&gt;"",F3837&lt;B3837)),"Evento anterior à entrada",IF(AND(F3837&lt;&gt;"",E3837=""),"Conversa sem agendamento",IF(OR(E3837&gt;TODAY(),F3837&gt;TODAY()),"Verificar evento futuro","OK"))))))</f>
        <v/>
      </c>
    </row>
    <row r="3838" spans="9:12">
      <c r="I3838" s="5">
        <f>IF(OR(A3838="",B3838=""),"",B3838-WEEKDAY(B3838,2)+1)</f>
        <v/>
      </c>
      <c r="J3838" s="5">
        <f>IF(I3838="","",I3838+6)</f>
        <v/>
      </c>
      <c r="K3838" s="6">
        <f>IF(OR(A3838="",B3838=""),"",DATE(YEAR(B3838),MONTH(B3838),1))</f>
        <v/>
      </c>
      <c r="L3838" s="7">
        <f>IF(COUNTA(A3838,B3838)=0,"",IF(OR(A3838="",B3838=""),"Preencher CPF e entrada",IF(COUNTIFS($A$12:$A$5011,A3838,$B$12:$B$5011,B3838)&gt;1,"CPF + dia duplicado",IF(OR(AND(E3838&lt;&gt;"",E3838&lt;B3838),AND(F3838&lt;&gt;"",F3838&lt;B3838)),"Evento anterior à entrada",IF(AND(F3838&lt;&gt;"",E3838=""),"Conversa sem agendamento",IF(OR(E3838&gt;TODAY(),F3838&gt;TODAY()),"Verificar evento futuro","OK"))))))</f>
        <v/>
      </c>
    </row>
    <row r="3839" spans="9:12">
      <c r="I3839" s="5">
        <f>IF(OR(A3839="",B3839=""),"",B3839-WEEKDAY(B3839,2)+1)</f>
        <v/>
      </c>
      <c r="J3839" s="5">
        <f>IF(I3839="","",I3839+6)</f>
        <v/>
      </c>
      <c r="K3839" s="6">
        <f>IF(OR(A3839="",B3839=""),"",DATE(YEAR(B3839),MONTH(B3839),1))</f>
        <v/>
      </c>
      <c r="L3839" s="7">
        <f>IF(COUNTA(A3839,B3839)=0,"",IF(OR(A3839="",B3839=""),"Preencher CPF e entrada",IF(COUNTIFS($A$12:$A$5011,A3839,$B$12:$B$5011,B3839)&gt;1,"CPF + dia duplicado",IF(OR(AND(E3839&lt;&gt;"",E3839&lt;B3839),AND(F3839&lt;&gt;"",F3839&lt;B3839)),"Evento anterior à entrada",IF(AND(F3839&lt;&gt;"",E3839=""),"Conversa sem agendamento",IF(OR(E3839&gt;TODAY(),F3839&gt;TODAY()),"Verificar evento futuro","OK"))))))</f>
        <v/>
      </c>
    </row>
    <row r="3840" spans="9:12">
      <c r="I3840" s="5">
        <f>IF(OR(A3840="",B3840=""),"",B3840-WEEKDAY(B3840,2)+1)</f>
        <v/>
      </c>
      <c r="J3840" s="5">
        <f>IF(I3840="","",I3840+6)</f>
        <v/>
      </c>
      <c r="K3840" s="6">
        <f>IF(OR(A3840="",B3840=""),"",DATE(YEAR(B3840),MONTH(B3840),1))</f>
        <v/>
      </c>
      <c r="L3840" s="7">
        <f>IF(COUNTA(A3840,B3840)=0,"",IF(OR(A3840="",B3840=""),"Preencher CPF e entrada",IF(COUNTIFS($A$12:$A$5011,A3840,$B$12:$B$5011,B3840)&gt;1,"CPF + dia duplicado",IF(OR(AND(E3840&lt;&gt;"",E3840&lt;B3840),AND(F3840&lt;&gt;"",F3840&lt;B3840)),"Evento anterior à entrada",IF(AND(F3840&lt;&gt;"",E3840=""),"Conversa sem agendamento",IF(OR(E3840&gt;TODAY(),F3840&gt;TODAY()),"Verificar evento futuro","OK"))))))</f>
        <v/>
      </c>
    </row>
    <row r="3841" spans="9:12">
      <c r="I3841" s="5">
        <f>IF(OR(A3841="",B3841=""),"",B3841-WEEKDAY(B3841,2)+1)</f>
        <v/>
      </c>
      <c r="J3841" s="5">
        <f>IF(I3841="","",I3841+6)</f>
        <v/>
      </c>
      <c r="K3841" s="6">
        <f>IF(OR(A3841="",B3841=""),"",DATE(YEAR(B3841),MONTH(B3841),1))</f>
        <v/>
      </c>
      <c r="L3841" s="7">
        <f>IF(COUNTA(A3841,B3841)=0,"",IF(OR(A3841="",B3841=""),"Preencher CPF e entrada",IF(COUNTIFS($A$12:$A$5011,A3841,$B$12:$B$5011,B3841)&gt;1,"CPF + dia duplicado",IF(OR(AND(E3841&lt;&gt;"",E3841&lt;B3841),AND(F3841&lt;&gt;"",F3841&lt;B3841)),"Evento anterior à entrada",IF(AND(F3841&lt;&gt;"",E3841=""),"Conversa sem agendamento",IF(OR(E3841&gt;TODAY(),F3841&gt;TODAY()),"Verificar evento futuro","OK"))))))</f>
        <v/>
      </c>
    </row>
    <row r="3842" spans="9:12">
      <c r="I3842" s="5">
        <f>IF(OR(A3842="",B3842=""),"",B3842-WEEKDAY(B3842,2)+1)</f>
        <v/>
      </c>
      <c r="J3842" s="5">
        <f>IF(I3842="","",I3842+6)</f>
        <v/>
      </c>
      <c r="K3842" s="6">
        <f>IF(OR(A3842="",B3842=""),"",DATE(YEAR(B3842),MONTH(B3842),1))</f>
        <v/>
      </c>
      <c r="L3842" s="7">
        <f>IF(COUNTA(A3842,B3842)=0,"",IF(OR(A3842="",B3842=""),"Preencher CPF e entrada",IF(COUNTIFS($A$12:$A$5011,A3842,$B$12:$B$5011,B3842)&gt;1,"CPF + dia duplicado",IF(OR(AND(E3842&lt;&gt;"",E3842&lt;B3842),AND(F3842&lt;&gt;"",F3842&lt;B3842)),"Evento anterior à entrada",IF(AND(F3842&lt;&gt;"",E3842=""),"Conversa sem agendamento",IF(OR(E3842&gt;TODAY(),F3842&gt;TODAY()),"Verificar evento futuro","OK"))))))</f>
        <v/>
      </c>
    </row>
    <row r="3843" spans="9:12">
      <c r="I3843" s="5">
        <f>IF(OR(A3843="",B3843=""),"",B3843-WEEKDAY(B3843,2)+1)</f>
        <v/>
      </c>
      <c r="J3843" s="5">
        <f>IF(I3843="","",I3843+6)</f>
        <v/>
      </c>
      <c r="K3843" s="6">
        <f>IF(OR(A3843="",B3843=""),"",DATE(YEAR(B3843),MONTH(B3843),1))</f>
        <v/>
      </c>
      <c r="L3843" s="7">
        <f>IF(COUNTA(A3843,B3843)=0,"",IF(OR(A3843="",B3843=""),"Preencher CPF e entrada",IF(COUNTIFS($A$12:$A$5011,A3843,$B$12:$B$5011,B3843)&gt;1,"CPF + dia duplicado",IF(OR(AND(E3843&lt;&gt;"",E3843&lt;B3843),AND(F3843&lt;&gt;"",F3843&lt;B3843)),"Evento anterior à entrada",IF(AND(F3843&lt;&gt;"",E3843=""),"Conversa sem agendamento",IF(OR(E3843&gt;TODAY(),F3843&gt;TODAY()),"Verificar evento futuro","OK"))))))</f>
        <v/>
      </c>
    </row>
    <row r="3844" spans="9:12">
      <c r="I3844" s="5">
        <f>IF(OR(A3844="",B3844=""),"",B3844-WEEKDAY(B3844,2)+1)</f>
        <v/>
      </c>
      <c r="J3844" s="5">
        <f>IF(I3844="","",I3844+6)</f>
        <v/>
      </c>
      <c r="K3844" s="6">
        <f>IF(OR(A3844="",B3844=""),"",DATE(YEAR(B3844),MONTH(B3844),1))</f>
        <v/>
      </c>
      <c r="L3844" s="7">
        <f>IF(COUNTA(A3844,B3844)=0,"",IF(OR(A3844="",B3844=""),"Preencher CPF e entrada",IF(COUNTIFS($A$12:$A$5011,A3844,$B$12:$B$5011,B3844)&gt;1,"CPF + dia duplicado",IF(OR(AND(E3844&lt;&gt;"",E3844&lt;B3844),AND(F3844&lt;&gt;"",F3844&lt;B3844)),"Evento anterior à entrada",IF(AND(F3844&lt;&gt;"",E3844=""),"Conversa sem agendamento",IF(OR(E3844&gt;TODAY(),F3844&gt;TODAY()),"Verificar evento futuro","OK"))))))</f>
        <v/>
      </c>
    </row>
    <row r="3845" spans="9:12">
      <c r="I3845" s="5">
        <f>IF(OR(A3845="",B3845=""),"",B3845-WEEKDAY(B3845,2)+1)</f>
        <v/>
      </c>
      <c r="J3845" s="5">
        <f>IF(I3845="","",I3845+6)</f>
        <v/>
      </c>
      <c r="K3845" s="6">
        <f>IF(OR(A3845="",B3845=""),"",DATE(YEAR(B3845),MONTH(B3845),1))</f>
        <v/>
      </c>
      <c r="L3845" s="7">
        <f>IF(COUNTA(A3845,B3845)=0,"",IF(OR(A3845="",B3845=""),"Preencher CPF e entrada",IF(COUNTIFS($A$12:$A$5011,A3845,$B$12:$B$5011,B3845)&gt;1,"CPF + dia duplicado",IF(OR(AND(E3845&lt;&gt;"",E3845&lt;B3845),AND(F3845&lt;&gt;"",F3845&lt;B3845)),"Evento anterior à entrada",IF(AND(F3845&lt;&gt;"",E3845=""),"Conversa sem agendamento",IF(OR(E3845&gt;TODAY(),F3845&gt;TODAY()),"Verificar evento futuro","OK"))))))</f>
        <v/>
      </c>
    </row>
    <row r="3846" spans="9:12">
      <c r="I3846" s="5">
        <f>IF(OR(A3846="",B3846=""),"",B3846-WEEKDAY(B3846,2)+1)</f>
        <v/>
      </c>
      <c r="J3846" s="5">
        <f>IF(I3846="","",I3846+6)</f>
        <v/>
      </c>
      <c r="K3846" s="6">
        <f>IF(OR(A3846="",B3846=""),"",DATE(YEAR(B3846),MONTH(B3846),1))</f>
        <v/>
      </c>
      <c r="L3846" s="7">
        <f>IF(COUNTA(A3846,B3846)=0,"",IF(OR(A3846="",B3846=""),"Preencher CPF e entrada",IF(COUNTIFS($A$12:$A$5011,A3846,$B$12:$B$5011,B3846)&gt;1,"CPF + dia duplicado",IF(OR(AND(E3846&lt;&gt;"",E3846&lt;B3846),AND(F3846&lt;&gt;"",F3846&lt;B3846)),"Evento anterior à entrada",IF(AND(F3846&lt;&gt;"",E3846=""),"Conversa sem agendamento",IF(OR(E3846&gt;TODAY(),F3846&gt;TODAY()),"Verificar evento futuro","OK"))))))</f>
        <v/>
      </c>
    </row>
    <row r="3847" spans="9:12">
      <c r="I3847" s="5">
        <f>IF(OR(A3847="",B3847=""),"",B3847-WEEKDAY(B3847,2)+1)</f>
        <v/>
      </c>
      <c r="J3847" s="5">
        <f>IF(I3847="","",I3847+6)</f>
        <v/>
      </c>
      <c r="K3847" s="6">
        <f>IF(OR(A3847="",B3847=""),"",DATE(YEAR(B3847),MONTH(B3847),1))</f>
        <v/>
      </c>
      <c r="L3847" s="7">
        <f>IF(COUNTA(A3847,B3847)=0,"",IF(OR(A3847="",B3847=""),"Preencher CPF e entrada",IF(COUNTIFS($A$12:$A$5011,A3847,$B$12:$B$5011,B3847)&gt;1,"CPF + dia duplicado",IF(OR(AND(E3847&lt;&gt;"",E3847&lt;B3847),AND(F3847&lt;&gt;"",F3847&lt;B3847)),"Evento anterior à entrada",IF(AND(F3847&lt;&gt;"",E3847=""),"Conversa sem agendamento",IF(OR(E3847&gt;TODAY(),F3847&gt;TODAY()),"Verificar evento futuro","OK"))))))</f>
        <v/>
      </c>
    </row>
    <row r="3848" spans="9:12">
      <c r="I3848" s="5">
        <f>IF(OR(A3848="",B3848=""),"",B3848-WEEKDAY(B3848,2)+1)</f>
        <v/>
      </c>
      <c r="J3848" s="5">
        <f>IF(I3848="","",I3848+6)</f>
        <v/>
      </c>
      <c r="K3848" s="6">
        <f>IF(OR(A3848="",B3848=""),"",DATE(YEAR(B3848),MONTH(B3848),1))</f>
        <v/>
      </c>
      <c r="L3848" s="7">
        <f>IF(COUNTA(A3848,B3848)=0,"",IF(OR(A3848="",B3848=""),"Preencher CPF e entrada",IF(COUNTIFS($A$12:$A$5011,A3848,$B$12:$B$5011,B3848)&gt;1,"CPF + dia duplicado",IF(OR(AND(E3848&lt;&gt;"",E3848&lt;B3848),AND(F3848&lt;&gt;"",F3848&lt;B3848)),"Evento anterior à entrada",IF(AND(F3848&lt;&gt;"",E3848=""),"Conversa sem agendamento",IF(OR(E3848&gt;TODAY(),F3848&gt;TODAY()),"Verificar evento futuro","OK"))))))</f>
        <v/>
      </c>
    </row>
    <row r="3849" spans="9:12">
      <c r="I3849" s="5">
        <f>IF(OR(A3849="",B3849=""),"",B3849-WEEKDAY(B3849,2)+1)</f>
        <v/>
      </c>
      <c r="J3849" s="5">
        <f>IF(I3849="","",I3849+6)</f>
        <v/>
      </c>
      <c r="K3849" s="6">
        <f>IF(OR(A3849="",B3849=""),"",DATE(YEAR(B3849),MONTH(B3849),1))</f>
        <v/>
      </c>
      <c r="L3849" s="7">
        <f>IF(COUNTA(A3849,B3849)=0,"",IF(OR(A3849="",B3849=""),"Preencher CPF e entrada",IF(COUNTIFS($A$12:$A$5011,A3849,$B$12:$B$5011,B3849)&gt;1,"CPF + dia duplicado",IF(OR(AND(E3849&lt;&gt;"",E3849&lt;B3849),AND(F3849&lt;&gt;"",F3849&lt;B3849)),"Evento anterior à entrada",IF(AND(F3849&lt;&gt;"",E3849=""),"Conversa sem agendamento",IF(OR(E3849&gt;TODAY(),F3849&gt;TODAY()),"Verificar evento futuro","OK"))))))</f>
        <v/>
      </c>
    </row>
    <row r="3850" spans="9:12">
      <c r="I3850" s="5">
        <f>IF(OR(A3850="",B3850=""),"",B3850-WEEKDAY(B3850,2)+1)</f>
        <v/>
      </c>
      <c r="J3850" s="5">
        <f>IF(I3850="","",I3850+6)</f>
        <v/>
      </c>
      <c r="K3850" s="6">
        <f>IF(OR(A3850="",B3850=""),"",DATE(YEAR(B3850),MONTH(B3850),1))</f>
        <v/>
      </c>
      <c r="L3850" s="7">
        <f>IF(COUNTA(A3850,B3850)=0,"",IF(OR(A3850="",B3850=""),"Preencher CPF e entrada",IF(COUNTIFS($A$12:$A$5011,A3850,$B$12:$B$5011,B3850)&gt;1,"CPF + dia duplicado",IF(OR(AND(E3850&lt;&gt;"",E3850&lt;B3850),AND(F3850&lt;&gt;"",F3850&lt;B3850)),"Evento anterior à entrada",IF(AND(F3850&lt;&gt;"",E3850=""),"Conversa sem agendamento",IF(OR(E3850&gt;TODAY(),F3850&gt;TODAY()),"Verificar evento futuro","OK"))))))</f>
        <v/>
      </c>
    </row>
    <row r="3851" spans="9:12">
      <c r="I3851" s="5">
        <f>IF(OR(A3851="",B3851=""),"",B3851-WEEKDAY(B3851,2)+1)</f>
        <v/>
      </c>
      <c r="J3851" s="5">
        <f>IF(I3851="","",I3851+6)</f>
        <v/>
      </c>
      <c r="K3851" s="6">
        <f>IF(OR(A3851="",B3851=""),"",DATE(YEAR(B3851),MONTH(B3851),1))</f>
        <v/>
      </c>
      <c r="L3851" s="7">
        <f>IF(COUNTA(A3851,B3851)=0,"",IF(OR(A3851="",B3851=""),"Preencher CPF e entrada",IF(COUNTIFS($A$12:$A$5011,A3851,$B$12:$B$5011,B3851)&gt;1,"CPF + dia duplicado",IF(OR(AND(E3851&lt;&gt;"",E3851&lt;B3851),AND(F3851&lt;&gt;"",F3851&lt;B3851)),"Evento anterior à entrada",IF(AND(F3851&lt;&gt;"",E3851=""),"Conversa sem agendamento",IF(OR(E3851&gt;TODAY(),F3851&gt;TODAY()),"Verificar evento futuro","OK"))))))</f>
        <v/>
      </c>
    </row>
    <row r="3852" spans="9:12">
      <c r="I3852" s="5">
        <f>IF(OR(A3852="",B3852=""),"",B3852-WEEKDAY(B3852,2)+1)</f>
        <v/>
      </c>
      <c r="J3852" s="5">
        <f>IF(I3852="","",I3852+6)</f>
        <v/>
      </c>
      <c r="K3852" s="6">
        <f>IF(OR(A3852="",B3852=""),"",DATE(YEAR(B3852),MONTH(B3852),1))</f>
        <v/>
      </c>
      <c r="L3852" s="7">
        <f>IF(COUNTA(A3852,B3852)=0,"",IF(OR(A3852="",B3852=""),"Preencher CPF e entrada",IF(COUNTIFS($A$12:$A$5011,A3852,$B$12:$B$5011,B3852)&gt;1,"CPF + dia duplicado",IF(OR(AND(E3852&lt;&gt;"",E3852&lt;B3852),AND(F3852&lt;&gt;"",F3852&lt;B3852)),"Evento anterior à entrada",IF(AND(F3852&lt;&gt;"",E3852=""),"Conversa sem agendamento",IF(OR(E3852&gt;TODAY(),F3852&gt;TODAY()),"Verificar evento futuro","OK"))))))</f>
        <v/>
      </c>
    </row>
    <row r="3853" spans="9:12">
      <c r="I3853" s="5">
        <f>IF(OR(A3853="",B3853=""),"",B3853-WEEKDAY(B3853,2)+1)</f>
        <v/>
      </c>
      <c r="J3853" s="5">
        <f>IF(I3853="","",I3853+6)</f>
        <v/>
      </c>
      <c r="K3853" s="6">
        <f>IF(OR(A3853="",B3853=""),"",DATE(YEAR(B3853),MONTH(B3853),1))</f>
        <v/>
      </c>
      <c r="L3853" s="7">
        <f>IF(COUNTA(A3853,B3853)=0,"",IF(OR(A3853="",B3853=""),"Preencher CPF e entrada",IF(COUNTIFS($A$12:$A$5011,A3853,$B$12:$B$5011,B3853)&gt;1,"CPF + dia duplicado",IF(OR(AND(E3853&lt;&gt;"",E3853&lt;B3853),AND(F3853&lt;&gt;"",F3853&lt;B3853)),"Evento anterior à entrada",IF(AND(F3853&lt;&gt;"",E3853=""),"Conversa sem agendamento",IF(OR(E3853&gt;TODAY(),F3853&gt;TODAY()),"Verificar evento futuro","OK"))))))</f>
        <v/>
      </c>
    </row>
    <row r="3854" spans="9:12">
      <c r="I3854" s="5">
        <f>IF(OR(A3854="",B3854=""),"",B3854-WEEKDAY(B3854,2)+1)</f>
        <v/>
      </c>
      <c r="J3854" s="5">
        <f>IF(I3854="","",I3854+6)</f>
        <v/>
      </c>
      <c r="K3854" s="6">
        <f>IF(OR(A3854="",B3854=""),"",DATE(YEAR(B3854),MONTH(B3854),1))</f>
        <v/>
      </c>
      <c r="L3854" s="7">
        <f>IF(COUNTA(A3854,B3854)=0,"",IF(OR(A3854="",B3854=""),"Preencher CPF e entrada",IF(COUNTIFS($A$12:$A$5011,A3854,$B$12:$B$5011,B3854)&gt;1,"CPF + dia duplicado",IF(OR(AND(E3854&lt;&gt;"",E3854&lt;B3854),AND(F3854&lt;&gt;"",F3854&lt;B3854)),"Evento anterior à entrada",IF(AND(F3854&lt;&gt;"",E3854=""),"Conversa sem agendamento",IF(OR(E3854&gt;TODAY(),F3854&gt;TODAY()),"Verificar evento futuro","OK"))))))</f>
        <v/>
      </c>
    </row>
    <row r="3855" spans="9:12">
      <c r="I3855" s="5">
        <f>IF(OR(A3855="",B3855=""),"",B3855-WEEKDAY(B3855,2)+1)</f>
        <v/>
      </c>
      <c r="J3855" s="5">
        <f>IF(I3855="","",I3855+6)</f>
        <v/>
      </c>
      <c r="K3855" s="6">
        <f>IF(OR(A3855="",B3855=""),"",DATE(YEAR(B3855),MONTH(B3855),1))</f>
        <v/>
      </c>
      <c r="L3855" s="7">
        <f>IF(COUNTA(A3855,B3855)=0,"",IF(OR(A3855="",B3855=""),"Preencher CPF e entrada",IF(COUNTIFS($A$12:$A$5011,A3855,$B$12:$B$5011,B3855)&gt;1,"CPF + dia duplicado",IF(OR(AND(E3855&lt;&gt;"",E3855&lt;B3855),AND(F3855&lt;&gt;"",F3855&lt;B3855)),"Evento anterior à entrada",IF(AND(F3855&lt;&gt;"",E3855=""),"Conversa sem agendamento",IF(OR(E3855&gt;TODAY(),F3855&gt;TODAY()),"Verificar evento futuro","OK"))))))</f>
        <v/>
      </c>
    </row>
    <row r="3856" spans="9:12">
      <c r="I3856" s="5">
        <f>IF(OR(A3856="",B3856=""),"",B3856-WEEKDAY(B3856,2)+1)</f>
        <v/>
      </c>
      <c r="J3856" s="5">
        <f>IF(I3856="","",I3856+6)</f>
        <v/>
      </c>
      <c r="K3856" s="6">
        <f>IF(OR(A3856="",B3856=""),"",DATE(YEAR(B3856),MONTH(B3856),1))</f>
        <v/>
      </c>
      <c r="L3856" s="7">
        <f>IF(COUNTA(A3856,B3856)=0,"",IF(OR(A3856="",B3856=""),"Preencher CPF e entrada",IF(COUNTIFS($A$12:$A$5011,A3856,$B$12:$B$5011,B3856)&gt;1,"CPF + dia duplicado",IF(OR(AND(E3856&lt;&gt;"",E3856&lt;B3856),AND(F3856&lt;&gt;"",F3856&lt;B3856)),"Evento anterior à entrada",IF(AND(F3856&lt;&gt;"",E3856=""),"Conversa sem agendamento",IF(OR(E3856&gt;TODAY(),F3856&gt;TODAY()),"Verificar evento futuro","OK"))))))</f>
        <v/>
      </c>
    </row>
    <row r="3857" spans="9:12">
      <c r="I3857" s="5">
        <f>IF(OR(A3857="",B3857=""),"",B3857-WEEKDAY(B3857,2)+1)</f>
        <v/>
      </c>
      <c r="J3857" s="5">
        <f>IF(I3857="","",I3857+6)</f>
        <v/>
      </c>
      <c r="K3857" s="6">
        <f>IF(OR(A3857="",B3857=""),"",DATE(YEAR(B3857),MONTH(B3857),1))</f>
        <v/>
      </c>
      <c r="L3857" s="7">
        <f>IF(COUNTA(A3857,B3857)=0,"",IF(OR(A3857="",B3857=""),"Preencher CPF e entrada",IF(COUNTIFS($A$12:$A$5011,A3857,$B$12:$B$5011,B3857)&gt;1,"CPF + dia duplicado",IF(OR(AND(E3857&lt;&gt;"",E3857&lt;B3857),AND(F3857&lt;&gt;"",F3857&lt;B3857)),"Evento anterior à entrada",IF(AND(F3857&lt;&gt;"",E3857=""),"Conversa sem agendamento",IF(OR(E3857&gt;TODAY(),F3857&gt;TODAY()),"Verificar evento futuro","OK"))))))</f>
        <v/>
      </c>
    </row>
    <row r="3858" spans="9:12">
      <c r="I3858" s="5">
        <f>IF(OR(A3858="",B3858=""),"",B3858-WEEKDAY(B3858,2)+1)</f>
        <v/>
      </c>
      <c r="J3858" s="5">
        <f>IF(I3858="","",I3858+6)</f>
        <v/>
      </c>
      <c r="K3858" s="6">
        <f>IF(OR(A3858="",B3858=""),"",DATE(YEAR(B3858),MONTH(B3858),1))</f>
        <v/>
      </c>
      <c r="L3858" s="7">
        <f>IF(COUNTA(A3858,B3858)=0,"",IF(OR(A3858="",B3858=""),"Preencher CPF e entrada",IF(COUNTIFS($A$12:$A$5011,A3858,$B$12:$B$5011,B3858)&gt;1,"CPF + dia duplicado",IF(OR(AND(E3858&lt;&gt;"",E3858&lt;B3858),AND(F3858&lt;&gt;"",F3858&lt;B3858)),"Evento anterior à entrada",IF(AND(F3858&lt;&gt;"",E3858=""),"Conversa sem agendamento",IF(OR(E3858&gt;TODAY(),F3858&gt;TODAY()),"Verificar evento futuro","OK"))))))</f>
        <v/>
      </c>
    </row>
    <row r="3859" spans="9:12">
      <c r="I3859" s="5">
        <f>IF(OR(A3859="",B3859=""),"",B3859-WEEKDAY(B3859,2)+1)</f>
        <v/>
      </c>
      <c r="J3859" s="5">
        <f>IF(I3859="","",I3859+6)</f>
        <v/>
      </c>
      <c r="K3859" s="6">
        <f>IF(OR(A3859="",B3859=""),"",DATE(YEAR(B3859),MONTH(B3859),1))</f>
        <v/>
      </c>
      <c r="L3859" s="7">
        <f>IF(COUNTA(A3859,B3859)=0,"",IF(OR(A3859="",B3859=""),"Preencher CPF e entrada",IF(COUNTIFS($A$12:$A$5011,A3859,$B$12:$B$5011,B3859)&gt;1,"CPF + dia duplicado",IF(OR(AND(E3859&lt;&gt;"",E3859&lt;B3859),AND(F3859&lt;&gt;"",F3859&lt;B3859)),"Evento anterior à entrada",IF(AND(F3859&lt;&gt;"",E3859=""),"Conversa sem agendamento",IF(OR(E3859&gt;TODAY(),F3859&gt;TODAY()),"Verificar evento futuro","OK"))))))</f>
        <v/>
      </c>
    </row>
    <row r="3860" spans="9:12">
      <c r="I3860" s="5">
        <f>IF(OR(A3860="",B3860=""),"",B3860-WEEKDAY(B3860,2)+1)</f>
        <v/>
      </c>
      <c r="J3860" s="5">
        <f>IF(I3860="","",I3860+6)</f>
        <v/>
      </c>
      <c r="K3860" s="6">
        <f>IF(OR(A3860="",B3860=""),"",DATE(YEAR(B3860),MONTH(B3860),1))</f>
        <v/>
      </c>
      <c r="L3860" s="7">
        <f>IF(COUNTA(A3860,B3860)=0,"",IF(OR(A3860="",B3860=""),"Preencher CPF e entrada",IF(COUNTIFS($A$12:$A$5011,A3860,$B$12:$B$5011,B3860)&gt;1,"CPF + dia duplicado",IF(OR(AND(E3860&lt;&gt;"",E3860&lt;B3860),AND(F3860&lt;&gt;"",F3860&lt;B3860)),"Evento anterior à entrada",IF(AND(F3860&lt;&gt;"",E3860=""),"Conversa sem agendamento",IF(OR(E3860&gt;TODAY(),F3860&gt;TODAY()),"Verificar evento futuro","OK"))))))</f>
        <v/>
      </c>
    </row>
    <row r="3861" spans="9:12">
      <c r="I3861" s="5">
        <f>IF(OR(A3861="",B3861=""),"",B3861-WEEKDAY(B3861,2)+1)</f>
        <v/>
      </c>
      <c r="J3861" s="5">
        <f>IF(I3861="","",I3861+6)</f>
        <v/>
      </c>
      <c r="K3861" s="6">
        <f>IF(OR(A3861="",B3861=""),"",DATE(YEAR(B3861),MONTH(B3861),1))</f>
        <v/>
      </c>
      <c r="L3861" s="7">
        <f>IF(COUNTA(A3861,B3861)=0,"",IF(OR(A3861="",B3861=""),"Preencher CPF e entrada",IF(COUNTIFS($A$12:$A$5011,A3861,$B$12:$B$5011,B3861)&gt;1,"CPF + dia duplicado",IF(OR(AND(E3861&lt;&gt;"",E3861&lt;B3861),AND(F3861&lt;&gt;"",F3861&lt;B3861)),"Evento anterior à entrada",IF(AND(F3861&lt;&gt;"",E3861=""),"Conversa sem agendamento",IF(OR(E3861&gt;TODAY(),F3861&gt;TODAY()),"Verificar evento futuro","OK"))))))</f>
        <v/>
      </c>
    </row>
    <row r="3862" spans="9:12">
      <c r="I3862" s="5">
        <f>IF(OR(A3862="",B3862=""),"",B3862-WEEKDAY(B3862,2)+1)</f>
        <v/>
      </c>
      <c r="J3862" s="5">
        <f>IF(I3862="","",I3862+6)</f>
        <v/>
      </c>
      <c r="K3862" s="6">
        <f>IF(OR(A3862="",B3862=""),"",DATE(YEAR(B3862),MONTH(B3862),1))</f>
        <v/>
      </c>
      <c r="L3862" s="7">
        <f>IF(COUNTA(A3862,B3862)=0,"",IF(OR(A3862="",B3862=""),"Preencher CPF e entrada",IF(COUNTIFS($A$12:$A$5011,A3862,$B$12:$B$5011,B3862)&gt;1,"CPF + dia duplicado",IF(OR(AND(E3862&lt;&gt;"",E3862&lt;B3862),AND(F3862&lt;&gt;"",F3862&lt;B3862)),"Evento anterior à entrada",IF(AND(F3862&lt;&gt;"",E3862=""),"Conversa sem agendamento",IF(OR(E3862&gt;TODAY(),F3862&gt;TODAY()),"Verificar evento futuro","OK"))))))</f>
        <v/>
      </c>
    </row>
    <row r="3863" spans="9:12">
      <c r="I3863" s="5">
        <f>IF(OR(A3863="",B3863=""),"",B3863-WEEKDAY(B3863,2)+1)</f>
        <v/>
      </c>
      <c r="J3863" s="5">
        <f>IF(I3863="","",I3863+6)</f>
        <v/>
      </c>
      <c r="K3863" s="6">
        <f>IF(OR(A3863="",B3863=""),"",DATE(YEAR(B3863),MONTH(B3863),1))</f>
        <v/>
      </c>
      <c r="L3863" s="7">
        <f>IF(COUNTA(A3863,B3863)=0,"",IF(OR(A3863="",B3863=""),"Preencher CPF e entrada",IF(COUNTIFS($A$12:$A$5011,A3863,$B$12:$B$5011,B3863)&gt;1,"CPF + dia duplicado",IF(OR(AND(E3863&lt;&gt;"",E3863&lt;B3863),AND(F3863&lt;&gt;"",F3863&lt;B3863)),"Evento anterior à entrada",IF(AND(F3863&lt;&gt;"",E3863=""),"Conversa sem agendamento",IF(OR(E3863&gt;TODAY(),F3863&gt;TODAY()),"Verificar evento futuro","OK"))))))</f>
        <v/>
      </c>
    </row>
    <row r="3864" spans="9:12">
      <c r="I3864" s="5">
        <f>IF(OR(A3864="",B3864=""),"",B3864-WEEKDAY(B3864,2)+1)</f>
        <v/>
      </c>
      <c r="J3864" s="5">
        <f>IF(I3864="","",I3864+6)</f>
        <v/>
      </c>
      <c r="K3864" s="6">
        <f>IF(OR(A3864="",B3864=""),"",DATE(YEAR(B3864),MONTH(B3864),1))</f>
        <v/>
      </c>
      <c r="L3864" s="7">
        <f>IF(COUNTA(A3864,B3864)=0,"",IF(OR(A3864="",B3864=""),"Preencher CPF e entrada",IF(COUNTIFS($A$12:$A$5011,A3864,$B$12:$B$5011,B3864)&gt;1,"CPF + dia duplicado",IF(OR(AND(E3864&lt;&gt;"",E3864&lt;B3864),AND(F3864&lt;&gt;"",F3864&lt;B3864)),"Evento anterior à entrada",IF(AND(F3864&lt;&gt;"",E3864=""),"Conversa sem agendamento",IF(OR(E3864&gt;TODAY(),F3864&gt;TODAY()),"Verificar evento futuro","OK"))))))</f>
        <v/>
      </c>
    </row>
    <row r="3865" spans="9:12">
      <c r="I3865" s="5">
        <f>IF(OR(A3865="",B3865=""),"",B3865-WEEKDAY(B3865,2)+1)</f>
        <v/>
      </c>
      <c r="J3865" s="5">
        <f>IF(I3865="","",I3865+6)</f>
        <v/>
      </c>
      <c r="K3865" s="6">
        <f>IF(OR(A3865="",B3865=""),"",DATE(YEAR(B3865),MONTH(B3865),1))</f>
        <v/>
      </c>
      <c r="L3865" s="7">
        <f>IF(COUNTA(A3865,B3865)=0,"",IF(OR(A3865="",B3865=""),"Preencher CPF e entrada",IF(COUNTIFS($A$12:$A$5011,A3865,$B$12:$B$5011,B3865)&gt;1,"CPF + dia duplicado",IF(OR(AND(E3865&lt;&gt;"",E3865&lt;B3865),AND(F3865&lt;&gt;"",F3865&lt;B3865)),"Evento anterior à entrada",IF(AND(F3865&lt;&gt;"",E3865=""),"Conversa sem agendamento",IF(OR(E3865&gt;TODAY(),F3865&gt;TODAY()),"Verificar evento futuro","OK"))))))</f>
        <v/>
      </c>
    </row>
    <row r="3866" spans="9:12">
      <c r="I3866" s="5">
        <f>IF(OR(A3866="",B3866=""),"",B3866-WEEKDAY(B3866,2)+1)</f>
        <v/>
      </c>
      <c r="J3866" s="5">
        <f>IF(I3866="","",I3866+6)</f>
        <v/>
      </c>
      <c r="K3866" s="6">
        <f>IF(OR(A3866="",B3866=""),"",DATE(YEAR(B3866),MONTH(B3866),1))</f>
        <v/>
      </c>
      <c r="L3866" s="7">
        <f>IF(COUNTA(A3866,B3866)=0,"",IF(OR(A3866="",B3866=""),"Preencher CPF e entrada",IF(COUNTIFS($A$12:$A$5011,A3866,$B$12:$B$5011,B3866)&gt;1,"CPF + dia duplicado",IF(OR(AND(E3866&lt;&gt;"",E3866&lt;B3866),AND(F3866&lt;&gt;"",F3866&lt;B3866)),"Evento anterior à entrada",IF(AND(F3866&lt;&gt;"",E3866=""),"Conversa sem agendamento",IF(OR(E3866&gt;TODAY(),F3866&gt;TODAY()),"Verificar evento futuro","OK"))))))</f>
        <v/>
      </c>
    </row>
    <row r="3867" spans="9:12">
      <c r="I3867" s="5">
        <f>IF(OR(A3867="",B3867=""),"",B3867-WEEKDAY(B3867,2)+1)</f>
        <v/>
      </c>
      <c r="J3867" s="5">
        <f>IF(I3867="","",I3867+6)</f>
        <v/>
      </c>
      <c r="K3867" s="6">
        <f>IF(OR(A3867="",B3867=""),"",DATE(YEAR(B3867),MONTH(B3867),1))</f>
        <v/>
      </c>
      <c r="L3867" s="7">
        <f>IF(COUNTA(A3867,B3867)=0,"",IF(OR(A3867="",B3867=""),"Preencher CPF e entrada",IF(COUNTIFS($A$12:$A$5011,A3867,$B$12:$B$5011,B3867)&gt;1,"CPF + dia duplicado",IF(OR(AND(E3867&lt;&gt;"",E3867&lt;B3867),AND(F3867&lt;&gt;"",F3867&lt;B3867)),"Evento anterior à entrada",IF(AND(F3867&lt;&gt;"",E3867=""),"Conversa sem agendamento",IF(OR(E3867&gt;TODAY(),F3867&gt;TODAY()),"Verificar evento futuro","OK"))))))</f>
        <v/>
      </c>
    </row>
    <row r="3868" spans="9:12">
      <c r="I3868" s="5">
        <f>IF(OR(A3868="",B3868=""),"",B3868-WEEKDAY(B3868,2)+1)</f>
        <v/>
      </c>
      <c r="J3868" s="5">
        <f>IF(I3868="","",I3868+6)</f>
        <v/>
      </c>
      <c r="K3868" s="6">
        <f>IF(OR(A3868="",B3868=""),"",DATE(YEAR(B3868),MONTH(B3868),1))</f>
        <v/>
      </c>
      <c r="L3868" s="7">
        <f>IF(COUNTA(A3868,B3868)=0,"",IF(OR(A3868="",B3868=""),"Preencher CPF e entrada",IF(COUNTIFS($A$12:$A$5011,A3868,$B$12:$B$5011,B3868)&gt;1,"CPF + dia duplicado",IF(OR(AND(E3868&lt;&gt;"",E3868&lt;B3868),AND(F3868&lt;&gt;"",F3868&lt;B3868)),"Evento anterior à entrada",IF(AND(F3868&lt;&gt;"",E3868=""),"Conversa sem agendamento",IF(OR(E3868&gt;TODAY(),F3868&gt;TODAY()),"Verificar evento futuro","OK"))))))</f>
        <v/>
      </c>
    </row>
    <row r="3869" spans="9:12">
      <c r="I3869" s="5">
        <f>IF(OR(A3869="",B3869=""),"",B3869-WEEKDAY(B3869,2)+1)</f>
        <v/>
      </c>
      <c r="J3869" s="5">
        <f>IF(I3869="","",I3869+6)</f>
        <v/>
      </c>
      <c r="K3869" s="6">
        <f>IF(OR(A3869="",B3869=""),"",DATE(YEAR(B3869),MONTH(B3869),1))</f>
        <v/>
      </c>
      <c r="L3869" s="7">
        <f>IF(COUNTA(A3869,B3869)=0,"",IF(OR(A3869="",B3869=""),"Preencher CPF e entrada",IF(COUNTIFS($A$12:$A$5011,A3869,$B$12:$B$5011,B3869)&gt;1,"CPF + dia duplicado",IF(OR(AND(E3869&lt;&gt;"",E3869&lt;B3869),AND(F3869&lt;&gt;"",F3869&lt;B3869)),"Evento anterior à entrada",IF(AND(F3869&lt;&gt;"",E3869=""),"Conversa sem agendamento",IF(OR(E3869&gt;TODAY(),F3869&gt;TODAY()),"Verificar evento futuro","OK"))))))</f>
        <v/>
      </c>
    </row>
    <row r="3870" spans="9:12">
      <c r="I3870" s="5">
        <f>IF(OR(A3870="",B3870=""),"",B3870-WEEKDAY(B3870,2)+1)</f>
        <v/>
      </c>
      <c r="J3870" s="5">
        <f>IF(I3870="","",I3870+6)</f>
        <v/>
      </c>
      <c r="K3870" s="6">
        <f>IF(OR(A3870="",B3870=""),"",DATE(YEAR(B3870),MONTH(B3870),1))</f>
        <v/>
      </c>
      <c r="L3870" s="7">
        <f>IF(COUNTA(A3870,B3870)=0,"",IF(OR(A3870="",B3870=""),"Preencher CPF e entrada",IF(COUNTIFS($A$12:$A$5011,A3870,$B$12:$B$5011,B3870)&gt;1,"CPF + dia duplicado",IF(OR(AND(E3870&lt;&gt;"",E3870&lt;B3870),AND(F3870&lt;&gt;"",F3870&lt;B3870)),"Evento anterior à entrada",IF(AND(F3870&lt;&gt;"",E3870=""),"Conversa sem agendamento",IF(OR(E3870&gt;TODAY(),F3870&gt;TODAY()),"Verificar evento futuro","OK"))))))</f>
        <v/>
      </c>
    </row>
    <row r="3871" spans="9:12">
      <c r="I3871" s="5">
        <f>IF(OR(A3871="",B3871=""),"",B3871-WEEKDAY(B3871,2)+1)</f>
        <v/>
      </c>
      <c r="J3871" s="5">
        <f>IF(I3871="","",I3871+6)</f>
        <v/>
      </c>
      <c r="K3871" s="6">
        <f>IF(OR(A3871="",B3871=""),"",DATE(YEAR(B3871),MONTH(B3871),1))</f>
        <v/>
      </c>
      <c r="L3871" s="7">
        <f>IF(COUNTA(A3871,B3871)=0,"",IF(OR(A3871="",B3871=""),"Preencher CPF e entrada",IF(COUNTIFS($A$12:$A$5011,A3871,$B$12:$B$5011,B3871)&gt;1,"CPF + dia duplicado",IF(OR(AND(E3871&lt;&gt;"",E3871&lt;B3871),AND(F3871&lt;&gt;"",F3871&lt;B3871)),"Evento anterior à entrada",IF(AND(F3871&lt;&gt;"",E3871=""),"Conversa sem agendamento",IF(OR(E3871&gt;TODAY(),F3871&gt;TODAY()),"Verificar evento futuro","OK"))))))</f>
        <v/>
      </c>
    </row>
    <row r="3872" spans="9:12">
      <c r="I3872" s="5">
        <f>IF(OR(A3872="",B3872=""),"",B3872-WEEKDAY(B3872,2)+1)</f>
        <v/>
      </c>
      <c r="J3872" s="5">
        <f>IF(I3872="","",I3872+6)</f>
        <v/>
      </c>
      <c r="K3872" s="6">
        <f>IF(OR(A3872="",B3872=""),"",DATE(YEAR(B3872),MONTH(B3872),1))</f>
        <v/>
      </c>
      <c r="L3872" s="7">
        <f>IF(COUNTA(A3872,B3872)=0,"",IF(OR(A3872="",B3872=""),"Preencher CPF e entrada",IF(COUNTIFS($A$12:$A$5011,A3872,$B$12:$B$5011,B3872)&gt;1,"CPF + dia duplicado",IF(OR(AND(E3872&lt;&gt;"",E3872&lt;B3872),AND(F3872&lt;&gt;"",F3872&lt;B3872)),"Evento anterior à entrada",IF(AND(F3872&lt;&gt;"",E3872=""),"Conversa sem agendamento",IF(OR(E3872&gt;TODAY(),F3872&gt;TODAY()),"Verificar evento futuro","OK"))))))</f>
        <v/>
      </c>
    </row>
    <row r="3873" spans="9:12">
      <c r="I3873" s="5">
        <f>IF(OR(A3873="",B3873=""),"",B3873-WEEKDAY(B3873,2)+1)</f>
        <v/>
      </c>
      <c r="J3873" s="5">
        <f>IF(I3873="","",I3873+6)</f>
        <v/>
      </c>
      <c r="K3873" s="6">
        <f>IF(OR(A3873="",B3873=""),"",DATE(YEAR(B3873),MONTH(B3873),1))</f>
        <v/>
      </c>
      <c r="L3873" s="7">
        <f>IF(COUNTA(A3873,B3873)=0,"",IF(OR(A3873="",B3873=""),"Preencher CPF e entrada",IF(COUNTIFS($A$12:$A$5011,A3873,$B$12:$B$5011,B3873)&gt;1,"CPF + dia duplicado",IF(OR(AND(E3873&lt;&gt;"",E3873&lt;B3873),AND(F3873&lt;&gt;"",F3873&lt;B3873)),"Evento anterior à entrada",IF(AND(F3873&lt;&gt;"",E3873=""),"Conversa sem agendamento",IF(OR(E3873&gt;TODAY(),F3873&gt;TODAY()),"Verificar evento futuro","OK"))))))</f>
        <v/>
      </c>
    </row>
    <row r="3874" spans="9:12">
      <c r="I3874" s="5">
        <f>IF(OR(A3874="",B3874=""),"",B3874-WEEKDAY(B3874,2)+1)</f>
        <v/>
      </c>
      <c r="J3874" s="5">
        <f>IF(I3874="","",I3874+6)</f>
        <v/>
      </c>
      <c r="K3874" s="6">
        <f>IF(OR(A3874="",B3874=""),"",DATE(YEAR(B3874),MONTH(B3874),1))</f>
        <v/>
      </c>
      <c r="L3874" s="7">
        <f>IF(COUNTA(A3874,B3874)=0,"",IF(OR(A3874="",B3874=""),"Preencher CPF e entrada",IF(COUNTIFS($A$12:$A$5011,A3874,$B$12:$B$5011,B3874)&gt;1,"CPF + dia duplicado",IF(OR(AND(E3874&lt;&gt;"",E3874&lt;B3874),AND(F3874&lt;&gt;"",F3874&lt;B3874)),"Evento anterior à entrada",IF(AND(F3874&lt;&gt;"",E3874=""),"Conversa sem agendamento",IF(OR(E3874&gt;TODAY(),F3874&gt;TODAY()),"Verificar evento futuro","OK"))))))</f>
        <v/>
      </c>
    </row>
    <row r="3875" spans="9:12">
      <c r="I3875" s="5">
        <f>IF(OR(A3875="",B3875=""),"",B3875-WEEKDAY(B3875,2)+1)</f>
        <v/>
      </c>
      <c r="J3875" s="5">
        <f>IF(I3875="","",I3875+6)</f>
        <v/>
      </c>
      <c r="K3875" s="6">
        <f>IF(OR(A3875="",B3875=""),"",DATE(YEAR(B3875),MONTH(B3875),1))</f>
        <v/>
      </c>
      <c r="L3875" s="7">
        <f>IF(COUNTA(A3875,B3875)=0,"",IF(OR(A3875="",B3875=""),"Preencher CPF e entrada",IF(COUNTIFS($A$12:$A$5011,A3875,$B$12:$B$5011,B3875)&gt;1,"CPF + dia duplicado",IF(OR(AND(E3875&lt;&gt;"",E3875&lt;B3875),AND(F3875&lt;&gt;"",F3875&lt;B3875)),"Evento anterior à entrada",IF(AND(F3875&lt;&gt;"",E3875=""),"Conversa sem agendamento",IF(OR(E3875&gt;TODAY(),F3875&gt;TODAY()),"Verificar evento futuro","OK"))))))</f>
        <v/>
      </c>
    </row>
    <row r="3876" spans="9:12">
      <c r="I3876" s="5">
        <f>IF(OR(A3876="",B3876=""),"",B3876-WEEKDAY(B3876,2)+1)</f>
        <v/>
      </c>
      <c r="J3876" s="5">
        <f>IF(I3876="","",I3876+6)</f>
        <v/>
      </c>
      <c r="K3876" s="6">
        <f>IF(OR(A3876="",B3876=""),"",DATE(YEAR(B3876),MONTH(B3876),1))</f>
        <v/>
      </c>
      <c r="L3876" s="7">
        <f>IF(COUNTA(A3876,B3876)=0,"",IF(OR(A3876="",B3876=""),"Preencher CPF e entrada",IF(COUNTIFS($A$12:$A$5011,A3876,$B$12:$B$5011,B3876)&gt;1,"CPF + dia duplicado",IF(OR(AND(E3876&lt;&gt;"",E3876&lt;B3876),AND(F3876&lt;&gt;"",F3876&lt;B3876)),"Evento anterior à entrada",IF(AND(F3876&lt;&gt;"",E3876=""),"Conversa sem agendamento",IF(OR(E3876&gt;TODAY(),F3876&gt;TODAY()),"Verificar evento futuro","OK"))))))</f>
        <v/>
      </c>
    </row>
    <row r="3877" spans="9:12">
      <c r="I3877" s="5">
        <f>IF(OR(A3877="",B3877=""),"",B3877-WEEKDAY(B3877,2)+1)</f>
        <v/>
      </c>
      <c r="J3877" s="5">
        <f>IF(I3877="","",I3877+6)</f>
        <v/>
      </c>
      <c r="K3877" s="6">
        <f>IF(OR(A3877="",B3877=""),"",DATE(YEAR(B3877),MONTH(B3877),1))</f>
        <v/>
      </c>
      <c r="L3877" s="7">
        <f>IF(COUNTA(A3877,B3877)=0,"",IF(OR(A3877="",B3877=""),"Preencher CPF e entrada",IF(COUNTIFS($A$12:$A$5011,A3877,$B$12:$B$5011,B3877)&gt;1,"CPF + dia duplicado",IF(OR(AND(E3877&lt;&gt;"",E3877&lt;B3877),AND(F3877&lt;&gt;"",F3877&lt;B3877)),"Evento anterior à entrada",IF(AND(F3877&lt;&gt;"",E3877=""),"Conversa sem agendamento",IF(OR(E3877&gt;TODAY(),F3877&gt;TODAY()),"Verificar evento futuro","OK"))))))</f>
        <v/>
      </c>
    </row>
    <row r="3878" spans="9:12">
      <c r="I3878" s="5">
        <f>IF(OR(A3878="",B3878=""),"",B3878-WEEKDAY(B3878,2)+1)</f>
        <v/>
      </c>
      <c r="J3878" s="5">
        <f>IF(I3878="","",I3878+6)</f>
        <v/>
      </c>
      <c r="K3878" s="6">
        <f>IF(OR(A3878="",B3878=""),"",DATE(YEAR(B3878),MONTH(B3878),1))</f>
        <v/>
      </c>
      <c r="L3878" s="7">
        <f>IF(COUNTA(A3878,B3878)=0,"",IF(OR(A3878="",B3878=""),"Preencher CPF e entrada",IF(COUNTIFS($A$12:$A$5011,A3878,$B$12:$B$5011,B3878)&gt;1,"CPF + dia duplicado",IF(OR(AND(E3878&lt;&gt;"",E3878&lt;B3878),AND(F3878&lt;&gt;"",F3878&lt;B3878)),"Evento anterior à entrada",IF(AND(F3878&lt;&gt;"",E3878=""),"Conversa sem agendamento",IF(OR(E3878&gt;TODAY(),F3878&gt;TODAY()),"Verificar evento futuro","OK"))))))</f>
        <v/>
      </c>
    </row>
    <row r="3879" spans="9:12">
      <c r="I3879" s="5">
        <f>IF(OR(A3879="",B3879=""),"",B3879-WEEKDAY(B3879,2)+1)</f>
        <v/>
      </c>
      <c r="J3879" s="5">
        <f>IF(I3879="","",I3879+6)</f>
        <v/>
      </c>
      <c r="K3879" s="6">
        <f>IF(OR(A3879="",B3879=""),"",DATE(YEAR(B3879),MONTH(B3879),1))</f>
        <v/>
      </c>
      <c r="L3879" s="7">
        <f>IF(COUNTA(A3879,B3879)=0,"",IF(OR(A3879="",B3879=""),"Preencher CPF e entrada",IF(COUNTIFS($A$12:$A$5011,A3879,$B$12:$B$5011,B3879)&gt;1,"CPF + dia duplicado",IF(OR(AND(E3879&lt;&gt;"",E3879&lt;B3879),AND(F3879&lt;&gt;"",F3879&lt;B3879)),"Evento anterior à entrada",IF(AND(F3879&lt;&gt;"",E3879=""),"Conversa sem agendamento",IF(OR(E3879&gt;TODAY(),F3879&gt;TODAY()),"Verificar evento futuro","OK"))))))</f>
        <v/>
      </c>
    </row>
    <row r="3880" spans="9:12">
      <c r="I3880" s="5">
        <f>IF(OR(A3880="",B3880=""),"",B3880-WEEKDAY(B3880,2)+1)</f>
        <v/>
      </c>
      <c r="J3880" s="5">
        <f>IF(I3880="","",I3880+6)</f>
        <v/>
      </c>
      <c r="K3880" s="6">
        <f>IF(OR(A3880="",B3880=""),"",DATE(YEAR(B3880),MONTH(B3880),1))</f>
        <v/>
      </c>
      <c r="L3880" s="7">
        <f>IF(COUNTA(A3880,B3880)=0,"",IF(OR(A3880="",B3880=""),"Preencher CPF e entrada",IF(COUNTIFS($A$12:$A$5011,A3880,$B$12:$B$5011,B3880)&gt;1,"CPF + dia duplicado",IF(OR(AND(E3880&lt;&gt;"",E3880&lt;B3880),AND(F3880&lt;&gt;"",F3880&lt;B3880)),"Evento anterior à entrada",IF(AND(F3880&lt;&gt;"",E3880=""),"Conversa sem agendamento",IF(OR(E3880&gt;TODAY(),F3880&gt;TODAY()),"Verificar evento futuro","OK"))))))</f>
        <v/>
      </c>
    </row>
    <row r="3881" spans="9:12">
      <c r="I3881" s="5">
        <f>IF(OR(A3881="",B3881=""),"",B3881-WEEKDAY(B3881,2)+1)</f>
        <v/>
      </c>
      <c r="J3881" s="5">
        <f>IF(I3881="","",I3881+6)</f>
        <v/>
      </c>
      <c r="K3881" s="6">
        <f>IF(OR(A3881="",B3881=""),"",DATE(YEAR(B3881),MONTH(B3881),1))</f>
        <v/>
      </c>
      <c r="L3881" s="7">
        <f>IF(COUNTA(A3881,B3881)=0,"",IF(OR(A3881="",B3881=""),"Preencher CPF e entrada",IF(COUNTIFS($A$12:$A$5011,A3881,$B$12:$B$5011,B3881)&gt;1,"CPF + dia duplicado",IF(OR(AND(E3881&lt;&gt;"",E3881&lt;B3881),AND(F3881&lt;&gt;"",F3881&lt;B3881)),"Evento anterior à entrada",IF(AND(F3881&lt;&gt;"",E3881=""),"Conversa sem agendamento",IF(OR(E3881&gt;TODAY(),F3881&gt;TODAY()),"Verificar evento futuro","OK"))))))</f>
        <v/>
      </c>
    </row>
    <row r="3882" spans="9:12">
      <c r="I3882" s="5">
        <f>IF(OR(A3882="",B3882=""),"",B3882-WEEKDAY(B3882,2)+1)</f>
        <v/>
      </c>
      <c r="J3882" s="5">
        <f>IF(I3882="","",I3882+6)</f>
        <v/>
      </c>
      <c r="K3882" s="6">
        <f>IF(OR(A3882="",B3882=""),"",DATE(YEAR(B3882),MONTH(B3882),1))</f>
        <v/>
      </c>
      <c r="L3882" s="7">
        <f>IF(COUNTA(A3882,B3882)=0,"",IF(OR(A3882="",B3882=""),"Preencher CPF e entrada",IF(COUNTIFS($A$12:$A$5011,A3882,$B$12:$B$5011,B3882)&gt;1,"CPF + dia duplicado",IF(OR(AND(E3882&lt;&gt;"",E3882&lt;B3882),AND(F3882&lt;&gt;"",F3882&lt;B3882)),"Evento anterior à entrada",IF(AND(F3882&lt;&gt;"",E3882=""),"Conversa sem agendamento",IF(OR(E3882&gt;TODAY(),F3882&gt;TODAY()),"Verificar evento futuro","OK"))))))</f>
        <v/>
      </c>
    </row>
    <row r="3883" spans="9:12">
      <c r="I3883" s="5">
        <f>IF(OR(A3883="",B3883=""),"",B3883-WEEKDAY(B3883,2)+1)</f>
        <v/>
      </c>
      <c r="J3883" s="5">
        <f>IF(I3883="","",I3883+6)</f>
        <v/>
      </c>
      <c r="K3883" s="6">
        <f>IF(OR(A3883="",B3883=""),"",DATE(YEAR(B3883),MONTH(B3883),1))</f>
        <v/>
      </c>
      <c r="L3883" s="7">
        <f>IF(COUNTA(A3883,B3883)=0,"",IF(OR(A3883="",B3883=""),"Preencher CPF e entrada",IF(COUNTIFS($A$12:$A$5011,A3883,$B$12:$B$5011,B3883)&gt;1,"CPF + dia duplicado",IF(OR(AND(E3883&lt;&gt;"",E3883&lt;B3883),AND(F3883&lt;&gt;"",F3883&lt;B3883)),"Evento anterior à entrada",IF(AND(F3883&lt;&gt;"",E3883=""),"Conversa sem agendamento",IF(OR(E3883&gt;TODAY(),F3883&gt;TODAY()),"Verificar evento futuro","OK"))))))</f>
        <v/>
      </c>
    </row>
    <row r="3884" spans="9:12">
      <c r="I3884" s="5">
        <f>IF(OR(A3884="",B3884=""),"",B3884-WEEKDAY(B3884,2)+1)</f>
        <v/>
      </c>
      <c r="J3884" s="5">
        <f>IF(I3884="","",I3884+6)</f>
        <v/>
      </c>
      <c r="K3884" s="6">
        <f>IF(OR(A3884="",B3884=""),"",DATE(YEAR(B3884),MONTH(B3884),1))</f>
        <v/>
      </c>
      <c r="L3884" s="7">
        <f>IF(COUNTA(A3884,B3884)=0,"",IF(OR(A3884="",B3884=""),"Preencher CPF e entrada",IF(COUNTIFS($A$12:$A$5011,A3884,$B$12:$B$5011,B3884)&gt;1,"CPF + dia duplicado",IF(OR(AND(E3884&lt;&gt;"",E3884&lt;B3884),AND(F3884&lt;&gt;"",F3884&lt;B3884)),"Evento anterior à entrada",IF(AND(F3884&lt;&gt;"",E3884=""),"Conversa sem agendamento",IF(OR(E3884&gt;TODAY(),F3884&gt;TODAY()),"Verificar evento futuro","OK"))))))</f>
        <v/>
      </c>
    </row>
    <row r="3885" spans="9:12">
      <c r="I3885" s="5">
        <f>IF(OR(A3885="",B3885=""),"",B3885-WEEKDAY(B3885,2)+1)</f>
        <v/>
      </c>
      <c r="J3885" s="5">
        <f>IF(I3885="","",I3885+6)</f>
        <v/>
      </c>
      <c r="K3885" s="6">
        <f>IF(OR(A3885="",B3885=""),"",DATE(YEAR(B3885),MONTH(B3885),1))</f>
        <v/>
      </c>
      <c r="L3885" s="7">
        <f>IF(COUNTA(A3885,B3885)=0,"",IF(OR(A3885="",B3885=""),"Preencher CPF e entrada",IF(COUNTIFS($A$12:$A$5011,A3885,$B$12:$B$5011,B3885)&gt;1,"CPF + dia duplicado",IF(OR(AND(E3885&lt;&gt;"",E3885&lt;B3885),AND(F3885&lt;&gt;"",F3885&lt;B3885)),"Evento anterior à entrada",IF(AND(F3885&lt;&gt;"",E3885=""),"Conversa sem agendamento",IF(OR(E3885&gt;TODAY(),F3885&gt;TODAY()),"Verificar evento futuro","OK"))))))</f>
        <v/>
      </c>
    </row>
    <row r="3886" spans="9:12">
      <c r="I3886" s="5">
        <f>IF(OR(A3886="",B3886=""),"",B3886-WEEKDAY(B3886,2)+1)</f>
        <v/>
      </c>
      <c r="J3886" s="5">
        <f>IF(I3886="","",I3886+6)</f>
        <v/>
      </c>
      <c r="K3886" s="6">
        <f>IF(OR(A3886="",B3886=""),"",DATE(YEAR(B3886),MONTH(B3886),1))</f>
        <v/>
      </c>
      <c r="L3886" s="7">
        <f>IF(COUNTA(A3886,B3886)=0,"",IF(OR(A3886="",B3886=""),"Preencher CPF e entrada",IF(COUNTIFS($A$12:$A$5011,A3886,$B$12:$B$5011,B3886)&gt;1,"CPF + dia duplicado",IF(OR(AND(E3886&lt;&gt;"",E3886&lt;B3886),AND(F3886&lt;&gt;"",F3886&lt;B3886)),"Evento anterior à entrada",IF(AND(F3886&lt;&gt;"",E3886=""),"Conversa sem agendamento",IF(OR(E3886&gt;TODAY(),F3886&gt;TODAY()),"Verificar evento futuro","OK"))))))</f>
        <v/>
      </c>
    </row>
    <row r="3887" spans="9:12">
      <c r="I3887" s="5">
        <f>IF(OR(A3887="",B3887=""),"",B3887-WEEKDAY(B3887,2)+1)</f>
        <v/>
      </c>
      <c r="J3887" s="5">
        <f>IF(I3887="","",I3887+6)</f>
        <v/>
      </c>
      <c r="K3887" s="6">
        <f>IF(OR(A3887="",B3887=""),"",DATE(YEAR(B3887),MONTH(B3887),1))</f>
        <v/>
      </c>
      <c r="L3887" s="7">
        <f>IF(COUNTA(A3887,B3887)=0,"",IF(OR(A3887="",B3887=""),"Preencher CPF e entrada",IF(COUNTIFS($A$12:$A$5011,A3887,$B$12:$B$5011,B3887)&gt;1,"CPF + dia duplicado",IF(OR(AND(E3887&lt;&gt;"",E3887&lt;B3887),AND(F3887&lt;&gt;"",F3887&lt;B3887)),"Evento anterior à entrada",IF(AND(F3887&lt;&gt;"",E3887=""),"Conversa sem agendamento",IF(OR(E3887&gt;TODAY(),F3887&gt;TODAY()),"Verificar evento futuro","OK"))))))</f>
        <v/>
      </c>
    </row>
    <row r="3888" spans="9:12">
      <c r="I3888" s="5">
        <f>IF(OR(A3888="",B3888=""),"",B3888-WEEKDAY(B3888,2)+1)</f>
        <v/>
      </c>
      <c r="J3888" s="5">
        <f>IF(I3888="","",I3888+6)</f>
        <v/>
      </c>
      <c r="K3888" s="6">
        <f>IF(OR(A3888="",B3888=""),"",DATE(YEAR(B3888),MONTH(B3888),1))</f>
        <v/>
      </c>
      <c r="L3888" s="7">
        <f>IF(COUNTA(A3888,B3888)=0,"",IF(OR(A3888="",B3888=""),"Preencher CPF e entrada",IF(COUNTIFS($A$12:$A$5011,A3888,$B$12:$B$5011,B3888)&gt;1,"CPF + dia duplicado",IF(OR(AND(E3888&lt;&gt;"",E3888&lt;B3888),AND(F3888&lt;&gt;"",F3888&lt;B3888)),"Evento anterior à entrada",IF(AND(F3888&lt;&gt;"",E3888=""),"Conversa sem agendamento",IF(OR(E3888&gt;TODAY(),F3888&gt;TODAY()),"Verificar evento futuro","OK"))))))</f>
        <v/>
      </c>
    </row>
    <row r="3889" spans="9:12">
      <c r="I3889" s="5">
        <f>IF(OR(A3889="",B3889=""),"",B3889-WEEKDAY(B3889,2)+1)</f>
        <v/>
      </c>
      <c r="J3889" s="5">
        <f>IF(I3889="","",I3889+6)</f>
        <v/>
      </c>
      <c r="K3889" s="6">
        <f>IF(OR(A3889="",B3889=""),"",DATE(YEAR(B3889),MONTH(B3889),1))</f>
        <v/>
      </c>
      <c r="L3889" s="7">
        <f>IF(COUNTA(A3889,B3889)=0,"",IF(OR(A3889="",B3889=""),"Preencher CPF e entrada",IF(COUNTIFS($A$12:$A$5011,A3889,$B$12:$B$5011,B3889)&gt;1,"CPF + dia duplicado",IF(OR(AND(E3889&lt;&gt;"",E3889&lt;B3889),AND(F3889&lt;&gt;"",F3889&lt;B3889)),"Evento anterior à entrada",IF(AND(F3889&lt;&gt;"",E3889=""),"Conversa sem agendamento",IF(OR(E3889&gt;TODAY(),F3889&gt;TODAY()),"Verificar evento futuro","OK"))))))</f>
        <v/>
      </c>
    </row>
    <row r="3890" spans="9:12">
      <c r="I3890" s="5">
        <f>IF(OR(A3890="",B3890=""),"",B3890-WEEKDAY(B3890,2)+1)</f>
        <v/>
      </c>
      <c r="J3890" s="5">
        <f>IF(I3890="","",I3890+6)</f>
        <v/>
      </c>
      <c r="K3890" s="6">
        <f>IF(OR(A3890="",B3890=""),"",DATE(YEAR(B3890),MONTH(B3890),1))</f>
        <v/>
      </c>
      <c r="L3890" s="7">
        <f>IF(COUNTA(A3890,B3890)=0,"",IF(OR(A3890="",B3890=""),"Preencher CPF e entrada",IF(COUNTIFS($A$12:$A$5011,A3890,$B$12:$B$5011,B3890)&gt;1,"CPF + dia duplicado",IF(OR(AND(E3890&lt;&gt;"",E3890&lt;B3890),AND(F3890&lt;&gt;"",F3890&lt;B3890)),"Evento anterior à entrada",IF(AND(F3890&lt;&gt;"",E3890=""),"Conversa sem agendamento",IF(OR(E3890&gt;TODAY(),F3890&gt;TODAY()),"Verificar evento futuro","OK"))))))</f>
        <v/>
      </c>
    </row>
    <row r="3891" spans="9:12">
      <c r="I3891" s="5">
        <f>IF(OR(A3891="",B3891=""),"",B3891-WEEKDAY(B3891,2)+1)</f>
        <v/>
      </c>
      <c r="J3891" s="5">
        <f>IF(I3891="","",I3891+6)</f>
        <v/>
      </c>
      <c r="K3891" s="6">
        <f>IF(OR(A3891="",B3891=""),"",DATE(YEAR(B3891),MONTH(B3891),1))</f>
        <v/>
      </c>
      <c r="L3891" s="7">
        <f>IF(COUNTA(A3891,B3891)=0,"",IF(OR(A3891="",B3891=""),"Preencher CPF e entrada",IF(COUNTIFS($A$12:$A$5011,A3891,$B$12:$B$5011,B3891)&gt;1,"CPF + dia duplicado",IF(OR(AND(E3891&lt;&gt;"",E3891&lt;B3891),AND(F3891&lt;&gt;"",F3891&lt;B3891)),"Evento anterior à entrada",IF(AND(F3891&lt;&gt;"",E3891=""),"Conversa sem agendamento",IF(OR(E3891&gt;TODAY(),F3891&gt;TODAY()),"Verificar evento futuro","OK"))))))</f>
        <v/>
      </c>
    </row>
    <row r="3892" spans="9:12">
      <c r="I3892" s="5">
        <f>IF(OR(A3892="",B3892=""),"",B3892-WEEKDAY(B3892,2)+1)</f>
        <v/>
      </c>
      <c r="J3892" s="5">
        <f>IF(I3892="","",I3892+6)</f>
        <v/>
      </c>
      <c r="K3892" s="6">
        <f>IF(OR(A3892="",B3892=""),"",DATE(YEAR(B3892),MONTH(B3892),1))</f>
        <v/>
      </c>
      <c r="L3892" s="7">
        <f>IF(COUNTA(A3892,B3892)=0,"",IF(OR(A3892="",B3892=""),"Preencher CPF e entrada",IF(COUNTIFS($A$12:$A$5011,A3892,$B$12:$B$5011,B3892)&gt;1,"CPF + dia duplicado",IF(OR(AND(E3892&lt;&gt;"",E3892&lt;B3892),AND(F3892&lt;&gt;"",F3892&lt;B3892)),"Evento anterior à entrada",IF(AND(F3892&lt;&gt;"",E3892=""),"Conversa sem agendamento",IF(OR(E3892&gt;TODAY(),F3892&gt;TODAY()),"Verificar evento futuro","OK"))))))</f>
        <v/>
      </c>
    </row>
    <row r="3893" spans="9:12">
      <c r="I3893" s="5">
        <f>IF(OR(A3893="",B3893=""),"",B3893-WEEKDAY(B3893,2)+1)</f>
        <v/>
      </c>
      <c r="J3893" s="5">
        <f>IF(I3893="","",I3893+6)</f>
        <v/>
      </c>
      <c r="K3893" s="6">
        <f>IF(OR(A3893="",B3893=""),"",DATE(YEAR(B3893),MONTH(B3893),1))</f>
        <v/>
      </c>
      <c r="L3893" s="7">
        <f>IF(COUNTA(A3893,B3893)=0,"",IF(OR(A3893="",B3893=""),"Preencher CPF e entrada",IF(COUNTIFS($A$12:$A$5011,A3893,$B$12:$B$5011,B3893)&gt;1,"CPF + dia duplicado",IF(OR(AND(E3893&lt;&gt;"",E3893&lt;B3893),AND(F3893&lt;&gt;"",F3893&lt;B3893)),"Evento anterior à entrada",IF(AND(F3893&lt;&gt;"",E3893=""),"Conversa sem agendamento",IF(OR(E3893&gt;TODAY(),F3893&gt;TODAY()),"Verificar evento futuro","OK"))))))</f>
        <v/>
      </c>
    </row>
    <row r="3894" spans="9:12">
      <c r="I3894" s="5">
        <f>IF(OR(A3894="",B3894=""),"",B3894-WEEKDAY(B3894,2)+1)</f>
        <v/>
      </c>
      <c r="J3894" s="5">
        <f>IF(I3894="","",I3894+6)</f>
        <v/>
      </c>
      <c r="K3894" s="6">
        <f>IF(OR(A3894="",B3894=""),"",DATE(YEAR(B3894),MONTH(B3894),1))</f>
        <v/>
      </c>
      <c r="L3894" s="7">
        <f>IF(COUNTA(A3894,B3894)=0,"",IF(OR(A3894="",B3894=""),"Preencher CPF e entrada",IF(COUNTIFS($A$12:$A$5011,A3894,$B$12:$B$5011,B3894)&gt;1,"CPF + dia duplicado",IF(OR(AND(E3894&lt;&gt;"",E3894&lt;B3894),AND(F3894&lt;&gt;"",F3894&lt;B3894)),"Evento anterior à entrada",IF(AND(F3894&lt;&gt;"",E3894=""),"Conversa sem agendamento",IF(OR(E3894&gt;TODAY(),F3894&gt;TODAY()),"Verificar evento futuro","OK"))))))</f>
        <v/>
      </c>
    </row>
    <row r="3895" spans="9:12">
      <c r="I3895" s="5">
        <f>IF(OR(A3895="",B3895=""),"",B3895-WEEKDAY(B3895,2)+1)</f>
        <v/>
      </c>
      <c r="J3895" s="5">
        <f>IF(I3895="","",I3895+6)</f>
        <v/>
      </c>
      <c r="K3895" s="6">
        <f>IF(OR(A3895="",B3895=""),"",DATE(YEAR(B3895),MONTH(B3895),1))</f>
        <v/>
      </c>
      <c r="L3895" s="7">
        <f>IF(COUNTA(A3895,B3895)=0,"",IF(OR(A3895="",B3895=""),"Preencher CPF e entrada",IF(COUNTIFS($A$12:$A$5011,A3895,$B$12:$B$5011,B3895)&gt;1,"CPF + dia duplicado",IF(OR(AND(E3895&lt;&gt;"",E3895&lt;B3895),AND(F3895&lt;&gt;"",F3895&lt;B3895)),"Evento anterior à entrada",IF(AND(F3895&lt;&gt;"",E3895=""),"Conversa sem agendamento",IF(OR(E3895&gt;TODAY(),F3895&gt;TODAY()),"Verificar evento futuro","OK"))))))</f>
        <v/>
      </c>
    </row>
    <row r="3896" spans="9:12">
      <c r="I3896" s="5">
        <f>IF(OR(A3896="",B3896=""),"",B3896-WEEKDAY(B3896,2)+1)</f>
        <v/>
      </c>
      <c r="J3896" s="5">
        <f>IF(I3896="","",I3896+6)</f>
        <v/>
      </c>
      <c r="K3896" s="6">
        <f>IF(OR(A3896="",B3896=""),"",DATE(YEAR(B3896),MONTH(B3896),1))</f>
        <v/>
      </c>
      <c r="L3896" s="7">
        <f>IF(COUNTA(A3896,B3896)=0,"",IF(OR(A3896="",B3896=""),"Preencher CPF e entrada",IF(COUNTIFS($A$12:$A$5011,A3896,$B$12:$B$5011,B3896)&gt;1,"CPF + dia duplicado",IF(OR(AND(E3896&lt;&gt;"",E3896&lt;B3896),AND(F3896&lt;&gt;"",F3896&lt;B3896)),"Evento anterior à entrada",IF(AND(F3896&lt;&gt;"",E3896=""),"Conversa sem agendamento",IF(OR(E3896&gt;TODAY(),F3896&gt;TODAY()),"Verificar evento futuro","OK"))))))</f>
        <v/>
      </c>
    </row>
    <row r="3897" spans="9:12">
      <c r="I3897" s="5">
        <f>IF(OR(A3897="",B3897=""),"",B3897-WEEKDAY(B3897,2)+1)</f>
        <v/>
      </c>
      <c r="J3897" s="5">
        <f>IF(I3897="","",I3897+6)</f>
        <v/>
      </c>
      <c r="K3897" s="6">
        <f>IF(OR(A3897="",B3897=""),"",DATE(YEAR(B3897),MONTH(B3897),1))</f>
        <v/>
      </c>
      <c r="L3897" s="7">
        <f>IF(COUNTA(A3897,B3897)=0,"",IF(OR(A3897="",B3897=""),"Preencher CPF e entrada",IF(COUNTIFS($A$12:$A$5011,A3897,$B$12:$B$5011,B3897)&gt;1,"CPF + dia duplicado",IF(OR(AND(E3897&lt;&gt;"",E3897&lt;B3897),AND(F3897&lt;&gt;"",F3897&lt;B3897)),"Evento anterior à entrada",IF(AND(F3897&lt;&gt;"",E3897=""),"Conversa sem agendamento",IF(OR(E3897&gt;TODAY(),F3897&gt;TODAY()),"Verificar evento futuro","OK"))))))</f>
        <v/>
      </c>
    </row>
    <row r="3898" spans="9:12">
      <c r="I3898" s="5">
        <f>IF(OR(A3898="",B3898=""),"",B3898-WEEKDAY(B3898,2)+1)</f>
        <v/>
      </c>
      <c r="J3898" s="5">
        <f>IF(I3898="","",I3898+6)</f>
        <v/>
      </c>
      <c r="K3898" s="6">
        <f>IF(OR(A3898="",B3898=""),"",DATE(YEAR(B3898),MONTH(B3898),1))</f>
        <v/>
      </c>
      <c r="L3898" s="7">
        <f>IF(COUNTA(A3898,B3898)=0,"",IF(OR(A3898="",B3898=""),"Preencher CPF e entrada",IF(COUNTIFS($A$12:$A$5011,A3898,$B$12:$B$5011,B3898)&gt;1,"CPF + dia duplicado",IF(OR(AND(E3898&lt;&gt;"",E3898&lt;B3898),AND(F3898&lt;&gt;"",F3898&lt;B3898)),"Evento anterior à entrada",IF(AND(F3898&lt;&gt;"",E3898=""),"Conversa sem agendamento",IF(OR(E3898&gt;TODAY(),F3898&gt;TODAY()),"Verificar evento futuro","OK"))))))</f>
        <v/>
      </c>
    </row>
    <row r="3899" spans="9:12">
      <c r="I3899" s="5">
        <f>IF(OR(A3899="",B3899=""),"",B3899-WEEKDAY(B3899,2)+1)</f>
        <v/>
      </c>
      <c r="J3899" s="5">
        <f>IF(I3899="","",I3899+6)</f>
        <v/>
      </c>
      <c r="K3899" s="6">
        <f>IF(OR(A3899="",B3899=""),"",DATE(YEAR(B3899),MONTH(B3899),1))</f>
        <v/>
      </c>
      <c r="L3899" s="7">
        <f>IF(COUNTA(A3899,B3899)=0,"",IF(OR(A3899="",B3899=""),"Preencher CPF e entrada",IF(COUNTIFS($A$12:$A$5011,A3899,$B$12:$B$5011,B3899)&gt;1,"CPF + dia duplicado",IF(OR(AND(E3899&lt;&gt;"",E3899&lt;B3899),AND(F3899&lt;&gt;"",F3899&lt;B3899)),"Evento anterior à entrada",IF(AND(F3899&lt;&gt;"",E3899=""),"Conversa sem agendamento",IF(OR(E3899&gt;TODAY(),F3899&gt;TODAY()),"Verificar evento futuro","OK"))))))</f>
        <v/>
      </c>
    </row>
    <row r="3900" spans="9:12">
      <c r="I3900" s="5">
        <f>IF(OR(A3900="",B3900=""),"",B3900-WEEKDAY(B3900,2)+1)</f>
        <v/>
      </c>
      <c r="J3900" s="5">
        <f>IF(I3900="","",I3900+6)</f>
        <v/>
      </c>
      <c r="K3900" s="6">
        <f>IF(OR(A3900="",B3900=""),"",DATE(YEAR(B3900),MONTH(B3900),1))</f>
        <v/>
      </c>
      <c r="L3900" s="7">
        <f>IF(COUNTA(A3900,B3900)=0,"",IF(OR(A3900="",B3900=""),"Preencher CPF e entrada",IF(COUNTIFS($A$12:$A$5011,A3900,$B$12:$B$5011,B3900)&gt;1,"CPF + dia duplicado",IF(OR(AND(E3900&lt;&gt;"",E3900&lt;B3900),AND(F3900&lt;&gt;"",F3900&lt;B3900)),"Evento anterior à entrada",IF(AND(F3900&lt;&gt;"",E3900=""),"Conversa sem agendamento",IF(OR(E3900&gt;TODAY(),F3900&gt;TODAY()),"Verificar evento futuro","OK"))))))</f>
        <v/>
      </c>
    </row>
    <row r="3901" spans="9:12">
      <c r="I3901" s="5">
        <f>IF(OR(A3901="",B3901=""),"",B3901-WEEKDAY(B3901,2)+1)</f>
        <v/>
      </c>
      <c r="J3901" s="5">
        <f>IF(I3901="","",I3901+6)</f>
        <v/>
      </c>
      <c r="K3901" s="6">
        <f>IF(OR(A3901="",B3901=""),"",DATE(YEAR(B3901),MONTH(B3901),1))</f>
        <v/>
      </c>
      <c r="L3901" s="7">
        <f>IF(COUNTA(A3901,B3901)=0,"",IF(OR(A3901="",B3901=""),"Preencher CPF e entrada",IF(COUNTIFS($A$12:$A$5011,A3901,$B$12:$B$5011,B3901)&gt;1,"CPF + dia duplicado",IF(OR(AND(E3901&lt;&gt;"",E3901&lt;B3901),AND(F3901&lt;&gt;"",F3901&lt;B3901)),"Evento anterior à entrada",IF(AND(F3901&lt;&gt;"",E3901=""),"Conversa sem agendamento",IF(OR(E3901&gt;TODAY(),F3901&gt;TODAY()),"Verificar evento futuro","OK"))))))</f>
        <v/>
      </c>
    </row>
    <row r="3902" spans="9:12">
      <c r="I3902" s="5">
        <f>IF(OR(A3902="",B3902=""),"",B3902-WEEKDAY(B3902,2)+1)</f>
        <v/>
      </c>
      <c r="J3902" s="5">
        <f>IF(I3902="","",I3902+6)</f>
        <v/>
      </c>
      <c r="K3902" s="6">
        <f>IF(OR(A3902="",B3902=""),"",DATE(YEAR(B3902),MONTH(B3902),1))</f>
        <v/>
      </c>
      <c r="L3902" s="7">
        <f>IF(COUNTA(A3902,B3902)=0,"",IF(OR(A3902="",B3902=""),"Preencher CPF e entrada",IF(COUNTIFS($A$12:$A$5011,A3902,$B$12:$B$5011,B3902)&gt;1,"CPF + dia duplicado",IF(OR(AND(E3902&lt;&gt;"",E3902&lt;B3902),AND(F3902&lt;&gt;"",F3902&lt;B3902)),"Evento anterior à entrada",IF(AND(F3902&lt;&gt;"",E3902=""),"Conversa sem agendamento",IF(OR(E3902&gt;TODAY(),F3902&gt;TODAY()),"Verificar evento futuro","OK"))))))</f>
        <v/>
      </c>
    </row>
    <row r="3903" spans="9:12">
      <c r="I3903" s="5">
        <f>IF(OR(A3903="",B3903=""),"",B3903-WEEKDAY(B3903,2)+1)</f>
        <v/>
      </c>
      <c r="J3903" s="5">
        <f>IF(I3903="","",I3903+6)</f>
        <v/>
      </c>
      <c r="K3903" s="6">
        <f>IF(OR(A3903="",B3903=""),"",DATE(YEAR(B3903),MONTH(B3903),1))</f>
        <v/>
      </c>
      <c r="L3903" s="7">
        <f>IF(COUNTA(A3903,B3903)=0,"",IF(OR(A3903="",B3903=""),"Preencher CPF e entrada",IF(COUNTIFS($A$12:$A$5011,A3903,$B$12:$B$5011,B3903)&gt;1,"CPF + dia duplicado",IF(OR(AND(E3903&lt;&gt;"",E3903&lt;B3903),AND(F3903&lt;&gt;"",F3903&lt;B3903)),"Evento anterior à entrada",IF(AND(F3903&lt;&gt;"",E3903=""),"Conversa sem agendamento",IF(OR(E3903&gt;TODAY(),F3903&gt;TODAY()),"Verificar evento futuro","OK"))))))</f>
        <v/>
      </c>
    </row>
    <row r="3904" spans="9:12">
      <c r="I3904" s="5">
        <f>IF(OR(A3904="",B3904=""),"",B3904-WEEKDAY(B3904,2)+1)</f>
        <v/>
      </c>
      <c r="J3904" s="5">
        <f>IF(I3904="","",I3904+6)</f>
        <v/>
      </c>
      <c r="K3904" s="6">
        <f>IF(OR(A3904="",B3904=""),"",DATE(YEAR(B3904),MONTH(B3904),1))</f>
        <v/>
      </c>
      <c r="L3904" s="7">
        <f>IF(COUNTA(A3904,B3904)=0,"",IF(OR(A3904="",B3904=""),"Preencher CPF e entrada",IF(COUNTIFS($A$12:$A$5011,A3904,$B$12:$B$5011,B3904)&gt;1,"CPF + dia duplicado",IF(OR(AND(E3904&lt;&gt;"",E3904&lt;B3904),AND(F3904&lt;&gt;"",F3904&lt;B3904)),"Evento anterior à entrada",IF(AND(F3904&lt;&gt;"",E3904=""),"Conversa sem agendamento",IF(OR(E3904&gt;TODAY(),F3904&gt;TODAY()),"Verificar evento futuro","OK"))))))</f>
        <v/>
      </c>
    </row>
    <row r="3905" spans="9:12">
      <c r="I3905" s="5">
        <f>IF(OR(A3905="",B3905=""),"",B3905-WEEKDAY(B3905,2)+1)</f>
        <v/>
      </c>
      <c r="J3905" s="5">
        <f>IF(I3905="","",I3905+6)</f>
        <v/>
      </c>
      <c r="K3905" s="6">
        <f>IF(OR(A3905="",B3905=""),"",DATE(YEAR(B3905),MONTH(B3905),1))</f>
        <v/>
      </c>
      <c r="L3905" s="7">
        <f>IF(COUNTA(A3905,B3905)=0,"",IF(OR(A3905="",B3905=""),"Preencher CPF e entrada",IF(COUNTIFS($A$12:$A$5011,A3905,$B$12:$B$5011,B3905)&gt;1,"CPF + dia duplicado",IF(OR(AND(E3905&lt;&gt;"",E3905&lt;B3905),AND(F3905&lt;&gt;"",F3905&lt;B3905)),"Evento anterior à entrada",IF(AND(F3905&lt;&gt;"",E3905=""),"Conversa sem agendamento",IF(OR(E3905&gt;TODAY(),F3905&gt;TODAY()),"Verificar evento futuro","OK"))))))</f>
        <v/>
      </c>
    </row>
    <row r="3906" spans="9:12">
      <c r="I3906" s="5">
        <f>IF(OR(A3906="",B3906=""),"",B3906-WEEKDAY(B3906,2)+1)</f>
        <v/>
      </c>
      <c r="J3906" s="5">
        <f>IF(I3906="","",I3906+6)</f>
        <v/>
      </c>
      <c r="K3906" s="6">
        <f>IF(OR(A3906="",B3906=""),"",DATE(YEAR(B3906),MONTH(B3906),1))</f>
        <v/>
      </c>
      <c r="L3906" s="7">
        <f>IF(COUNTA(A3906,B3906)=0,"",IF(OR(A3906="",B3906=""),"Preencher CPF e entrada",IF(COUNTIFS($A$12:$A$5011,A3906,$B$12:$B$5011,B3906)&gt;1,"CPF + dia duplicado",IF(OR(AND(E3906&lt;&gt;"",E3906&lt;B3906),AND(F3906&lt;&gt;"",F3906&lt;B3906)),"Evento anterior à entrada",IF(AND(F3906&lt;&gt;"",E3906=""),"Conversa sem agendamento",IF(OR(E3906&gt;TODAY(),F3906&gt;TODAY()),"Verificar evento futuro","OK"))))))</f>
        <v/>
      </c>
    </row>
    <row r="3907" spans="9:12">
      <c r="I3907" s="5">
        <f>IF(OR(A3907="",B3907=""),"",B3907-WEEKDAY(B3907,2)+1)</f>
        <v/>
      </c>
      <c r="J3907" s="5">
        <f>IF(I3907="","",I3907+6)</f>
        <v/>
      </c>
      <c r="K3907" s="6">
        <f>IF(OR(A3907="",B3907=""),"",DATE(YEAR(B3907),MONTH(B3907),1))</f>
        <v/>
      </c>
      <c r="L3907" s="7">
        <f>IF(COUNTA(A3907,B3907)=0,"",IF(OR(A3907="",B3907=""),"Preencher CPF e entrada",IF(COUNTIFS($A$12:$A$5011,A3907,$B$12:$B$5011,B3907)&gt;1,"CPF + dia duplicado",IF(OR(AND(E3907&lt;&gt;"",E3907&lt;B3907),AND(F3907&lt;&gt;"",F3907&lt;B3907)),"Evento anterior à entrada",IF(AND(F3907&lt;&gt;"",E3907=""),"Conversa sem agendamento",IF(OR(E3907&gt;TODAY(),F3907&gt;TODAY()),"Verificar evento futuro","OK"))))))</f>
        <v/>
      </c>
    </row>
    <row r="3908" spans="9:12">
      <c r="I3908" s="5">
        <f>IF(OR(A3908="",B3908=""),"",B3908-WEEKDAY(B3908,2)+1)</f>
        <v/>
      </c>
      <c r="J3908" s="5">
        <f>IF(I3908="","",I3908+6)</f>
        <v/>
      </c>
      <c r="K3908" s="6">
        <f>IF(OR(A3908="",B3908=""),"",DATE(YEAR(B3908),MONTH(B3908),1))</f>
        <v/>
      </c>
      <c r="L3908" s="7">
        <f>IF(COUNTA(A3908,B3908)=0,"",IF(OR(A3908="",B3908=""),"Preencher CPF e entrada",IF(COUNTIFS($A$12:$A$5011,A3908,$B$12:$B$5011,B3908)&gt;1,"CPF + dia duplicado",IF(OR(AND(E3908&lt;&gt;"",E3908&lt;B3908),AND(F3908&lt;&gt;"",F3908&lt;B3908)),"Evento anterior à entrada",IF(AND(F3908&lt;&gt;"",E3908=""),"Conversa sem agendamento",IF(OR(E3908&gt;TODAY(),F3908&gt;TODAY()),"Verificar evento futuro","OK"))))))</f>
        <v/>
      </c>
    </row>
    <row r="3909" spans="9:12">
      <c r="I3909" s="5">
        <f>IF(OR(A3909="",B3909=""),"",B3909-WEEKDAY(B3909,2)+1)</f>
        <v/>
      </c>
      <c r="J3909" s="5">
        <f>IF(I3909="","",I3909+6)</f>
        <v/>
      </c>
      <c r="K3909" s="6">
        <f>IF(OR(A3909="",B3909=""),"",DATE(YEAR(B3909),MONTH(B3909),1))</f>
        <v/>
      </c>
      <c r="L3909" s="7">
        <f>IF(COUNTA(A3909,B3909)=0,"",IF(OR(A3909="",B3909=""),"Preencher CPF e entrada",IF(COUNTIFS($A$12:$A$5011,A3909,$B$12:$B$5011,B3909)&gt;1,"CPF + dia duplicado",IF(OR(AND(E3909&lt;&gt;"",E3909&lt;B3909),AND(F3909&lt;&gt;"",F3909&lt;B3909)),"Evento anterior à entrada",IF(AND(F3909&lt;&gt;"",E3909=""),"Conversa sem agendamento",IF(OR(E3909&gt;TODAY(),F3909&gt;TODAY()),"Verificar evento futuro","OK"))))))</f>
        <v/>
      </c>
    </row>
    <row r="3910" spans="9:12">
      <c r="I3910" s="5">
        <f>IF(OR(A3910="",B3910=""),"",B3910-WEEKDAY(B3910,2)+1)</f>
        <v/>
      </c>
      <c r="J3910" s="5">
        <f>IF(I3910="","",I3910+6)</f>
        <v/>
      </c>
      <c r="K3910" s="6">
        <f>IF(OR(A3910="",B3910=""),"",DATE(YEAR(B3910),MONTH(B3910),1))</f>
        <v/>
      </c>
      <c r="L3910" s="7">
        <f>IF(COUNTA(A3910,B3910)=0,"",IF(OR(A3910="",B3910=""),"Preencher CPF e entrada",IF(COUNTIFS($A$12:$A$5011,A3910,$B$12:$B$5011,B3910)&gt;1,"CPF + dia duplicado",IF(OR(AND(E3910&lt;&gt;"",E3910&lt;B3910),AND(F3910&lt;&gt;"",F3910&lt;B3910)),"Evento anterior à entrada",IF(AND(F3910&lt;&gt;"",E3910=""),"Conversa sem agendamento",IF(OR(E3910&gt;TODAY(),F3910&gt;TODAY()),"Verificar evento futuro","OK"))))))</f>
        <v/>
      </c>
    </row>
    <row r="3911" spans="9:12">
      <c r="I3911" s="5">
        <f>IF(OR(A3911="",B3911=""),"",B3911-WEEKDAY(B3911,2)+1)</f>
        <v/>
      </c>
      <c r="J3911" s="5">
        <f>IF(I3911="","",I3911+6)</f>
        <v/>
      </c>
      <c r="K3911" s="6">
        <f>IF(OR(A3911="",B3911=""),"",DATE(YEAR(B3911),MONTH(B3911),1))</f>
        <v/>
      </c>
      <c r="L3911" s="7">
        <f>IF(COUNTA(A3911,B3911)=0,"",IF(OR(A3911="",B3911=""),"Preencher CPF e entrada",IF(COUNTIFS($A$12:$A$5011,A3911,$B$12:$B$5011,B3911)&gt;1,"CPF + dia duplicado",IF(OR(AND(E3911&lt;&gt;"",E3911&lt;B3911),AND(F3911&lt;&gt;"",F3911&lt;B3911)),"Evento anterior à entrada",IF(AND(F3911&lt;&gt;"",E3911=""),"Conversa sem agendamento",IF(OR(E3911&gt;TODAY(),F3911&gt;TODAY()),"Verificar evento futuro","OK"))))))</f>
        <v/>
      </c>
    </row>
    <row r="3912" spans="9:12">
      <c r="I3912" s="5">
        <f>IF(OR(A3912="",B3912=""),"",B3912-WEEKDAY(B3912,2)+1)</f>
        <v/>
      </c>
      <c r="J3912" s="5">
        <f>IF(I3912="","",I3912+6)</f>
        <v/>
      </c>
      <c r="K3912" s="6">
        <f>IF(OR(A3912="",B3912=""),"",DATE(YEAR(B3912),MONTH(B3912),1))</f>
        <v/>
      </c>
      <c r="L3912" s="7">
        <f>IF(COUNTA(A3912,B3912)=0,"",IF(OR(A3912="",B3912=""),"Preencher CPF e entrada",IF(COUNTIFS($A$12:$A$5011,A3912,$B$12:$B$5011,B3912)&gt;1,"CPF + dia duplicado",IF(OR(AND(E3912&lt;&gt;"",E3912&lt;B3912),AND(F3912&lt;&gt;"",F3912&lt;B3912)),"Evento anterior à entrada",IF(AND(F3912&lt;&gt;"",E3912=""),"Conversa sem agendamento",IF(OR(E3912&gt;TODAY(),F3912&gt;TODAY()),"Verificar evento futuro","OK"))))))</f>
        <v/>
      </c>
    </row>
    <row r="3913" spans="9:12">
      <c r="I3913" s="5">
        <f>IF(OR(A3913="",B3913=""),"",B3913-WEEKDAY(B3913,2)+1)</f>
        <v/>
      </c>
      <c r="J3913" s="5">
        <f>IF(I3913="","",I3913+6)</f>
        <v/>
      </c>
      <c r="K3913" s="6">
        <f>IF(OR(A3913="",B3913=""),"",DATE(YEAR(B3913),MONTH(B3913),1))</f>
        <v/>
      </c>
      <c r="L3913" s="7">
        <f>IF(COUNTA(A3913,B3913)=0,"",IF(OR(A3913="",B3913=""),"Preencher CPF e entrada",IF(COUNTIFS($A$12:$A$5011,A3913,$B$12:$B$5011,B3913)&gt;1,"CPF + dia duplicado",IF(OR(AND(E3913&lt;&gt;"",E3913&lt;B3913),AND(F3913&lt;&gt;"",F3913&lt;B3913)),"Evento anterior à entrada",IF(AND(F3913&lt;&gt;"",E3913=""),"Conversa sem agendamento",IF(OR(E3913&gt;TODAY(),F3913&gt;TODAY()),"Verificar evento futuro","OK"))))))</f>
        <v/>
      </c>
    </row>
    <row r="3914" spans="9:12">
      <c r="I3914" s="5">
        <f>IF(OR(A3914="",B3914=""),"",B3914-WEEKDAY(B3914,2)+1)</f>
        <v/>
      </c>
      <c r="J3914" s="5">
        <f>IF(I3914="","",I3914+6)</f>
        <v/>
      </c>
      <c r="K3914" s="6">
        <f>IF(OR(A3914="",B3914=""),"",DATE(YEAR(B3914),MONTH(B3914),1))</f>
        <v/>
      </c>
      <c r="L3914" s="7">
        <f>IF(COUNTA(A3914,B3914)=0,"",IF(OR(A3914="",B3914=""),"Preencher CPF e entrada",IF(COUNTIFS($A$12:$A$5011,A3914,$B$12:$B$5011,B3914)&gt;1,"CPF + dia duplicado",IF(OR(AND(E3914&lt;&gt;"",E3914&lt;B3914),AND(F3914&lt;&gt;"",F3914&lt;B3914)),"Evento anterior à entrada",IF(AND(F3914&lt;&gt;"",E3914=""),"Conversa sem agendamento",IF(OR(E3914&gt;TODAY(),F3914&gt;TODAY()),"Verificar evento futuro","OK"))))))</f>
        <v/>
      </c>
    </row>
    <row r="3915" spans="9:12">
      <c r="I3915" s="5">
        <f>IF(OR(A3915="",B3915=""),"",B3915-WEEKDAY(B3915,2)+1)</f>
        <v/>
      </c>
      <c r="J3915" s="5">
        <f>IF(I3915="","",I3915+6)</f>
        <v/>
      </c>
      <c r="K3915" s="6">
        <f>IF(OR(A3915="",B3915=""),"",DATE(YEAR(B3915),MONTH(B3915),1))</f>
        <v/>
      </c>
      <c r="L3915" s="7">
        <f>IF(COUNTA(A3915,B3915)=0,"",IF(OR(A3915="",B3915=""),"Preencher CPF e entrada",IF(COUNTIFS($A$12:$A$5011,A3915,$B$12:$B$5011,B3915)&gt;1,"CPF + dia duplicado",IF(OR(AND(E3915&lt;&gt;"",E3915&lt;B3915),AND(F3915&lt;&gt;"",F3915&lt;B3915)),"Evento anterior à entrada",IF(AND(F3915&lt;&gt;"",E3915=""),"Conversa sem agendamento",IF(OR(E3915&gt;TODAY(),F3915&gt;TODAY()),"Verificar evento futuro","OK"))))))</f>
        <v/>
      </c>
    </row>
    <row r="3916" spans="9:12">
      <c r="I3916" s="5">
        <f>IF(OR(A3916="",B3916=""),"",B3916-WEEKDAY(B3916,2)+1)</f>
        <v/>
      </c>
      <c r="J3916" s="5">
        <f>IF(I3916="","",I3916+6)</f>
        <v/>
      </c>
      <c r="K3916" s="6">
        <f>IF(OR(A3916="",B3916=""),"",DATE(YEAR(B3916),MONTH(B3916),1))</f>
        <v/>
      </c>
      <c r="L3916" s="7">
        <f>IF(COUNTA(A3916,B3916)=0,"",IF(OR(A3916="",B3916=""),"Preencher CPF e entrada",IF(COUNTIFS($A$12:$A$5011,A3916,$B$12:$B$5011,B3916)&gt;1,"CPF + dia duplicado",IF(OR(AND(E3916&lt;&gt;"",E3916&lt;B3916),AND(F3916&lt;&gt;"",F3916&lt;B3916)),"Evento anterior à entrada",IF(AND(F3916&lt;&gt;"",E3916=""),"Conversa sem agendamento",IF(OR(E3916&gt;TODAY(),F3916&gt;TODAY()),"Verificar evento futuro","OK"))))))</f>
        <v/>
      </c>
    </row>
    <row r="3917" spans="9:12">
      <c r="I3917" s="5">
        <f>IF(OR(A3917="",B3917=""),"",B3917-WEEKDAY(B3917,2)+1)</f>
        <v/>
      </c>
      <c r="J3917" s="5">
        <f>IF(I3917="","",I3917+6)</f>
        <v/>
      </c>
      <c r="K3917" s="6">
        <f>IF(OR(A3917="",B3917=""),"",DATE(YEAR(B3917),MONTH(B3917),1))</f>
        <v/>
      </c>
      <c r="L3917" s="7">
        <f>IF(COUNTA(A3917,B3917)=0,"",IF(OR(A3917="",B3917=""),"Preencher CPF e entrada",IF(COUNTIFS($A$12:$A$5011,A3917,$B$12:$B$5011,B3917)&gt;1,"CPF + dia duplicado",IF(OR(AND(E3917&lt;&gt;"",E3917&lt;B3917),AND(F3917&lt;&gt;"",F3917&lt;B3917)),"Evento anterior à entrada",IF(AND(F3917&lt;&gt;"",E3917=""),"Conversa sem agendamento",IF(OR(E3917&gt;TODAY(),F3917&gt;TODAY()),"Verificar evento futuro","OK"))))))</f>
        <v/>
      </c>
    </row>
    <row r="3918" spans="9:12">
      <c r="I3918" s="5">
        <f>IF(OR(A3918="",B3918=""),"",B3918-WEEKDAY(B3918,2)+1)</f>
        <v/>
      </c>
      <c r="J3918" s="5">
        <f>IF(I3918="","",I3918+6)</f>
        <v/>
      </c>
      <c r="K3918" s="6">
        <f>IF(OR(A3918="",B3918=""),"",DATE(YEAR(B3918),MONTH(B3918),1))</f>
        <v/>
      </c>
      <c r="L3918" s="7">
        <f>IF(COUNTA(A3918,B3918)=0,"",IF(OR(A3918="",B3918=""),"Preencher CPF e entrada",IF(COUNTIFS($A$12:$A$5011,A3918,$B$12:$B$5011,B3918)&gt;1,"CPF + dia duplicado",IF(OR(AND(E3918&lt;&gt;"",E3918&lt;B3918),AND(F3918&lt;&gt;"",F3918&lt;B3918)),"Evento anterior à entrada",IF(AND(F3918&lt;&gt;"",E3918=""),"Conversa sem agendamento",IF(OR(E3918&gt;TODAY(),F3918&gt;TODAY()),"Verificar evento futuro","OK"))))))</f>
        <v/>
      </c>
    </row>
    <row r="3919" spans="9:12">
      <c r="I3919" s="5">
        <f>IF(OR(A3919="",B3919=""),"",B3919-WEEKDAY(B3919,2)+1)</f>
        <v/>
      </c>
      <c r="J3919" s="5">
        <f>IF(I3919="","",I3919+6)</f>
        <v/>
      </c>
      <c r="K3919" s="6">
        <f>IF(OR(A3919="",B3919=""),"",DATE(YEAR(B3919),MONTH(B3919),1))</f>
        <v/>
      </c>
      <c r="L3919" s="7">
        <f>IF(COUNTA(A3919,B3919)=0,"",IF(OR(A3919="",B3919=""),"Preencher CPF e entrada",IF(COUNTIFS($A$12:$A$5011,A3919,$B$12:$B$5011,B3919)&gt;1,"CPF + dia duplicado",IF(OR(AND(E3919&lt;&gt;"",E3919&lt;B3919),AND(F3919&lt;&gt;"",F3919&lt;B3919)),"Evento anterior à entrada",IF(AND(F3919&lt;&gt;"",E3919=""),"Conversa sem agendamento",IF(OR(E3919&gt;TODAY(),F3919&gt;TODAY()),"Verificar evento futuro","OK"))))))</f>
        <v/>
      </c>
    </row>
    <row r="3920" spans="9:12">
      <c r="I3920" s="5">
        <f>IF(OR(A3920="",B3920=""),"",B3920-WEEKDAY(B3920,2)+1)</f>
        <v/>
      </c>
      <c r="J3920" s="5">
        <f>IF(I3920="","",I3920+6)</f>
        <v/>
      </c>
      <c r="K3920" s="6">
        <f>IF(OR(A3920="",B3920=""),"",DATE(YEAR(B3920),MONTH(B3920),1))</f>
        <v/>
      </c>
      <c r="L3920" s="7">
        <f>IF(COUNTA(A3920,B3920)=0,"",IF(OR(A3920="",B3920=""),"Preencher CPF e entrada",IF(COUNTIFS($A$12:$A$5011,A3920,$B$12:$B$5011,B3920)&gt;1,"CPF + dia duplicado",IF(OR(AND(E3920&lt;&gt;"",E3920&lt;B3920),AND(F3920&lt;&gt;"",F3920&lt;B3920)),"Evento anterior à entrada",IF(AND(F3920&lt;&gt;"",E3920=""),"Conversa sem agendamento",IF(OR(E3920&gt;TODAY(),F3920&gt;TODAY()),"Verificar evento futuro","OK"))))))</f>
        <v/>
      </c>
    </row>
    <row r="3921" spans="9:12">
      <c r="I3921" s="5">
        <f>IF(OR(A3921="",B3921=""),"",B3921-WEEKDAY(B3921,2)+1)</f>
        <v/>
      </c>
      <c r="J3921" s="5">
        <f>IF(I3921="","",I3921+6)</f>
        <v/>
      </c>
      <c r="K3921" s="6">
        <f>IF(OR(A3921="",B3921=""),"",DATE(YEAR(B3921),MONTH(B3921),1))</f>
        <v/>
      </c>
      <c r="L3921" s="7">
        <f>IF(COUNTA(A3921,B3921)=0,"",IF(OR(A3921="",B3921=""),"Preencher CPF e entrada",IF(COUNTIFS($A$12:$A$5011,A3921,$B$12:$B$5011,B3921)&gt;1,"CPF + dia duplicado",IF(OR(AND(E3921&lt;&gt;"",E3921&lt;B3921),AND(F3921&lt;&gt;"",F3921&lt;B3921)),"Evento anterior à entrada",IF(AND(F3921&lt;&gt;"",E3921=""),"Conversa sem agendamento",IF(OR(E3921&gt;TODAY(),F3921&gt;TODAY()),"Verificar evento futuro","OK"))))))</f>
        <v/>
      </c>
    </row>
    <row r="3922" spans="9:12">
      <c r="I3922" s="5">
        <f>IF(OR(A3922="",B3922=""),"",B3922-WEEKDAY(B3922,2)+1)</f>
        <v/>
      </c>
      <c r="J3922" s="5">
        <f>IF(I3922="","",I3922+6)</f>
        <v/>
      </c>
      <c r="K3922" s="6">
        <f>IF(OR(A3922="",B3922=""),"",DATE(YEAR(B3922),MONTH(B3922),1))</f>
        <v/>
      </c>
      <c r="L3922" s="7">
        <f>IF(COUNTA(A3922,B3922)=0,"",IF(OR(A3922="",B3922=""),"Preencher CPF e entrada",IF(COUNTIFS($A$12:$A$5011,A3922,$B$12:$B$5011,B3922)&gt;1,"CPF + dia duplicado",IF(OR(AND(E3922&lt;&gt;"",E3922&lt;B3922),AND(F3922&lt;&gt;"",F3922&lt;B3922)),"Evento anterior à entrada",IF(AND(F3922&lt;&gt;"",E3922=""),"Conversa sem agendamento",IF(OR(E3922&gt;TODAY(),F3922&gt;TODAY()),"Verificar evento futuro","OK"))))))</f>
        <v/>
      </c>
    </row>
    <row r="3923" spans="9:12">
      <c r="I3923" s="5">
        <f>IF(OR(A3923="",B3923=""),"",B3923-WEEKDAY(B3923,2)+1)</f>
        <v/>
      </c>
      <c r="J3923" s="5">
        <f>IF(I3923="","",I3923+6)</f>
        <v/>
      </c>
      <c r="K3923" s="6">
        <f>IF(OR(A3923="",B3923=""),"",DATE(YEAR(B3923),MONTH(B3923),1))</f>
        <v/>
      </c>
      <c r="L3923" s="7">
        <f>IF(COUNTA(A3923,B3923)=0,"",IF(OR(A3923="",B3923=""),"Preencher CPF e entrada",IF(COUNTIFS($A$12:$A$5011,A3923,$B$12:$B$5011,B3923)&gt;1,"CPF + dia duplicado",IF(OR(AND(E3923&lt;&gt;"",E3923&lt;B3923),AND(F3923&lt;&gt;"",F3923&lt;B3923)),"Evento anterior à entrada",IF(AND(F3923&lt;&gt;"",E3923=""),"Conversa sem agendamento",IF(OR(E3923&gt;TODAY(),F3923&gt;TODAY()),"Verificar evento futuro","OK"))))))</f>
        <v/>
      </c>
    </row>
    <row r="3924" spans="9:12">
      <c r="I3924" s="5">
        <f>IF(OR(A3924="",B3924=""),"",B3924-WEEKDAY(B3924,2)+1)</f>
        <v/>
      </c>
      <c r="J3924" s="5">
        <f>IF(I3924="","",I3924+6)</f>
        <v/>
      </c>
      <c r="K3924" s="6">
        <f>IF(OR(A3924="",B3924=""),"",DATE(YEAR(B3924),MONTH(B3924),1))</f>
        <v/>
      </c>
      <c r="L3924" s="7">
        <f>IF(COUNTA(A3924,B3924)=0,"",IF(OR(A3924="",B3924=""),"Preencher CPF e entrada",IF(COUNTIFS($A$12:$A$5011,A3924,$B$12:$B$5011,B3924)&gt;1,"CPF + dia duplicado",IF(OR(AND(E3924&lt;&gt;"",E3924&lt;B3924),AND(F3924&lt;&gt;"",F3924&lt;B3924)),"Evento anterior à entrada",IF(AND(F3924&lt;&gt;"",E3924=""),"Conversa sem agendamento",IF(OR(E3924&gt;TODAY(),F3924&gt;TODAY()),"Verificar evento futuro","OK"))))))</f>
        <v/>
      </c>
    </row>
    <row r="3925" spans="9:12">
      <c r="I3925" s="5">
        <f>IF(OR(A3925="",B3925=""),"",B3925-WEEKDAY(B3925,2)+1)</f>
        <v/>
      </c>
      <c r="J3925" s="5">
        <f>IF(I3925="","",I3925+6)</f>
        <v/>
      </c>
      <c r="K3925" s="6">
        <f>IF(OR(A3925="",B3925=""),"",DATE(YEAR(B3925),MONTH(B3925),1))</f>
        <v/>
      </c>
      <c r="L3925" s="7">
        <f>IF(COUNTA(A3925,B3925)=0,"",IF(OR(A3925="",B3925=""),"Preencher CPF e entrada",IF(COUNTIFS($A$12:$A$5011,A3925,$B$12:$B$5011,B3925)&gt;1,"CPF + dia duplicado",IF(OR(AND(E3925&lt;&gt;"",E3925&lt;B3925),AND(F3925&lt;&gt;"",F3925&lt;B3925)),"Evento anterior à entrada",IF(AND(F3925&lt;&gt;"",E3925=""),"Conversa sem agendamento",IF(OR(E3925&gt;TODAY(),F3925&gt;TODAY()),"Verificar evento futuro","OK"))))))</f>
        <v/>
      </c>
    </row>
    <row r="3926" spans="9:12">
      <c r="I3926" s="5">
        <f>IF(OR(A3926="",B3926=""),"",B3926-WEEKDAY(B3926,2)+1)</f>
        <v/>
      </c>
      <c r="J3926" s="5">
        <f>IF(I3926="","",I3926+6)</f>
        <v/>
      </c>
      <c r="K3926" s="6">
        <f>IF(OR(A3926="",B3926=""),"",DATE(YEAR(B3926),MONTH(B3926),1))</f>
        <v/>
      </c>
      <c r="L3926" s="7">
        <f>IF(COUNTA(A3926,B3926)=0,"",IF(OR(A3926="",B3926=""),"Preencher CPF e entrada",IF(COUNTIFS($A$12:$A$5011,A3926,$B$12:$B$5011,B3926)&gt;1,"CPF + dia duplicado",IF(OR(AND(E3926&lt;&gt;"",E3926&lt;B3926),AND(F3926&lt;&gt;"",F3926&lt;B3926)),"Evento anterior à entrada",IF(AND(F3926&lt;&gt;"",E3926=""),"Conversa sem agendamento",IF(OR(E3926&gt;TODAY(),F3926&gt;TODAY()),"Verificar evento futuro","OK"))))))</f>
        <v/>
      </c>
    </row>
    <row r="3927" spans="9:12">
      <c r="I3927" s="5">
        <f>IF(OR(A3927="",B3927=""),"",B3927-WEEKDAY(B3927,2)+1)</f>
        <v/>
      </c>
      <c r="J3927" s="5">
        <f>IF(I3927="","",I3927+6)</f>
        <v/>
      </c>
      <c r="K3927" s="6">
        <f>IF(OR(A3927="",B3927=""),"",DATE(YEAR(B3927),MONTH(B3927),1))</f>
        <v/>
      </c>
      <c r="L3927" s="7">
        <f>IF(COUNTA(A3927,B3927)=0,"",IF(OR(A3927="",B3927=""),"Preencher CPF e entrada",IF(COUNTIFS($A$12:$A$5011,A3927,$B$12:$B$5011,B3927)&gt;1,"CPF + dia duplicado",IF(OR(AND(E3927&lt;&gt;"",E3927&lt;B3927),AND(F3927&lt;&gt;"",F3927&lt;B3927)),"Evento anterior à entrada",IF(AND(F3927&lt;&gt;"",E3927=""),"Conversa sem agendamento",IF(OR(E3927&gt;TODAY(),F3927&gt;TODAY()),"Verificar evento futuro","OK"))))))</f>
        <v/>
      </c>
    </row>
    <row r="3928" spans="9:12">
      <c r="I3928" s="5">
        <f>IF(OR(A3928="",B3928=""),"",B3928-WEEKDAY(B3928,2)+1)</f>
        <v/>
      </c>
      <c r="J3928" s="5">
        <f>IF(I3928="","",I3928+6)</f>
        <v/>
      </c>
      <c r="K3928" s="6">
        <f>IF(OR(A3928="",B3928=""),"",DATE(YEAR(B3928),MONTH(B3928),1))</f>
        <v/>
      </c>
      <c r="L3928" s="7">
        <f>IF(COUNTA(A3928,B3928)=0,"",IF(OR(A3928="",B3928=""),"Preencher CPF e entrada",IF(COUNTIFS($A$12:$A$5011,A3928,$B$12:$B$5011,B3928)&gt;1,"CPF + dia duplicado",IF(OR(AND(E3928&lt;&gt;"",E3928&lt;B3928),AND(F3928&lt;&gt;"",F3928&lt;B3928)),"Evento anterior à entrada",IF(AND(F3928&lt;&gt;"",E3928=""),"Conversa sem agendamento",IF(OR(E3928&gt;TODAY(),F3928&gt;TODAY()),"Verificar evento futuro","OK"))))))</f>
        <v/>
      </c>
    </row>
    <row r="3929" spans="9:12">
      <c r="I3929" s="5">
        <f>IF(OR(A3929="",B3929=""),"",B3929-WEEKDAY(B3929,2)+1)</f>
        <v/>
      </c>
      <c r="J3929" s="5">
        <f>IF(I3929="","",I3929+6)</f>
        <v/>
      </c>
      <c r="K3929" s="6">
        <f>IF(OR(A3929="",B3929=""),"",DATE(YEAR(B3929),MONTH(B3929),1))</f>
        <v/>
      </c>
      <c r="L3929" s="7">
        <f>IF(COUNTA(A3929,B3929)=0,"",IF(OR(A3929="",B3929=""),"Preencher CPF e entrada",IF(COUNTIFS($A$12:$A$5011,A3929,$B$12:$B$5011,B3929)&gt;1,"CPF + dia duplicado",IF(OR(AND(E3929&lt;&gt;"",E3929&lt;B3929),AND(F3929&lt;&gt;"",F3929&lt;B3929)),"Evento anterior à entrada",IF(AND(F3929&lt;&gt;"",E3929=""),"Conversa sem agendamento",IF(OR(E3929&gt;TODAY(),F3929&gt;TODAY()),"Verificar evento futuro","OK"))))))</f>
        <v/>
      </c>
    </row>
    <row r="3930" spans="9:12">
      <c r="I3930" s="5">
        <f>IF(OR(A3930="",B3930=""),"",B3930-WEEKDAY(B3930,2)+1)</f>
        <v/>
      </c>
      <c r="J3930" s="5">
        <f>IF(I3930="","",I3930+6)</f>
        <v/>
      </c>
      <c r="K3930" s="6">
        <f>IF(OR(A3930="",B3930=""),"",DATE(YEAR(B3930),MONTH(B3930),1))</f>
        <v/>
      </c>
      <c r="L3930" s="7">
        <f>IF(COUNTA(A3930,B3930)=0,"",IF(OR(A3930="",B3930=""),"Preencher CPF e entrada",IF(COUNTIFS($A$12:$A$5011,A3930,$B$12:$B$5011,B3930)&gt;1,"CPF + dia duplicado",IF(OR(AND(E3930&lt;&gt;"",E3930&lt;B3930),AND(F3930&lt;&gt;"",F3930&lt;B3930)),"Evento anterior à entrada",IF(AND(F3930&lt;&gt;"",E3930=""),"Conversa sem agendamento",IF(OR(E3930&gt;TODAY(),F3930&gt;TODAY()),"Verificar evento futuro","OK"))))))</f>
        <v/>
      </c>
    </row>
    <row r="3931" spans="9:12">
      <c r="I3931" s="5">
        <f>IF(OR(A3931="",B3931=""),"",B3931-WEEKDAY(B3931,2)+1)</f>
        <v/>
      </c>
      <c r="J3931" s="5">
        <f>IF(I3931="","",I3931+6)</f>
        <v/>
      </c>
      <c r="K3931" s="6">
        <f>IF(OR(A3931="",B3931=""),"",DATE(YEAR(B3931),MONTH(B3931),1))</f>
        <v/>
      </c>
      <c r="L3931" s="7">
        <f>IF(COUNTA(A3931,B3931)=0,"",IF(OR(A3931="",B3931=""),"Preencher CPF e entrada",IF(COUNTIFS($A$12:$A$5011,A3931,$B$12:$B$5011,B3931)&gt;1,"CPF + dia duplicado",IF(OR(AND(E3931&lt;&gt;"",E3931&lt;B3931),AND(F3931&lt;&gt;"",F3931&lt;B3931)),"Evento anterior à entrada",IF(AND(F3931&lt;&gt;"",E3931=""),"Conversa sem agendamento",IF(OR(E3931&gt;TODAY(),F3931&gt;TODAY()),"Verificar evento futuro","OK"))))))</f>
        <v/>
      </c>
    </row>
    <row r="3932" spans="9:12">
      <c r="I3932" s="5">
        <f>IF(OR(A3932="",B3932=""),"",B3932-WEEKDAY(B3932,2)+1)</f>
        <v/>
      </c>
      <c r="J3932" s="5">
        <f>IF(I3932="","",I3932+6)</f>
        <v/>
      </c>
      <c r="K3932" s="6">
        <f>IF(OR(A3932="",B3932=""),"",DATE(YEAR(B3932),MONTH(B3932),1))</f>
        <v/>
      </c>
      <c r="L3932" s="7">
        <f>IF(COUNTA(A3932,B3932)=0,"",IF(OR(A3932="",B3932=""),"Preencher CPF e entrada",IF(COUNTIFS($A$12:$A$5011,A3932,$B$12:$B$5011,B3932)&gt;1,"CPF + dia duplicado",IF(OR(AND(E3932&lt;&gt;"",E3932&lt;B3932),AND(F3932&lt;&gt;"",F3932&lt;B3932)),"Evento anterior à entrada",IF(AND(F3932&lt;&gt;"",E3932=""),"Conversa sem agendamento",IF(OR(E3932&gt;TODAY(),F3932&gt;TODAY()),"Verificar evento futuro","OK"))))))</f>
        <v/>
      </c>
    </row>
    <row r="3933" spans="9:12">
      <c r="I3933" s="5">
        <f>IF(OR(A3933="",B3933=""),"",B3933-WEEKDAY(B3933,2)+1)</f>
        <v/>
      </c>
      <c r="J3933" s="5">
        <f>IF(I3933="","",I3933+6)</f>
        <v/>
      </c>
      <c r="K3933" s="6">
        <f>IF(OR(A3933="",B3933=""),"",DATE(YEAR(B3933),MONTH(B3933),1))</f>
        <v/>
      </c>
      <c r="L3933" s="7">
        <f>IF(COUNTA(A3933,B3933)=0,"",IF(OR(A3933="",B3933=""),"Preencher CPF e entrada",IF(COUNTIFS($A$12:$A$5011,A3933,$B$12:$B$5011,B3933)&gt;1,"CPF + dia duplicado",IF(OR(AND(E3933&lt;&gt;"",E3933&lt;B3933),AND(F3933&lt;&gt;"",F3933&lt;B3933)),"Evento anterior à entrada",IF(AND(F3933&lt;&gt;"",E3933=""),"Conversa sem agendamento",IF(OR(E3933&gt;TODAY(),F3933&gt;TODAY()),"Verificar evento futuro","OK"))))))</f>
        <v/>
      </c>
    </row>
    <row r="3934" spans="9:12">
      <c r="I3934" s="5">
        <f>IF(OR(A3934="",B3934=""),"",B3934-WEEKDAY(B3934,2)+1)</f>
        <v/>
      </c>
      <c r="J3934" s="5">
        <f>IF(I3934="","",I3934+6)</f>
        <v/>
      </c>
      <c r="K3934" s="6">
        <f>IF(OR(A3934="",B3934=""),"",DATE(YEAR(B3934),MONTH(B3934),1))</f>
        <v/>
      </c>
      <c r="L3934" s="7">
        <f>IF(COUNTA(A3934,B3934)=0,"",IF(OR(A3934="",B3934=""),"Preencher CPF e entrada",IF(COUNTIFS($A$12:$A$5011,A3934,$B$12:$B$5011,B3934)&gt;1,"CPF + dia duplicado",IF(OR(AND(E3934&lt;&gt;"",E3934&lt;B3934),AND(F3934&lt;&gt;"",F3934&lt;B3934)),"Evento anterior à entrada",IF(AND(F3934&lt;&gt;"",E3934=""),"Conversa sem agendamento",IF(OR(E3934&gt;TODAY(),F3934&gt;TODAY()),"Verificar evento futuro","OK"))))))</f>
        <v/>
      </c>
    </row>
    <row r="3935" spans="9:12">
      <c r="I3935" s="5">
        <f>IF(OR(A3935="",B3935=""),"",B3935-WEEKDAY(B3935,2)+1)</f>
        <v/>
      </c>
      <c r="J3935" s="5">
        <f>IF(I3935="","",I3935+6)</f>
        <v/>
      </c>
      <c r="K3935" s="6">
        <f>IF(OR(A3935="",B3935=""),"",DATE(YEAR(B3935),MONTH(B3935),1))</f>
        <v/>
      </c>
      <c r="L3935" s="7">
        <f>IF(COUNTA(A3935,B3935)=0,"",IF(OR(A3935="",B3935=""),"Preencher CPF e entrada",IF(COUNTIFS($A$12:$A$5011,A3935,$B$12:$B$5011,B3935)&gt;1,"CPF + dia duplicado",IF(OR(AND(E3935&lt;&gt;"",E3935&lt;B3935),AND(F3935&lt;&gt;"",F3935&lt;B3935)),"Evento anterior à entrada",IF(AND(F3935&lt;&gt;"",E3935=""),"Conversa sem agendamento",IF(OR(E3935&gt;TODAY(),F3935&gt;TODAY()),"Verificar evento futuro","OK"))))))</f>
        <v/>
      </c>
    </row>
    <row r="3936" spans="9:12">
      <c r="I3936" s="5">
        <f>IF(OR(A3936="",B3936=""),"",B3936-WEEKDAY(B3936,2)+1)</f>
        <v/>
      </c>
      <c r="J3936" s="5">
        <f>IF(I3936="","",I3936+6)</f>
        <v/>
      </c>
      <c r="K3936" s="6">
        <f>IF(OR(A3936="",B3936=""),"",DATE(YEAR(B3936),MONTH(B3936),1))</f>
        <v/>
      </c>
      <c r="L3936" s="7">
        <f>IF(COUNTA(A3936,B3936)=0,"",IF(OR(A3936="",B3936=""),"Preencher CPF e entrada",IF(COUNTIFS($A$12:$A$5011,A3936,$B$12:$B$5011,B3936)&gt;1,"CPF + dia duplicado",IF(OR(AND(E3936&lt;&gt;"",E3936&lt;B3936),AND(F3936&lt;&gt;"",F3936&lt;B3936)),"Evento anterior à entrada",IF(AND(F3936&lt;&gt;"",E3936=""),"Conversa sem agendamento",IF(OR(E3936&gt;TODAY(),F3936&gt;TODAY()),"Verificar evento futuro","OK"))))))</f>
        <v/>
      </c>
    </row>
    <row r="3937" spans="9:12">
      <c r="I3937" s="5">
        <f>IF(OR(A3937="",B3937=""),"",B3937-WEEKDAY(B3937,2)+1)</f>
        <v/>
      </c>
      <c r="J3937" s="5">
        <f>IF(I3937="","",I3937+6)</f>
        <v/>
      </c>
      <c r="K3937" s="6">
        <f>IF(OR(A3937="",B3937=""),"",DATE(YEAR(B3937),MONTH(B3937),1))</f>
        <v/>
      </c>
      <c r="L3937" s="7">
        <f>IF(COUNTA(A3937,B3937)=0,"",IF(OR(A3937="",B3937=""),"Preencher CPF e entrada",IF(COUNTIFS($A$12:$A$5011,A3937,$B$12:$B$5011,B3937)&gt;1,"CPF + dia duplicado",IF(OR(AND(E3937&lt;&gt;"",E3937&lt;B3937),AND(F3937&lt;&gt;"",F3937&lt;B3937)),"Evento anterior à entrada",IF(AND(F3937&lt;&gt;"",E3937=""),"Conversa sem agendamento",IF(OR(E3937&gt;TODAY(),F3937&gt;TODAY()),"Verificar evento futuro","OK"))))))</f>
        <v/>
      </c>
    </row>
    <row r="3938" spans="9:12">
      <c r="I3938" s="5">
        <f>IF(OR(A3938="",B3938=""),"",B3938-WEEKDAY(B3938,2)+1)</f>
        <v/>
      </c>
      <c r="J3938" s="5">
        <f>IF(I3938="","",I3938+6)</f>
        <v/>
      </c>
      <c r="K3938" s="6">
        <f>IF(OR(A3938="",B3938=""),"",DATE(YEAR(B3938),MONTH(B3938),1))</f>
        <v/>
      </c>
      <c r="L3938" s="7">
        <f>IF(COUNTA(A3938,B3938)=0,"",IF(OR(A3938="",B3938=""),"Preencher CPF e entrada",IF(COUNTIFS($A$12:$A$5011,A3938,$B$12:$B$5011,B3938)&gt;1,"CPF + dia duplicado",IF(OR(AND(E3938&lt;&gt;"",E3938&lt;B3938),AND(F3938&lt;&gt;"",F3938&lt;B3938)),"Evento anterior à entrada",IF(AND(F3938&lt;&gt;"",E3938=""),"Conversa sem agendamento",IF(OR(E3938&gt;TODAY(),F3938&gt;TODAY()),"Verificar evento futuro","OK"))))))</f>
        <v/>
      </c>
    </row>
    <row r="3939" spans="9:12">
      <c r="I3939" s="5">
        <f>IF(OR(A3939="",B3939=""),"",B3939-WEEKDAY(B3939,2)+1)</f>
        <v/>
      </c>
      <c r="J3939" s="5">
        <f>IF(I3939="","",I3939+6)</f>
        <v/>
      </c>
      <c r="K3939" s="6">
        <f>IF(OR(A3939="",B3939=""),"",DATE(YEAR(B3939),MONTH(B3939),1))</f>
        <v/>
      </c>
      <c r="L3939" s="7">
        <f>IF(COUNTA(A3939,B3939)=0,"",IF(OR(A3939="",B3939=""),"Preencher CPF e entrada",IF(COUNTIFS($A$12:$A$5011,A3939,$B$12:$B$5011,B3939)&gt;1,"CPF + dia duplicado",IF(OR(AND(E3939&lt;&gt;"",E3939&lt;B3939),AND(F3939&lt;&gt;"",F3939&lt;B3939)),"Evento anterior à entrada",IF(AND(F3939&lt;&gt;"",E3939=""),"Conversa sem agendamento",IF(OR(E3939&gt;TODAY(),F3939&gt;TODAY()),"Verificar evento futuro","OK"))))))</f>
        <v/>
      </c>
    </row>
    <row r="3940" spans="9:12">
      <c r="I3940" s="5">
        <f>IF(OR(A3940="",B3940=""),"",B3940-WEEKDAY(B3940,2)+1)</f>
        <v/>
      </c>
      <c r="J3940" s="5">
        <f>IF(I3940="","",I3940+6)</f>
        <v/>
      </c>
      <c r="K3940" s="6">
        <f>IF(OR(A3940="",B3940=""),"",DATE(YEAR(B3940),MONTH(B3940),1))</f>
        <v/>
      </c>
      <c r="L3940" s="7">
        <f>IF(COUNTA(A3940,B3940)=0,"",IF(OR(A3940="",B3940=""),"Preencher CPF e entrada",IF(COUNTIFS($A$12:$A$5011,A3940,$B$12:$B$5011,B3940)&gt;1,"CPF + dia duplicado",IF(OR(AND(E3940&lt;&gt;"",E3940&lt;B3940),AND(F3940&lt;&gt;"",F3940&lt;B3940)),"Evento anterior à entrada",IF(AND(F3940&lt;&gt;"",E3940=""),"Conversa sem agendamento",IF(OR(E3940&gt;TODAY(),F3940&gt;TODAY()),"Verificar evento futuro","OK"))))))</f>
        <v/>
      </c>
    </row>
    <row r="3941" spans="9:12">
      <c r="I3941" s="5">
        <f>IF(OR(A3941="",B3941=""),"",B3941-WEEKDAY(B3941,2)+1)</f>
        <v/>
      </c>
      <c r="J3941" s="5">
        <f>IF(I3941="","",I3941+6)</f>
        <v/>
      </c>
      <c r="K3941" s="6">
        <f>IF(OR(A3941="",B3941=""),"",DATE(YEAR(B3941),MONTH(B3941),1))</f>
        <v/>
      </c>
      <c r="L3941" s="7">
        <f>IF(COUNTA(A3941,B3941)=0,"",IF(OR(A3941="",B3941=""),"Preencher CPF e entrada",IF(COUNTIFS($A$12:$A$5011,A3941,$B$12:$B$5011,B3941)&gt;1,"CPF + dia duplicado",IF(OR(AND(E3941&lt;&gt;"",E3941&lt;B3941),AND(F3941&lt;&gt;"",F3941&lt;B3941)),"Evento anterior à entrada",IF(AND(F3941&lt;&gt;"",E3941=""),"Conversa sem agendamento",IF(OR(E3941&gt;TODAY(),F3941&gt;TODAY()),"Verificar evento futuro","OK"))))))</f>
        <v/>
      </c>
    </row>
    <row r="3942" spans="9:12">
      <c r="I3942" s="5">
        <f>IF(OR(A3942="",B3942=""),"",B3942-WEEKDAY(B3942,2)+1)</f>
        <v/>
      </c>
      <c r="J3942" s="5">
        <f>IF(I3942="","",I3942+6)</f>
        <v/>
      </c>
      <c r="K3942" s="6">
        <f>IF(OR(A3942="",B3942=""),"",DATE(YEAR(B3942),MONTH(B3942),1))</f>
        <v/>
      </c>
      <c r="L3942" s="7">
        <f>IF(COUNTA(A3942,B3942)=0,"",IF(OR(A3942="",B3942=""),"Preencher CPF e entrada",IF(COUNTIFS($A$12:$A$5011,A3942,$B$12:$B$5011,B3942)&gt;1,"CPF + dia duplicado",IF(OR(AND(E3942&lt;&gt;"",E3942&lt;B3942),AND(F3942&lt;&gt;"",F3942&lt;B3942)),"Evento anterior à entrada",IF(AND(F3942&lt;&gt;"",E3942=""),"Conversa sem agendamento",IF(OR(E3942&gt;TODAY(),F3942&gt;TODAY()),"Verificar evento futuro","OK"))))))</f>
        <v/>
      </c>
    </row>
    <row r="3943" spans="9:12">
      <c r="I3943" s="5">
        <f>IF(OR(A3943="",B3943=""),"",B3943-WEEKDAY(B3943,2)+1)</f>
        <v/>
      </c>
      <c r="J3943" s="5">
        <f>IF(I3943="","",I3943+6)</f>
        <v/>
      </c>
      <c r="K3943" s="6">
        <f>IF(OR(A3943="",B3943=""),"",DATE(YEAR(B3943),MONTH(B3943),1))</f>
        <v/>
      </c>
      <c r="L3943" s="7">
        <f>IF(COUNTA(A3943,B3943)=0,"",IF(OR(A3943="",B3943=""),"Preencher CPF e entrada",IF(COUNTIFS($A$12:$A$5011,A3943,$B$12:$B$5011,B3943)&gt;1,"CPF + dia duplicado",IF(OR(AND(E3943&lt;&gt;"",E3943&lt;B3943),AND(F3943&lt;&gt;"",F3943&lt;B3943)),"Evento anterior à entrada",IF(AND(F3943&lt;&gt;"",E3943=""),"Conversa sem agendamento",IF(OR(E3943&gt;TODAY(),F3943&gt;TODAY()),"Verificar evento futuro","OK"))))))</f>
        <v/>
      </c>
    </row>
    <row r="3944" spans="9:12">
      <c r="I3944" s="5">
        <f>IF(OR(A3944="",B3944=""),"",B3944-WEEKDAY(B3944,2)+1)</f>
        <v/>
      </c>
      <c r="J3944" s="5">
        <f>IF(I3944="","",I3944+6)</f>
        <v/>
      </c>
      <c r="K3944" s="6">
        <f>IF(OR(A3944="",B3944=""),"",DATE(YEAR(B3944),MONTH(B3944),1))</f>
        <v/>
      </c>
      <c r="L3944" s="7">
        <f>IF(COUNTA(A3944,B3944)=0,"",IF(OR(A3944="",B3944=""),"Preencher CPF e entrada",IF(COUNTIFS($A$12:$A$5011,A3944,$B$12:$B$5011,B3944)&gt;1,"CPF + dia duplicado",IF(OR(AND(E3944&lt;&gt;"",E3944&lt;B3944),AND(F3944&lt;&gt;"",F3944&lt;B3944)),"Evento anterior à entrada",IF(AND(F3944&lt;&gt;"",E3944=""),"Conversa sem agendamento",IF(OR(E3944&gt;TODAY(),F3944&gt;TODAY()),"Verificar evento futuro","OK"))))))</f>
        <v/>
      </c>
    </row>
    <row r="3945" spans="9:12">
      <c r="I3945" s="5">
        <f>IF(OR(A3945="",B3945=""),"",B3945-WEEKDAY(B3945,2)+1)</f>
        <v/>
      </c>
      <c r="J3945" s="5">
        <f>IF(I3945="","",I3945+6)</f>
        <v/>
      </c>
      <c r="K3945" s="6">
        <f>IF(OR(A3945="",B3945=""),"",DATE(YEAR(B3945),MONTH(B3945),1))</f>
        <v/>
      </c>
      <c r="L3945" s="7">
        <f>IF(COUNTA(A3945,B3945)=0,"",IF(OR(A3945="",B3945=""),"Preencher CPF e entrada",IF(COUNTIFS($A$12:$A$5011,A3945,$B$12:$B$5011,B3945)&gt;1,"CPF + dia duplicado",IF(OR(AND(E3945&lt;&gt;"",E3945&lt;B3945),AND(F3945&lt;&gt;"",F3945&lt;B3945)),"Evento anterior à entrada",IF(AND(F3945&lt;&gt;"",E3945=""),"Conversa sem agendamento",IF(OR(E3945&gt;TODAY(),F3945&gt;TODAY()),"Verificar evento futuro","OK"))))))</f>
        <v/>
      </c>
    </row>
    <row r="3946" spans="9:12">
      <c r="I3946" s="5">
        <f>IF(OR(A3946="",B3946=""),"",B3946-WEEKDAY(B3946,2)+1)</f>
        <v/>
      </c>
      <c r="J3946" s="5">
        <f>IF(I3946="","",I3946+6)</f>
        <v/>
      </c>
      <c r="K3946" s="6">
        <f>IF(OR(A3946="",B3946=""),"",DATE(YEAR(B3946),MONTH(B3946),1))</f>
        <v/>
      </c>
      <c r="L3946" s="7">
        <f>IF(COUNTA(A3946,B3946)=0,"",IF(OR(A3946="",B3946=""),"Preencher CPF e entrada",IF(COUNTIFS($A$12:$A$5011,A3946,$B$12:$B$5011,B3946)&gt;1,"CPF + dia duplicado",IF(OR(AND(E3946&lt;&gt;"",E3946&lt;B3946),AND(F3946&lt;&gt;"",F3946&lt;B3946)),"Evento anterior à entrada",IF(AND(F3946&lt;&gt;"",E3946=""),"Conversa sem agendamento",IF(OR(E3946&gt;TODAY(),F3946&gt;TODAY()),"Verificar evento futuro","OK"))))))</f>
        <v/>
      </c>
    </row>
    <row r="3947" spans="9:12">
      <c r="I3947" s="5">
        <f>IF(OR(A3947="",B3947=""),"",B3947-WEEKDAY(B3947,2)+1)</f>
        <v/>
      </c>
      <c r="J3947" s="5">
        <f>IF(I3947="","",I3947+6)</f>
        <v/>
      </c>
      <c r="K3947" s="6">
        <f>IF(OR(A3947="",B3947=""),"",DATE(YEAR(B3947),MONTH(B3947),1))</f>
        <v/>
      </c>
      <c r="L3947" s="7">
        <f>IF(COUNTA(A3947,B3947)=0,"",IF(OR(A3947="",B3947=""),"Preencher CPF e entrada",IF(COUNTIFS($A$12:$A$5011,A3947,$B$12:$B$5011,B3947)&gt;1,"CPF + dia duplicado",IF(OR(AND(E3947&lt;&gt;"",E3947&lt;B3947),AND(F3947&lt;&gt;"",F3947&lt;B3947)),"Evento anterior à entrada",IF(AND(F3947&lt;&gt;"",E3947=""),"Conversa sem agendamento",IF(OR(E3947&gt;TODAY(),F3947&gt;TODAY()),"Verificar evento futuro","OK"))))))</f>
        <v/>
      </c>
    </row>
    <row r="3948" spans="9:12">
      <c r="I3948" s="5">
        <f>IF(OR(A3948="",B3948=""),"",B3948-WEEKDAY(B3948,2)+1)</f>
        <v/>
      </c>
      <c r="J3948" s="5">
        <f>IF(I3948="","",I3948+6)</f>
        <v/>
      </c>
      <c r="K3948" s="6">
        <f>IF(OR(A3948="",B3948=""),"",DATE(YEAR(B3948),MONTH(B3948),1))</f>
        <v/>
      </c>
      <c r="L3948" s="7">
        <f>IF(COUNTA(A3948,B3948)=0,"",IF(OR(A3948="",B3948=""),"Preencher CPF e entrada",IF(COUNTIFS($A$12:$A$5011,A3948,$B$12:$B$5011,B3948)&gt;1,"CPF + dia duplicado",IF(OR(AND(E3948&lt;&gt;"",E3948&lt;B3948),AND(F3948&lt;&gt;"",F3948&lt;B3948)),"Evento anterior à entrada",IF(AND(F3948&lt;&gt;"",E3948=""),"Conversa sem agendamento",IF(OR(E3948&gt;TODAY(),F3948&gt;TODAY()),"Verificar evento futuro","OK"))))))</f>
        <v/>
      </c>
    </row>
    <row r="3949" spans="9:12">
      <c r="I3949" s="5">
        <f>IF(OR(A3949="",B3949=""),"",B3949-WEEKDAY(B3949,2)+1)</f>
        <v/>
      </c>
      <c r="J3949" s="5">
        <f>IF(I3949="","",I3949+6)</f>
        <v/>
      </c>
      <c r="K3949" s="6">
        <f>IF(OR(A3949="",B3949=""),"",DATE(YEAR(B3949),MONTH(B3949),1))</f>
        <v/>
      </c>
      <c r="L3949" s="7">
        <f>IF(COUNTA(A3949,B3949)=0,"",IF(OR(A3949="",B3949=""),"Preencher CPF e entrada",IF(COUNTIFS($A$12:$A$5011,A3949,$B$12:$B$5011,B3949)&gt;1,"CPF + dia duplicado",IF(OR(AND(E3949&lt;&gt;"",E3949&lt;B3949),AND(F3949&lt;&gt;"",F3949&lt;B3949)),"Evento anterior à entrada",IF(AND(F3949&lt;&gt;"",E3949=""),"Conversa sem agendamento",IF(OR(E3949&gt;TODAY(),F3949&gt;TODAY()),"Verificar evento futuro","OK"))))))</f>
        <v/>
      </c>
    </row>
    <row r="3950" spans="9:12">
      <c r="I3950" s="5">
        <f>IF(OR(A3950="",B3950=""),"",B3950-WEEKDAY(B3950,2)+1)</f>
        <v/>
      </c>
      <c r="J3950" s="5">
        <f>IF(I3950="","",I3950+6)</f>
        <v/>
      </c>
      <c r="K3950" s="6">
        <f>IF(OR(A3950="",B3950=""),"",DATE(YEAR(B3950),MONTH(B3950),1))</f>
        <v/>
      </c>
      <c r="L3950" s="7">
        <f>IF(COUNTA(A3950,B3950)=0,"",IF(OR(A3950="",B3950=""),"Preencher CPF e entrada",IF(COUNTIFS($A$12:$A$5011,A3950,$B$12:$B$5011,B3950)&gt;1,"CPF + dia duplicado",IF(OR(AND(E3950&lt;&gt;"",E3950&lt;B3950),AND(F3950&lt;&gt;"",F3950&lt;B3950)),"Evento anterior à entrada",IF(AND(F3950&lt;&gt;"",E3950=""),"Conversa sem agendamento",IF(OR(E3950&gt;TODAY(),F3950&gt;TODAY()),"Verificar evento futuro","OK"))))))</f>
        <v/>
      </c>
    </row>
    <row r="3951" spans="9:12">
      <c r="I3951" s="5">
        <f>IF(OR(A3951="",B3951=""),"",B3951-WEEKDAY(B3951,2)+1)</f>
        <v/>
      </c>
      <c r="J3951" s="5">
        <f>IF(I3951="","",I3951+6)</f>
        <v/>
      </c>
      <c r="K3951" s="6">
        <f>IF(OR(A3951="",B3951=""),"",DATE(YEAR(B3951),MONTH(B3951),1))</f>
        <v/>
      </c>
      <c r="L3951" s="7">
        <f>IF(COUNTA(A3951,B3951)=0,"",IF(OR(A3951="",B3951=""),"Preencher CPF e entrada",IF(COUNTIFS($A$12:$A$5011,A3951,$B$12:$B$5011,B3951)&gt;1,"CPF + dia duplicado",IF(OR(AND(E3951&lt;&gt;"",E3951&lt;B3951),AND(F3951&lt;&gt;"",F3951&lt;B3951)),"Evento anterior à entrada",IF(AND(F3951&lt;&gt;"",E3951=""),"Conversa sem agendamento",IF(OR(E3951&gt;TODAY(),F3951&gt;TODAY()),"Verificar evento futuro","OK"))))))</f>
        <v/>
      </c>
    </row>
    <row r="3952" spans="9:12">
      <c r="I3952" s="5">
        <f>IF(OR(A3952="",B3952=""),"",B3952-WEEKDAY(B3952,2)+1)</f>
        <v/>
      </c>
      <c r="J3952" s="5">
        <f>IF(I3952="","",I3952+6)</f>
        <v/>
      </c>
      <c r="K3952" s="6">
        <f>IF(OR(A3952="",B3952=""),"",DATE(YEAR(B3952),MONTH(B3952),1))</f>
        <v/>
      </c>
      <c r="L3952" s="7">
        <f>IF(COUNTA(A3952,B3952)=0,"",IF(OR(A3952="",B3952=""),"Preencher CPF e entrada",IF(COUNTIFS($A$12:$A$5011,A3952,$B$12:$B$5011,B3952)&gt;1,"CPF + dia duplicado",IF(OR(AND(E3952&lt;&gt;"",E3952&lt;B3952),AND(F3952&lt;&gt;"",F3952&lt;B3952)),"Evento anterior à entrada",IF(AND(F3952&lt;&gt;"",E3952=""),"Conversa sem agendamento",IF(OR(E3952&gt;TODAY(),F3952&gt;TODAY()),"Verificar evento futuro","OK"))))))</f>
        <v/>
      </c>
    </row>
    <row r="3953" spans="9:12">
      <c r="I3953" s="5">
        <f>IF(OR(A3953="",B3953=""),"",B3953-WEEKDAY(B3953,2)+1)</f>
        <v/>
      </c>
      <c r="J3953" s="5">
        <f>IF(I3953="","",I3953+6)</f>
        <v/>
      </c>
      <c r="K3953" s="6">
        <f>IF(OR(A3953="",B3953=""),"",DATE(YEAR(B3953),MONTH(B3953),1))</f>
        <v/>
      </c>
      <c r="L3953" s="7">
        <f>IF(COUNTA(A3953,B3953)=0,"",IF(OR(A3953="",B3953=""),"Preencher CPF e entrada",IF(COUNTIFS($A$12:$A$5011,A3953,$B$12:$B$5011,B3953)&gt;1,"CPF + dia duplicado",IF(OR(AND(E3953&lt;&gt;"",E3953&lt;B3953),AND(F3953&lt;&gt;"",F3953&lt;B3953)),"Evento anterior à entrada",IF(AND(F3953&lt;&gt;"",E3953=""),"Conversa sem agendamento",IF(OR(E3953&gt;TODAY(),F3953&gt;TODAY()),"Verificar evento futuro","OK"))))))</f>
        <v/>
      </c>
    </row>
    <row r="3954" spans="9:12">
      <c r="I3954" s="5">
        <f>IF(OR(A3954="",B3954=""),"",B3954-WEEKDAY(B3954,2)+1)</f>
        <v/>
      </c>
      <c r="J3954" s="5">
        <f>IF(I3954="","",I3954+6)</f>
        <v/>
      </c>
      <c r="K3954" s="6">
        <f>IF(OR(A3954="",B3954=""),"",DATE(YEAR(B3954),MONTH(B3954),1))</f>
        <v/>
      </c>
      <c r="L3954" s="7">
        <f>IF(COUNTA(A3954,B3954)=0,"",IF(OR(A3954="",B3954=""),"Preencher CPF e entrada",IF(COUNTIFS($A$12:$A$5011,A3954,$B$12:$B$5011,B3954)&gt;1,"CPF + dia duplicado",IF(OR(AND(E3954&lt;&gt;"",E3954&lt;B3954),AND(F3954&lt;&gt;"",F3954&lt;B3954)),"Evento anterior à entrada",IF(AND(F3954&lt;&gt;"",E3954=""),"Conversa sem agendamento",IF(OR(E3954&gt;TODAY(),F3954&gt;TODAY()),"Verificar evento futuro","OK"))))))</f>
        <v/>
      </c>
    </row>
    <row r="3955" spans="9:12">
      <c r="I3955" s="5">
        <f>IF(OR(A3955="",B3955=""),"",B3955-WEEKDAY(B3955,2)+1)</f>
        <v/>
      </c>
      <c r="J3955" s="5">
        <f>IF(I3955="","",I3955+6)</f>
        <v/>
      </c>
      <c r="K3955" s="6">
        <f>IF(OR(A3955="",B3955=""),"",DATE(YEAR(B3955),MONTH(B3955),1))</f>
        <v/>
      </c>
      <c r="L3955" s="7">
        <f>IF(COUNTA(A3955,B3955)=0,"",IF(OR(A3955="",B3955=""),"Preencher CPF e entrada",IF(COUNTIFS($A$12:$A$5011,A3955,$B$12:$B$5011,B3955)&gt;1,"CPF + dia duplicado",IF(OR(AND(E3955&lt;&gt;"",E3955&lt;B3955),AND(F3955&lt;&gt;"",F3955&lt;B3955)),"Evento anterior à entrada",IF(AND(F3955&lt;&gt;"",E3955=""),"Conversa sem agendamento",IF(OR(E3955&gt;TODAY(),F3955&gt;TODAY()),"Verificar evento futuro","OK"))))))</f>
        <v/>
      </c>
    </row>
    <row r="3956" spans="9:12">
      <c r="I3956" s="5">
        <f>IF(OR(A3956="",B3956=""),"",B3956-WEEKDAY(B3956,2)+1)</f>
        <v/>
      </c>
      <c r="J3956" s="5">
        <f>IF(I3956="","",I3956+6)</f>
        <v/>
      </c>
      <c r="K3956" s="6">
        <f>IF(OR(A3956="",B3956=""),"",DATE(YEAR(B3956),MONTH(B3956),1))</f>
        <v/>
      </c>
      <c r="L3956" s="7">
        <f>IF(COUNTA(A3956,B3956)=0,"",IF(OR(A3956="",B3956=""),"Preencher CPF e entrada",IF(COUNTIFS($A$12:$A$5011,A3956,$B$12:$B$5011,B3956)&gt;1,"CPF + dia duplicado",IF(OR(AND(E3956&lt;&gt;"",E3956&lt;B3956),AND(F3956&lt;&gt;"",F3956&lt;B3956)),"Evento anterior à entrada",IF(AND(F3956&lt;&gt;"",E3956=""),"Conversa sem agendamento",IF(OR(E3956&gt;TODAY(),F3956&gt;TODAY()),"Verificar evento futuro","OK"))))))</f>
        <v/>
      </c>
    </row>
    <row r="3957" spans="9:12">
      <c r="I3957" s="5">
        <f>IF(OR(A3957="",B3957=""),"",B3957-WEEKDAY(B3957,2)+1)</f>
        <v/>
      </c>
      <c r="J3957" s="5">
        <f>IF(I3957="","",I3957+6)</f>
        <v/>
      </c>
      <c r="K3957" s="6">
        <f>IF(OR(A3957="",B3957=""),"",DATE(YEAR(B3957),MONTH(B3957),1))</f>
        <v/>
      </c>
      <c r="L3957" s="7">
        <f>IF(COUNTA(A3957,B3957)=0,"",IF(OR(A3957="",B3957=""),"Preencher CPF e entrada",IF(COUNTIFS($A$12:$A$5011,A3957,$B$12:$B$5011,B3957)&gt;1,"CPF + dia duplicado",IF(OR(AND(E3957&lt;&gt;"",E3957&lt;B3957),AND(F3957&lt;&gt;"",F3957&lt;B3957)),"Evento anterior à entrada",IF(AND(F3957&lt;&gt;"",E3957=""),"Conversa sem agendamento",IF(OR(E3957&gt;TODAY(),F3957&gt;TODAY()),"Verificar evento futuro","OK"))))))</f>
        <v/>
      </c>
    </row>
    <row r="3958" spans="9:12">
      <c r="I3958" s="5">
        <f>IF(OR(A3958="",B3958=""),"",B3958-WEEKDAY(B3958,2)+1)</f>
        <v/>
      </c>
      <c r="J3958" s="5">
        <f>IF(I3958="","",I3958+6)</f>
        <v/>
      </c>
      <c r="K3958" s="6">
        <f>IF(OR(A3958="",B3958=""),"",DATE(YEAR(B3958),MONTH(B3958),1))</f>
        <v/>
      </c>
      <c r="L3958" s="7">
        <f>IF(COUNTA(A3958,B3958)=0,"",IF(OR(A3958="",B3958=""),"Preencher CPF e entrada",IF(COUNTIFS($A$12:$A$5011,A3958,$B$12:$B$5011,B3958)&gt;1,"CPF + dia duplicado",IF(OR(AND(E3958&lt;&gt;"",E3958&lt;B3958),AND(F3958&lt;&gt;"",F3958&lt;B3958)),"Evento anterior à entrada",IF(AND(F3958&lt;&gt;"",E3958=""),"Conversa sem agendamento",IF(OR(E3958&gt;TODAY(),F3958&gt;TODAY()),"Verificar evento futuro","OK"))))))</f>
        <v/>
      </c>
    </row>
    <row r="3959" spans="9:12">
      <c r="I3959" s="5">
        <f>IF(OR(A3959="",B3959=""),"",B3959-WEEKDAY(B3959,2)+1)</f>
        <v/>
      </c>
      <c r="J3959" s="5">
        <f>IF(I3959="","",I3959+6)</f>
        <v/>
      </c>
      <c r="K3959" s="6">
        <f>IF(OR(A3959="",B3959=""),"",DATE(YEAR(B3959),MONTH(B3959),1))</f>
        <v/>
      </c>
      <c r="L3959" s="7">
        <f>IF(COUNTA(A3959,B3959)=0,"",IF(OR(A3959="",B3959=""),"Preencher CPF e entrada",IF(COUNTIFS($A$12:$A$5011,A3959,$B$12:$B$5011,B3959)&gt;1,"CPF + dia duplicado",IF(OR(AND(E3959&lt;&gt;"",E3959&lt;B3959),AND(F3959&lt;&gt;"",F3959&lt;B3959)),"Evento anterior à entrada",IF(AND(F3959&lt;&gt;"",E3959=""),"Conversa sem agendamento",IF(OR(E3959&gt;TODAY(),F3959&gt;TODAY()),"Verificar evento futuro","OK"))))))</f>
        <v/>
      </c>
    </row>
    <row r="3960" spans="9:12">
      <c r="I3960" s="5">
        <f>IF(OR(A3960="",B3960=""),"",B3960-WEEKDAY(B3960,2)+1)</f>
        <v/>
      </c>
      <c r="J3960" s="5">
        <f>IF(I3960="","",I3960+6)</f>
        <v/>
      </c>
      <c r="K3960" s="6">
        <f>IF(OR(A3960="",B3960=""),"",DATE(YEAR(B3960),MONTH(B3960),1))</f>
        <v/>
      </c>
      <c r="L3960" s="7">
        <f>IF(COUNTA(A3960,B3960)=0,"",IF(OR(A3960="",B3960=""),"Preencher CPF e entrada",IF(COUNTIFS($A$12:$A$5011,A3960,$B$12:$B$5011,B3960)&gt;1,"CPF + dia duplicado",IF(OR(AND(E3960&lt;&gt;"",E3960&lt;B3960),AND(F3960&lt;&gt;"",F3960&lt;B3960)),"Evento anterior à entrada",IF(AND(F3960&lt;&gt;"",E3960=""),"Conversa sem agendamento",IF(OR(E3960&gt;TODAY(),F3960&gt;TODAY()),"Verificar evento futuro","OK"))))))</f>
        <v/>
      </c>
    </row>
    <row r="3961" spans="9:12">
      <c r="I3961" s="5">
        <f>IF(OR(A3961="",B3961=""),"",B3961-WEEKDAY(B3961,2)+1)</f>
        <v/>
      </c>
      <c r="J3961" s="5">
        <f>IF(I3961="","",I3961+6)</f>
        <v/>
      </c>
      <c r="K3961" s="6">
        <f>IF(OR(A3961="",B3961=""),"",DATE(YEAR(B3961),MONTH(B3961),1))</f>
        <v/>
      </c>
      <c r="L3961" s="7">
        <f>IF(COUNTA(A3961,B3961)=0,"",IF(OR(A3961="",B3961=""),"Preencher CPF e entrada",IF(COUNTIFS($A$12:$A$5011,A3961,$B$12:$B$5011,B3961)&gt;1,"CPF + dia duplicado",IF(OR(AND(E3961&lt;&gt;"",E3961&lt;B3961),AND(F3961&lt;&gt;"",F3961&lt;B3961)),"Evento anterior à entrada",IF(AND(F3961&lt;&gt;"",E3961=""),"Conversa sem agendamento",IF(OR(E3961&gt;TODAY(),F3961&gt;TODAY()),"Verificar evento futuro","OK"))))))</f>
        <v/>
      </c>
    </row>
    <row r="3962" spans="9:12">
      <c r="I3962" s="5">
        <f>IF(OR(A3962="",B3962=""),"",B3962-WEEKDAY(B3962,2)+1)</f>
        <v/>
      </c>
      <c r="J3962" s="5">
        <f>IF(I3962="","",I3962+6)</f>
        <v/>
      </c>
      <c r="K3962" s="6">
        <f>IF(OR(A3962="",B3962=""),"",DATE(YEAR(B3962),MONTH(B3962),1))</f>
        <v/>
      </c>
      <c r="L3962" s="7">
        <f>IF(COUNTA(A3962,B3962)=0,"",IF(OR(A3962="",B3962=""),"Preencher CPF e entrada",IF(COUNTIFS($A$12:$A$5011,A3962,$B$12:$B$5011,B3962)&gt;1,"CPF + dia duplicado",IF(OR(AND(E3962&lt;&gt;"",E3962&lt;B3962),AND(F3962&lt;&gt;"",F3962&lt;B3962)),"Evento anterior à entrada",IF(AND(F3962&lt;&gt;"",E3962=""),"Conversa sem agendamento",IF(OR(E3962&gt;TODAY(),F3962&gt;TODAY()),"Verificar evento futuro","OK"))))))</f>
        <v/>
      </c>
    </row>
    <row r="3963" spans="9:12">
      <c r="I3963" s="5">
        <f>IF(OR(A3963="",B3963=""),"",B3963-WEEKDAY(B3963,2)+1)</f>
        <v/>
      </c>
      <c r="J3963" s="5">
        <f>IF(I3963="","",I3963+6)</f>
        <v/>
      </c>
      <c r="K3963" s="6">
        <f>IF(OR(A3963="",B3963=""),"",DATE(YEAR(B3963),MONTH(B3963),1))</f>
        <v/>
      </c>
      <c r="L3963" s="7">
        <f>IF(COUNTA(A3963,B3963)=0,"",IF(OR(A3963="",B3963=""),"Preencher CPF e entrada",IF(COUNTIFS($A$12:$A$5011,A3963,$B$12:$B$5011,B3963)&gt;1,"CPF + dia duplicado",IF(OR(AND(E3963&lt;&gt;"",E3963&lt;B3963),AND(F3963&lt;&gt;"",F3963&lt;B3963)),"Evento anterior à entrada",IF(AND(F3963&lt;&gt;"",E3963=""),"Conversa sem agendamento",IF(OR(E3963&gt;TODAY(),F3963&gt;TODAY()),"Verificar evento futuro","OK"))))))</f>
        <v/>
      </c>
    </row>
    <row r="3964" spans="9:12">
      <c r="I3964" s="5">
        <f>IF(OR(A3964="",B3964=""),"",B3964-WEEKDAY(B3964,2)+1)</f>
        <v/>
      </c>
      <c r="J3964" s="5">
        <f>IF(I3964="","",I3964+6)</f>
        <v/>
      </c>
      <c r="K3964" s="6">
        <f>IF(OR(A3964="",B3964=""),"",DATE(YEAR(B3964),MONTH(B3964),1))</f>
        <v/>
      </c>
      <c r="L3964" s="7">
        <f>IF(COUNTA(A3964,B3964)=0,"",IF(OR(A3964="",B3964=""),"Preencher CPF e entrada",IF(COUNTIFS($A$12:$A$5011,A3964,$B$12:$B$5011,B3964)&gt;1,"CPF + dia duplicado",IF(OR(AND(E3964&lt;&gt;"",E3964&lt;B3964),AND(F3964&lt;&gt;"",F3964&lt;B3964)),"Evento anterior à entrada",IF(AND(F3964&lt;&gt;"",E3964=""),"Conversa sem agendamento",IF(OR(E3964&gt;TODAY(),F3964&gt;TODAY()),"Verificar evento futuro","OK"))))))</f>
        <v/>
      </c>
    </row>
    <row r="3965" spans="9:12">
      <c r="I3965" s="5">
        <f>IF(OR(A3965="",B3965=""),"",B3965-WEEKDAY(B3965,2)+1)</f>
        <v/>
      </c>
      <c r="J3965" s="5">
        <f>IF(I3965="","",I3965+6)</f>
        <v/>
      </c>
      <c r="K3965" s="6">
        <f>IF(OR(A3965="",B3965=""),"",DATE(YEAR(B3965),MONTH(B3965),1))</f>
        <v/>
      </c>
      <c r="L3965" s="7">
        <f>IF(COUNTA(A3965,B3965)=0,"",IF(OR(A3965="",B3965=""),"Preencher CPF e entrada",IF(COUNTIFS($A$12:$A$5011,A3965,$B$12:$B$5011,B3965)&gt;1,"CPF + dia duplicado",IF(OR(AND(E3965&lt;&gt;"",E3965&lt;B3965),AND(F3965&lt;&gt;"",F3965&lt;B3965)),"Evento anterior à entrada",IF(AND(F3965&lt;&gt;"",E3965=""),"Conversa sem agendamento",IF(OR(E3965&gt;TODAY(),F3965&gt;TODAY()),"Verificar evento futuro","OK"))))))</f>
        <v/>
      </c>
    </row>
    <row r="3966" spans="9:12">
      <c r="I3966" s="5">
        <f>IF(OR(A3966="",B3966=""),"",B3966-WEEKDAY(B3966,2)+1)</f>
        <v/>
      </c>
      <c r="J3966" s="5">
        <f>IF(I3966="","",I3966+6)</f>
        <v/>
      </c>
      <c r="K3966" s="6">
        <f>IF(OR(A3966="",B3966=""),"",DATE(YEAR(B3966),MONTH(B3966),1))</f>
        <v/>
      </c>
      <c r="L3966" s="7">
        <f>IF(COUNTA(A3966,B3966)=0,"",IF(OR(A3966="",B3966=""),"Preencher CPF e entrada",IF(COUNTIFS($A$12:$A$5011,A3966,$B$12:$B$5011,B3966)&gt;1,"CPF + dia duplicado",IF(OR(AND(E3966&lt;&gt;"",E3966&lt;B3966),AND(F3966&lt;&gt;"",F3966&lt;B3966)),"Evento anterior à entrada",IF(AND(F3966&lt;&gt;"",E3966=""),"Conversa sem agendamento",IF(OR(E3966&gt;TODAY(),F3966&gt;TODAY()),"Verificar evento futuro","OK"))))))</f>
        <v/>
      </c>
    </row>
    <row r="3967" spans="9:12">
      <c r="I3967" s="5">
        <f>IF(OR(A3967="",B3967=""),"",B3967-WEEKDAY(B3967,2)+1)</f>
        <v/>
      </c>
      <c r="J3967" s="5">
        <f>IF(I3967="","",I3967+6)</f>
        <v/>
      </c>
      <c r="K3967" s="6">
        <f>IF(OR(A3967="",B3967=""),"",DATE(YEAR(B3967),MONTH(B3967),1))</f>
        <v/>
      </c>
      <c r="L3967" s="7">
        <f>IF(COUNTA(A3967,B3967)=0,"",IF(OR(A3967="",B3967=""),"Preencher CPF e entrada",IF(COUNTIFS($A$12:$A$5011,A3967,$B$12:$B$5011,B3967)&gt;1,"CPF + dia duplicado",IF(OR(AND(E3967&lt;&gt;"",E3967&lt;B3967),AND(F3967&lt;&gt;"",F3967&lt;B3967)),"Evento anterior à entrada",IF(AND(F3967&lt;&gt;"",E3967=""),"Conversa sem agendamento",IF(OR(E3967&gt;TODAY(),F3967&gt;TODAY()),"Verificar evento futuro","OK"))))))</f>
        <v/>
      </c>
    </row>
    <row r="3968" spans="9:12">
      <c r="I3968" s="5">
        <f>IF(OR(A3968="",B3968=""),"",B3968-WEEKDAY(B3968,2)+1)</f>
        <v/>
      </c>
      <c r="J3968" s="5">
        <f>IF(I3968="","",I3968+6)</f>
        <v/>
      </c>
      <c r="K3968" s="6">
        <f>IF(OR(A3968="",B3968=""),"",DATE(YEAR(B3968),MONTH(B3968),1))</f>
        <v/>
      </c>
      <c r="L3968" s="7">
        <f>IF(COUNTA(A3968,B3968)=0,"",IF(OR(A3968="",B3968=""),"Preencher CPF e entrada",IF(COUNTIFS($A$12:$A$5011,A3968,$B$12:$B$5011,B3968)&gt;1,"CPF + dia duplicado",IF(OR(AND(E3968&lt;&gt;"",E3968&lt;B3968),AND(F3968&lt;&gt;"",F3968&lt;B3968)),"Evento anterior à entrada",IF(AND(F3968&lt;&gt;"",E3968=""),"Conversa sem agendamento",IF(OR(E3968&gt;TODAY(),F3968&gt;TODAY()),"Verificar evento futuro","OK"))))))</f>
        <v/>
      </c>
    </row>
    <row r="3969" spans="9:12">
      <c r="I3969" s="5">
        <f>IF(OR(A3969="",B3969=""),"",B3969-WEEKDAY(B3969,2)+1)</f>
        <v/>
      </c>
      <c r="J3969" s="5">
        <f>IF(I3969="","",I3969+6)</f>
        <v/>
      </c>
      <c r="K3969" s="6">
        <f>IF(OR(A3969="",B3969=""),"",DATE(YEAR(B3969),MONTH(B3969),1))</f>
        <v/>
      </c>
      <c r="L3969" s="7">
        <f>IF(COUNTA(A3969,B3969)=0,"",IF(OR(A3969="",B3969=""),"Preencher CPF e entrada",IF(COUNTIFS($A$12:$A$5011,A3969,$B$12:$B$5011,B3969)&gt;1,"CPF + dia duplicado",IF(OR(AND(E3969&lt;&gt;"",E3969&lt;B3969),AND(F3969&lt;&gt;"",F3969&lt;B3969)),"Evento anterior à entrada",IF(AND(F3969&lt;&gt;"",E3969=""),"Conversa sem agendamento",IF(OR(E3969&gt;TODAY(),F3969&gt;TODAY()),"Verificar evento futuro","OK"))))))</f>
        <v/>
      </c>
    </row>
    <row r="3970" spans="9:12">
      <c r="I3970" s="5">
        <f>IF(OR(A3970="",B3970=""),"",B3970-WEEKDAY(B3970,2)+1)</f>
        <v/>
      </c>
      <c r="J3970" s="5">
        <f>IF(I3970="","",I3970+6)</f>
        <v/>
      </c>
      <c r="K3970" s="6">
        <f>IF(OR(A3970="",B3970=""),"",DATE(YEAR(B3970),MONTH(B3970),1))</f>
        <v/>
      </c>
      <c r="L3970" s="7">
        <f>IF(COUNTA(A3970,B3970)=0,"",IF(OR(A3970="",B3970=""),"Preencher CPF e entrada",IF(COUNTIFS($A$12:$A$5011,A3970,$B$12:$B$5011,B3970)&gt;1,"CPF + dia duplicado",IF(OR(AND(E3970&lt;&gt;"",E3970&lt;B3970),AND(F3970&lt;&gt;"",F3970&lt;B3970)),"Evento anterior à entrada",IF(AND(F3970&lt;&gt;"",E3970=""),"Conversa sem agendamento",IF(OR(E3970&gt;TODAY(),F3970&gt;TODAY()),"Verificar evento futuro","OK"))))))</f>
        <v/>
      </c>
    </row>
    <row r="3971" spans="9:12">
      <c r="I3971" s="5">
        <f>IF(OR(A3971="",B3971=""),"",B3971-WEEKDAY(B3971,2)+1)</f>
        <v/>
      </c>
      <c r="J3971" s="5">
        <f>IF(I3971="","",I3971+6)</f>
        <v/>
      </c>
      <c r="K3971" s="6">
        <f>IF(OR(A3971="",B3971=""),"",DATE(YEAR(B3971),MONTH(B3971),1))</f>
        <v/>
      </c>
      <c r="L3971" s="7">
        <f>IF(COUNTA(A3971,B3971)=0,"",IF(OR(A3971="",B3971=""),"Preencher CPF e entrada",IF(COUNTIFS($A$12:$A$5011,A3971,$B$12:$B$5011,B3971)&gt;1,"CPF + dia duplicado",IF(OR(AND(E3971&lt;&gt;"",E3971&lt;B3971),AND(F3971&lt;&gt;"",F3971&lt;B3971)),"Evento anterior à entrada",IF(AND(F3971&lt;&gt;"",E3971=""),"Conversa sem agendamento",IF(OR(E3971&gt;TODAY(),F3971&gt;TODAY()),"Verificar evento futuro","OK"))))))</f>
        <v/>
      </c>
    </row>
    <row r="3972" spans="9:12">
      <c r="I3972" s="5">
        <f>IF(OR(A3972="",B3972=""),"",B3972-WEEKDAY(B3972,2)+1)</f>
        <v/>
      </c>
      <c r="J3972" s="5">
        <f>IF(I3972="","",I3972+6)</f>
        <v/>
      </c>
      <c r="K3972" s="6">
        <f>IF(OR(A3972="",B3972=""),"",DATE(YEAR(B3972),MONTH(B3972),1))</f>
        <v/>
      </c>
      <c r="L3972" s="7">
        <f>IF(COUNTA(A3972,B3972)=0,"",IF(OR(A3972="",B3972=""),"Preencher CPF e entrada",IF(COUNTIFS($A$12:$A$5011,A3972,$B$12:$B$5011,B3972)&gt;1,"CPF + dia duplicado",IF(OR(AND(E3972&lt;&gt;"",E3972&lt;B3972),AND(F3972&lt;&gt;"",F3972&lt;B3972)),"Evento anterior à entrada",IF(AND(F3972&lt;&gt;"",E3972=""),"Conversa sem agendamento",IF(OR(E3972&gt;TODAY(),F3972&gt;TODAY()),"Verificar evento futuro","OK"))))))</f>
        <v/>
      </c>
    </row>
    <row r="3973" spans="9:12">
      <c r="I3973" s="5">
        <f>IF(OR(A3973="",B3973=""),"",B3973-WEEKDAY(B3973,2)+1)</f>
        <v/>
      </c>
      <c r="J3973" s="5">
        <f>IF(I3973="","",I3973+6)</f>
        <v/>
      </c>
      <c r="K3973" s="6">
        <f>IF(OR(A3973="",B3973=""),"",DATE(YEAR(B3973),MONTH(B3973),1))</f>
        <v/>
      </c>
      <c r="L3973" s="7">
        <f>IF(COUNTA(A3973,B3973)=0,"",IF(OR(A3973="",B3973=""),"Preencher CPF e entrada",IF(COUNTIFS($A$12:$A$5011,A3973,$B$12:$B$5011,B3973)&gt;1,"CPF + dia duplicado",IF(OR(AND(E3973&lt;&gt;"",E3973&lt;B3973),AND(F3973&lt;&gt;"",F3973&lt;B3973)),"Evento anterior à entrada",IF(AND(F3973&lt;&gt;"",E3973=""),"Conversa sem agendamento",IF(OR(E3973&gt;TODAY(),F3973&gt;TODAY()),"Verificar evento futuro","OK"))))))</f>
        <v/>
      </c>
    </row>
    <row r="3974" spans="9:12">
      <c r="I3974" s="5">
        <f>IF(OR(A3974="",B3974=""),"",B3974-WEEKDAY(B3974,2)+1)</f>
        <v/>
      </c>
      <c r="J3974" s="5">
        <f>IF(I3974="","",I3974+6)</f>
        <v/>
      </c>
      <c r="K3974" s="6">
        <f>IF(OR(A3974="",B3974=""),"",DATE(YEAR(B3974),MONTH(B3974),1))</f>
        <v/>
      </c>
      <c r="L3974" s="7">
        <f>IF(COUNTA(A3974,B3974)=0,"",IF(OR(A3974="",B3974=""),"Preencher CPF e entrada",IF(COUNTIFS($A$12:$A$5011,A3974,$B$12:$B$5011,B3974)&gt;1,"CPF + dia duplicado",IF(OR(AND(E3974&lt;&gt;"",E3974&lt;B3974),AND(F3974&lt;&gt;"",F3974&lt;B3974)),"Evento anterior à entrada",IF(AND(F3974&lt;&gt;"",E3974=""),"Conversa sem agendamento",IF(OR(E3974&gt;TODAY(),F3974&gt;TODAY()),"Verificar evento futuro","OK"))))))</f>
        <v/>
      </c>
    </row>
    <row r="3975" spans="9:12">
      <c r="I3975" s="5">
        <f>IF(OR(A3975="",B3975=""),"",B3975-WEEKDAY(B3975,2)+1)</f>
        <v/>
      </c>
      <c r="J3975" s="5">
        <f>IF(I3975="","",I3975+6)</f>
        <v/>
      </c>
      <c r="K3975" s="6">
        <f>IF(OR(A3975="",B3975=""),"",DATE(YEAR(B3975),MONTH(B3975),1))</f>
        <v/>
      </c>
      <c r="L3975" s="7">
        <f>IF(COUNTA(A3975,B3975)=0,"",IF(OR(A3975="",B3975=""),"Preencher CPF e entrada",IF(COUNTIFS($A$12:$A$5011,A3975,$B$12:$B$5011,B3975)&gt;1,"CPF + dia duplicado",IF(OR(AND(E3975&lt;&gt;"",E3975&lt;B3975),AND(F3975&lt;&gt;"",F3975&lt;B3975)),"Evento anterior à entrada",IF(AND(F3975&lt;&gt;"",E3975=""),"Conversa sem agendamento",IF(OR(E3975&gt;TODAY(),F3975&gt;TODAY()),"Verificar evento futuro","OK"))))))</f>
        <v/>
      </c>
    </row>
    <row r="3976" spans="9:12">
      <c r="I3976" s="5">
        <f>IF(OR(A3976="",B3976=""),"",B3976-WEEKDAY(B3976,2)+1)</f>
        <v/>
      </c>
      <c r="J3976" s="5">
        <f>IF(I3976="","",I3976+6)</f>
        <v/>
      </c>
      <c r="K3976" s="6">
        <f>IF(OR(A3976="",B3976=""),"",DATE(YEAR(B3976),MONTH(B3976),1))</f>
        <v/>
      </c>
      <c r="L3976" s="7">
        <f>IF(COUNTA(A3976,B3976)=0,"",IF(OR(A3976="",B3976=""),"Preencher CPF e entrada",IF(COUNTIFS($A$12:$A$5011,A3976,$B$12:$B$5011,B3976)&gt;1,"CPF + dia duplicado",IF(OR(AND(E3976&lt;&gt;"",E3976&lt;B3976),AND(F3976&lt;&gt;"",F3976&lt;B3976)),"Evento anterior à entrada",IF(AND(F3976&lt;&gt;"",E3976=""),"Conversa sem agendamento",IF(OR(E3976&gt;TODAY(),F3976&gt;TODAY()),"Verificar evento futuro","OK"))))))</f>
        <v/>
      </c>
    </row>
    <row r="3977" spans="9:12">
      <c r="I3977" s="5">
        <f>IF(OR(A3977="",B3977=""),"",B3977-WEEKDAY(B3977,2)+1)</f>
        <v/>
      </c>
      <c r="J3977" s="5">
        <f>IF(I3977="","",I3977+6)</f>
        <v/>
      </c>
      <c r="K3977" s="6">
        <f>IF(OR(A3977="",B3977=""),"",DATE(YEAR(B3977),MONTH(B3977),1))</f>
        <v/>
      </c>
      <c r="L3977" s="7">
        <f>IF(COUNTA(A3977,B3977)=0,"",IF(OR(A3977="",B3977=""),"Preencher CPF e entrada",IF(COUNTIFS($A$12:$A$5011,A3977,$B$12:$B$5011,B3977)&gt;1,"CPF + dia duplicado",IF(OR(AND(E3977&lt;&gt;"",E3977&lt;B3977),AND(F3977&lt;&gt;"",F3977&lt;B3977)),"Evento anterior à entrada",IF(AND(F3977&lt;&gt;"",E3977=""),"Conversa sem agendamento",IF(OR(E3977&gt;TODAY(),F3977&gt;TODAY()),"Verificar evento futuro","OK"))))))</f>
        <v/>
      </c>
    </row>
    <row r="3978" spans="9:12">
      <c r="I3978" s="5">
        <f>IF(OR(A3978="",B3978=""),"",B3978-WEEKDAY(B3978,2)+1)</f>
        <v/>
      </c>
      <c r="J3978" s="5">
        <f>IF(I3978="","",I3978+6)</f>
        <v/>
      </c>
      <c r="K3978" s="6">
        <f>IF(OR(A3978="",B3978=""),"",DATE(YEAR(B3978),MONTH(B3978),1))</f>
        <v/>
      </c>
      <c r="L3978" s="7">
        <f>IF(COUNTA(A3978,B3978)=0,"",IF(OR(A3978="",B3978=""),"Preencher CPF e entrada",IF(COUNTIFS($A$12:$A$5011,A3978,$B$12:$B$5011,B3978)&gt;1,"CPF + dia duplicado",IF(OR(AND(E3978&lt;&gt;"",E3978&lt;B3978),AND(F3978&lt;&gt;"",F3978&lt;B3978)),"Evento anterior à entrada",IF(AND(F3978&lt;&gt;"",E3978=""),"Conversa sem agendamento",IF(OR(E3978&gt;TODAY(),F3978&gt;TODAY()),"Verificar evento futuro","OK"))))))</f>
        <v/>
      </c>
    </row>
    <row r="3979" spans="9:12">
      <c r="I3979" s="5">
        <f>IF(OR(A3979="",B3979=""),"",B3979-WEEKDAY(B3979,2)+1)</f>
        <v/>
      </c>
      <c r="J3979" s="5">
        <f>IF(I3979="","",I3979+6)</f>
        <v/>
      </c>
      <c r="K3979" s="6">
        <f>IF(OR(A3979="",B3979=""),"",DATE(YEAR(B3979),MONTH(B3979),1))</f>
        <v/>
      </c>
      <c r="L3979" s="7">
        <f>IF(COUNTA(A3979,B3979)=0,"",IF(OR(A3979="",B3979=""),"Preencher CPF e entrada",IF(COUNTIFS($A$12:$A$5011,A3979,$B$12:$B$5011,B3979)&gt;1,"CPF + dia duplicado",IF(OR(AND(E3979&lt;&gt;"",E3979&lt;B3979),AND(F3979&lt;&gt;"",F3979&lt;B3979)),"Evento anterior à entrada",IF(AND(F3979&lt;&gt;"",E3979=""),"Conversa sem agendamento",IF(OR(E3979&gt;TODAY(),F3979&gt;TODAY()),"Verificar evento futuro","OK"))))))</f>
        <v/>
      </c>
    </row>
    <row r="3980" spans="9:12">
      <c r="I3980" s="5">
        <f>IF(OR(A3980="",B3980=""),"",B3980-WEEKDAY(B3980,2)+1)</f>
        <v/>
      </c>
      <c r="J3980" s="5">
        <f>IF(I3980="","",I3980+6)</f>
        <v/>
      </c>
      <c r="K3980" s="6">
        <f>IF(OR(A3980="",B3980=""),"",DATE(YEAR(B3980),MONTH(B3980),1))</f>
        <v/>
      </c>
      <c r="L3980" s="7">
        <f>IF(COUNTA(A3980,B3980)=0,"",IF(OR(A3980="",B3980=""),"Preencher CPF e entrada",IF(COUNTIFS($A$12:$A$5011,A3980,$B$12:$B$5011,B3980)&gt;1,"CPF + dia duplicado",IF(OR(AND(E3980&lt;&gt;"",E3980&lt;B3980),AND(F3980&lt;&gt;"",F3980&lt;B3980)),"Evento anterior à entrada",IF(AND(F3980&lt;&gt;"",E3980=""),"Conversa sem agendamento",IF(OR(E3980&gt;TODAY(),F3980&gt;TODAY()),"Verificar evento futuro","OK"))))))</f>
        <v/>
      </c>
    </row>
    <row r="3981" spans="9:12">
      <c r="I3981" s="5">
        <f>IF(OR(A3981="",B3981=""),"",B3981-WEEKDAY(B3981,2)+1)</f>
        <v/>
      </c>
      <c r="J3981" s="5">
        <f>IF(I3981="","",I3981+6)</f>
        <v/>
      </c>
      <c r="K3981" s="6">
        <f>IF(OR(A3981="",B3981=""),"",DATE(YEAR(B3981),MONTH(B3981),1))</f>
        <v/>
      </c>
      <c r="L3981" s="7">
        <f>IF(COUNTA(A3981,B3981)=0,"",IF(OR(A3981="",B3981=""),"Preencher CPF e entrada",IF(COUNTIFS($A$12:$A$5011,A3981,$B$12:$B$5011,B3981)&gt;1,"CPF + dia duplicado",IF(OR(AND(E3981&lt;&gt;"",E3981&lt;B3981),AND(F3981&lt;&gt;"",F3981&lt;B3981)),"Evento anterior à entrada",IF(AND(F3981&lt;&gt;"",E3981=""),"Conversa sem agendamento",IF(OR(E3981&gt;TODAY(),F3981&gt;TODAY()),"Verificar evento futuro","OK"))))))</f>
        <v/>
      </c>
    </row>
    <row r="3982" spans="9:12">
      <c r="I3982" s="5">
        <f>IF(OR(A3982="",B3982=""),"",B3982-WEEKDAY(B3982,2)+1)</f>
        <v/>
      </c>
      <c r="J3982" s="5">
        <f>IF(I3982="","",I3982+6)</f>
        <v/>
      </c>
      <c r="K3982" s="6">
        <f>IF(OR(A3982="",B3982=""),"",DATE(YEAR(B3982),MONTH(B3982),1))</f>
        <v/>
      </c>
      <c r="L3982" s="7">
        <f>IF(COUNTA(A3982,B3982)=0,"",IF(OR(A3982="",B3982=""),"Preencher CPF e entrada",IF(COUNTIFS($A$12:$A$5011,A3982,$B$12:$B$5011,B3982)&gt;1,"CPF + dia duplicado",IF(OR(AND(E3982&lt;&gt;"",E3982&lt;B3982),AND(F3982&lt;&gt;"",F3982&lt;B3982)),"Evento anterior à entrada",IF(AND(F3982&lt;&gt;"",E3982=""),"Conversa sem agendamento",IF(OR(E3982&gt;TODAY(),F3982&gt;TODAY()),"Verificar evento futuro","OK"))))))</f>
        <v/>
      </c>
    </row>
    <row r="3983" spans="9:12">
      <c r="I3983" s="5">
        <f>IF(OR(A3983="",B3983=""),"",B3983-WEEKDAY(B3983,2)+1)</f>
        <v/>
      </c>
      <c r="J3983" s="5">
        <f>IF(I3983="","",I3983+6)</f>
        <v/>
      </c>
      <c r="K3983" s="6">
        <f>IF(OR(A3983="",B3983=""),"",DATE(YEAR(B3983),MONTH(B3983),1))</f>
        <v/>
      </c>
      <c r="L3983" s="7">
        <f>IF(COUNTA(A3983,B3983)=0,"",IF(OR(A3983="",B3983=""),"Preencher CPF e entrada",IF(COUNTIFS($A$12:$A$5011,A3983,$B$12:$B$5011,B3983)&gt;1,"CPF + dia duplicado",IF(OR(AND(E3983&lt;&gt;"",E3983&lt;B3983),AND(F3983&lt;&gt;"",F3983&lt;B3983)),"Evento anterior à entrada",IF(AND(F3983&lt;&gt;"",E3983=""),"Conversa sem agendamento",IF(OR(E3983&gt;TODAY(),F3983&gt;TODAY()),"Verificar evento futuro","OK"))))))</f>
        <v/>
      </c>
    </row>
    <row r="3984" spans="9:12">
      <c r="I3984" s="5">
        <f>IF(OR(A3984="",B3984=""),"",B3984-WEEKDAY(B3984,2)+1)</f>
        <v/>
      </c>
      <c r="J3984" s="5">
        <f>IF(I3984="","",I3984+6)</f>
        <v/>
      </c>
      <c r="K3984" s="6">
        <f>IF(OR(A3984="",B3984=""),"",DATE(YEAR(B3984),MONTH(B3984),1))</f>
        <v/>
      </c>
      <c r="L3984" s="7">
        <f>IF(COUNTA(A3984,B3984)=0,"",IF(OR(A3984="",B3984=""),"Preencher CPF e entrada",IF(COUNTIFS($A$12:$A$5011,A3984,$B$12:$B$5011,B3984)&gt;1,"CPF + dia duplicado",IF(OR(AND(E3984&lt;&gt;"",E3984&lt;B3984),AND(F3984&lt;&gt;"",F3984&lt;B3984)),"Evento anterior à entrada",IF(AND(F3984&lt;&gt;"",E3984=""),"Conversa sem agendamento",IF(OR(E3984&gt;TODAY(),F3984&gt;TODAY()),"Verificar evento futuro","OK"))))))</f>
        <v/>
      </c>
    </row>
    <row r="3985" spans="9:12">
      <c r="I3985" s="5">
        <f>IF(OR(A3985="",B3985=""),"",B3985-WEEKDAY(B3985,2)+1)</f>
        <v/>
      </c>
      <c r="J3985" s="5">
        <f>IF(I3985="","",I3985+6)</f>
        <v/>
      </c>
      <c r="K3985" s="6">
        <f>IF(OR(A3985="",B3985=""),"",DATE(YEAR(B3985),MONTH(B3985),1))</f>
        <v/>
      </c>
      <c r="L3985" s="7">
        <f>IF(COUNTA(A3985,B3985)=0,"",IF(OR(A3985="",B3985=""),"Preencher CPF e entrada",IF(COUNTIFS($A$12:$A$5011,A3985,$B$12:$B$5011,B3985)&gt;1,"CPF + dia duplicado",IF(OR(AND(E3985&lt;&gt;"",E3985&lt;B3985),AND(F3985&lt;&gt;"",F3985&lt;B3985)),"Evento anterior à entrada",IF(AND(F3985&lt;&gt;"",E3985=""),"Conversa sem agendamento",IF(OR(E3985&gt;TODAY(),F3985&gt;TODAY()),"Verificar evento futuro","OK"))))))</f>
        <v/>
      </c>
    </row>
    <row r="3986" spans="9:12">
      <c r="I3986" s="5">
        <f>IF(OR(A3986="",B3986=""),"",B3986-WEEKDAY(B3986,2)+1)</f>
        <v/>
      </c>
      <c r="J3986" s="5">
        <f>IF(I3986="","",I3986+6)</f>
        <v/>
      </c>
      <c r="K3986" s="6">
        <f>IF(OR(A3986="",B3986=""),"",DATE(YEAR(B3986),MONTH(B3986),1))</f>
        <v/>
      </c>
      <c r="L3986" s="7">
        <f>IF(COUNTA(A3986,B3986)=0,"",IF(OR(A3986="",B3986=""),"Preencher CPF e entrada",IF(COUNTIFS($A$12:$A$5011,A3986,$B$12:$B$5011,B3986)&gt;1,"CPF + dia duplicado",IF(OR(AND(E3986&lt;&gt;"",E3986&lt;B3986),AND(F3986&lt;&gt;"",F3986&lt;B3986)),"Evento anterior à entrada",IF(AND(F3986&lt;&gt;"",E3986=""),"Conversa sem agendamento",IF(OR(E3986&gt;TODAY(),F3986&gt;TODAY()),"Verificar evento futuro","OK"))))))</f>
        <v/>
      </c>
    </row>
    <row r="3987" spans="9:12">
      <c r="I3987" s="5">
        <f>IF(OR(A3987="",B3987=""),"",B3987-WEEKDAY(B3987,2)+1)</f>
        <v/>
      </c>
      <c r="J3987" s="5">
        <f>IF(I3987="","",I3987+6)</f>
        <v/>
      </c>
      <c r="K3987" s="6">
        <f>IF(OR(A3987="",B3987=""),"",DATE(YEAR(B3987),MONTH(B3987),1))</f>
        <v/>
      </c>
      <c r="L3987" s="7">
        <f>IF(COUNTA(A3987,B3987)=0,"",IF(OR(A3987="",B3987=""),"Preencher CPF e entrada",IF(COUNTIFS($A$12:$A$5011,A3987,$B$12:$B$5011,B3987)&gt;1,"CPF + dia duplicado",IF(OR(AND(E3987&lt;&gt;"",E3987&lt;B3987),AND(F3987&lt;&gt;"",F3987&lt;B3987)),"Evento anterior à entrada",IF(AND(F3987&lt;&gt;"",E3987=""),"Conversa sem agendamento",IF(OR(E3987&gt;TODAY(),F3987&gt;TODAY()),"Verificar evento futuro","OK"))))))</f>
        <v/>
      </c>
    </row>
    <row r="3988" spans="9:12">
      <c r="I3988" s="5">
        <f>IF(OR(A3988="",B3988=""),"",B3988-WEEKDAY(B3988,2)+1)</f>
        <v/>
      </c>
      <c r="J3988" s="5">
        <f>IF(I3988="","",I3988+6)</f>
        <v/>
      </c>
      <c r="K3988" s="6">
        <f>IF(OR(A3988="",B3988=""),"",DATE(YEAR(B3988),MONTH(B3988),1))</f>
        <v/>
      </c>
      <c r="L3988" s="7">
        <f>IF(COUNTA(A3988,B3988)=0,"",IF(OR(A3988="",B3988=""),"Preencher CPF e entrada",IF(COUNTIFS($A$12:$A$5011,A3988,$B$12:$B$5011,B3988)&gt;1,"CPF + dia duplicado",IF(OR(AND(E3988&lt;&gt;"",E3988&lt;B3988),AND(F3988&lt;&gt;"",F3988&lt;B3988)),"Evento anterior à entrada",IF(AND(F3988&lt;&gt;"",E3988=""),"Conversa sem agendamento",IF(OR(E3988&gt;TODAY(),F3988&gt;TODAY()),"Verificar evento futuro","OK"))))))</f>
        <v/>
      </c>
    </row>
    <row r="3989" spans="9:12">
      <c r="I3989" s="5">
        <f>IF(OR(A3989="",B3989=""),"",B3989-WEEKDAY(B3989,2)+1)</f>
        <v/>
      </c>
      <c r="J3989" s="5">
        <f>IF(I3989="","",I3989+6)</f>
        <v/>
      </c>
      <c r="K3989" s="6">
        <f>IF(OR(A3989="",B3989=""),"",DATE(YEAR(B3989),MONTH(B3989),1))</f>
        <v/>
      </c>
      <c r="L3989" s="7">
        <f>IF(COUNTA(A3989,B3989)=0,"",IF(OR(A3989="",B3989=""),"Preencher CPF e entrada",IF(COUNTIFS($A$12:$A$5011,A3989,$B$12:$B$5011,B3989)&gt;1,"CPF + dia duplicado",IF(OR(AND(E3989&lt;&gt;"",E3989&lt;B3989),AND(F3989&lt;&gt;"",F3989&lt;B3989)),"Evento anterior à entrada",IF(AND(F3989&lt;&gt;"",E3989=""),"Conversa sem agendamento",IF(OR(E3989&gt;TODAY(),F3989&gt;TODAY()),"Verificar evento futuro","OK"))))))</f>
        <v/>
      </c>
    </row>
    <row r="3990" spans="9:12">
      <c r="I3990" s="5">
        <f>IF(OR(A3990="",B3990=""),"",B3990-WEEKDAY(B3990,2)+1)</f>
        <v/>
      </c>
      <c r="J3990" s="5">
        <f>IF(I3990="","",I3990+6)</f>
        <v/>
      </c>
      <c r="K3990" s="6">
        <f>IF(OR(A3990="",B3990=""),"",DATE(YEAR(B3990),MONTH(B3990),1))</f>
        <v/>
      </c>
      <c r="L3990" s="7">
        <f>IF(COUNTA(A3990,B3990)=0,"",IF(OR(A3990="",B3990=""),"Preencher CPF e entrada",IF(COUNTIFS($A$12:$A$5011,A3990,$B$12:$B$5011,B3990)&gt;1,"CPF + dia duplicado",IF(OR(AND(E3990&lt;&gt;"",E3990&lt;B3990),AND(F3990&lt;&gt;"",F3990&lt;B3990)),"Evento anterior à entrada",IF(AND(F3990&lt;&gt;"",E3990=""),"Conversa sem agendamento",IF(OR(E3990&gt;TODAY(),F3990&gt;TODAY()),"Verificar evento futuro","OK"))))))</f>
        <v/>
      </c>
    </row>
    <row r="3991" spans="9:12">
      <c r="I3991" s="5">
        <f>IF(OR(A3991="",B3991=""),"",B3991-WEEKDAY(B3991,2)+1)</f>
        <v/>
      </c>
      <c r="J3991" s="5">
        <f>IF(I3991="","",I3991+6)</f>
        <v/>
      </c>
      <c r="K3991" s="6">
        <f>IF(OR(A3991="",B3991=""),"",DATE(YEAR(B3991),MONTH(B3991),1))</f>
        <v/>
      </c>
      <c r="L3991" s="7">
        <f>IF(COUNTA(A3991,B3991)=0,"",IF(OR(A3991="",B3991=""),"Preencher CPF e entrada",IF(COUNTIFS($A$12:$A$5011,A3991,$B$12:$B$5011,B3991)&gt;1,"CPF + dia duplicado",IF(OR(AND(E3991&lt;&gt;"",E3991&lt;B3991),AND(F3991&lt;&gt;"",F3991&lt;B3991)),"Evento anterior à entrada",IF(AND(F3991&lt;&gt;"",E3991=""),"Conversa sem agendamento",IF(OR(E3991&gt;TODAY(),F3991&gt;TODAY()),"Verificar evento futuro","OK"))))))</f>
        <v/>
      </c>
    </row>
    <row r="3992" spans="9:12">
      <c r="I3992" s="5">
        <f>IF(OR(A3992="",B3992=""),"",B3992-WEEKDAY(B3992,2)+1)</f>
        <v/>
      </c>
      <c r="J3992" s="5">
        <f>IF(I3992="","",I3992+6)</f>
        <v/>
      </c>
      <c r="K3992" s="6">
        <f>IF(OR(A3992="",B3992=""),"",DATE(YEAR(B3992),MONTH(B3992),1))</f>
        <v/>
      </c>
      <c r="L3992" s="7">
        <f>IF(COUNTA(A3992,B3992)=0,"",IF(OR(A3992="",B3992=""),"Preencher CPF e entrada",IF(COUNTIFS($A$12:$A$5011,A3992,$B$12:$B$5011,B3992)&gt;1,"CPF + dia duplicado",IF(OR(AND(E3992&lt;&gt;"",E3992&lt;B3992),AND(F3992&lt;&gt;"",F3992&lt;B3992)),"Evento anterior à entrada",IF(AND(F3992&lt;&gt;"",E3992=""),"Conversa sem agendamento",IF(OR(E3992&gt;TODAY(),F3992&gt;TODAY()),"Verificar evento futuro","OK"))))))</f>
        <v/>
      </c>
    </row>
    <row r="3993" spans="9:12">
      <c r="I3993" s="5">
        <f>IF(OR(A3993="",B3993=""),"",B3993-WEEKDAY(B3993,2)+1)</f>
        <v/>
      </c>
      <c r="J3993" s="5">
        <f>IF(I3993="","",I3993+6)</f>
        <v/>
      </c>
      <c r="K3993" s="6">
        <f>IF(OR(A3993="",B3993=""),"",DATE(YEAR(B3993),MONTH(B3993),1))</f>
        <v/>
      </c>
      <c r="L3993" s="7">
        <f>IF(COUNTA(A3993,B3993)=0,"",IF(OR(A3993="",B3993=""),"Preencher CPF e entrada",IF(COUNTIFS($A$12:$A$5011,A3993,$B$12:$B$5011,B3993)&gt;1,"CPF + dia duplicado",IF(OR(AND(E3993&lt;&gt;"",E3993&lt;B3993),AND(F3993&lt;&gt;"",F3993&lt;B3993)),"Evento anterior à entrada",IF(AND(F3993&lt;&gt;"",E3993=""),"Conversa sem agendamento",IF(OR(E3993&gt;TODAY(),F3993&gt;TODAY()),"Verificar evento futuro","OK"))))))</f>
        <v/>
      </c>
    </row>
    <row r="3994" spans="9:12">
      <c r="I3994" s="5">
        <f>IF(OR(A3994="",B3994=""),"",B3994-WEEKDAY(B3994,2)+1)</f>
        <v/>
      </c>
      <c r="J3994" s="5">
        <f>IF(I3994="","",I3994+6)</f>
        <v/>
      </c>
      <c r="K3994" s="6">
        <f>IF(OR(A3994="",B3994=""),"",DATE(YEAR(B3994),MONTH(B3994),1))</f>
        <v/>
      </c>
      <c r="L3994" s="7">
        <f>IF(COUNTA(A3994,B3994)=0,"",IF(OR(A3994="",B3994=""),"Preencher CPF e entrada",IF(COUNTIFS($A$12:$A$5011,A3994,$B$12:$B$5011,B3994)&gt;1,"CPF + dia duplicado",IF(OR(AND(E3994&lt;&gt;"",E3994&lt;B3994),AND(F3994&lt;&gt;"",F3994&lt;B3994)),"Evento anterior à entrada",IF(AND(F3994&lt;&gt;"",E3994=""),"Conversa sem agendamento",IF(OR(E3994&gt;TODAY(),F3994&gt;TODAY()),"Verificar evento futuro","OK"))))))</f>
        <v/>
      </c>
    </row>
    <row r="3995" spans="9:12">
      <c r="I3995" s="5">
        <f>IF(OR(A3995="",B3995=""),"",B3995-WEEKDAY(B3995,2)+1)</f>
        <v/>
      </c>
      <c r="J3995" s="5">
        <f>IF(I3995="","",I3995+6)</f>
        <v/>
      </c>
      <c r="K3995" s="6">
        <f>IF(OR(A3995="",B3995=""),"",DATE(YEAR(B3995),MONTH(B3995),1))</f>
        <v/>
      </c>
      <c r="L3995" s="7">
        <f>IF(COUNTA(A3995,B3995)=0,"",IF(OR(A3995="",B3995=""),"Preencher CPF e entrada",IF(COUNTIFS($A$12:$A$5011,A3995,$B$12:$B$5011,B3995)&gt;1,"CPF + dia duplicado",IF(OR(AND(E3995&lt;&gt;"",E3995&lt;B3995),AND(F3995&lt;&gt;"",F3995&lt;B3995)),"Evento anterior à entrada",IF(AND(F3995&lt;&gt;"",E3995=""),"Conversa sem agendamento",IF(OR(E3995&gt;TODAY(),F3995&gt;TODAY()),"Verificar evento futuro","OK"))))))</f>
        <v/>
      </c>
    </row>
    <row r="3996" spans="9:12">
      <c r="I3996" s="5">
        <f>IF(OR(A3996="",B3996=""),"",B3996-WEEKDAY(B3996,2)+1)</f>
        <v/>
      </c>
      <c r="J3996" s="5">
        <f>IF(I3996="","",I3996+6)</f>
        <v/>
      </c>
      <c r="K3996" s="6">
        <f>IF(OR(A3996="",B3996=""),"",DATE(YEAR(B3996),MONTH(B3996),1))</f>
        <v/>
      </c>
      <c r="L3996" s="7">
        <f>IF(COUNTA(A3996,B3996)=0,"",IF(OR(A3996="",B3996=""),"Preencher CPF e entrada",IF(COUNTIFS($A$12:$A$5011,A3996,$B$12:$B$5011,B3996)&gt;1,"CPF + dia duplicado",IF(OR(AND(E3996&lt;&gt;"",E3996&lt;B3996),AND(F3996&lt;&gt;"",F3996&lt;B3996)),"Evento anterior à entrada",IF(AND(F3996&lt;&gt;"",E3996=""),"Conversa sem agendamento",IF(OR(E3996&gt;TODAY(),F3996&gt;TODAY()),"Verificar evento futuro","OK"))))))</f>
        <v/>
      </c>
    </row>
    <row r="3997" spans="9:12">
      <c r="I3997" s="5">
        <f>IF(OR(A3997="",B3997=""),"",B3997-WEEKDAY(B3997,2)+1)</f>
        <v/>
      </c>
      <c r="J3997" s="5">
        <f>IF(I3997="","",I3997+6)</f>
        <v/>
      </c>
      <c r="K3997" s="6">
        <f>IF(OR(A3997="",B3997=""),"",DATE(YEAR(B3997),MONTH(B3997),1))</f>
        <v/>
      </c>
      <c r="L3997" s="7">
        <f>IF(COUNTA(A3997,B3997)=0,"",IF(OR(A3997="",B3997=""),"Preencher CPF e entrada",IF(COUNTIFS($A$12:$A$5011,A3997,$B$12:$B$5011,B3997)&gt;1,"CPF + dia duplicado",IF(OR(AND(E3997&lt;&gt;"",E3997&lt;B3997),AND(F3997&lt;&gt;"",F3997&lt;B3997)),"Evento anterior à entrada",IF(AND(F3997&lt;&gt;"",E3997=""),"Conversa sem agendamento",IF(OR(E3997&gt;TODAY(),F3997&gt;TODAY()),"Verificar evento futuro","OK"))))))</f>
        <v/>
      </c>
    </row>
    <row r="3998" spans="9:12">
      <c r="I3998" s="5">
        <f>IF(OR(A3998="",B3998=""),"",B3998-WEEKDAY(B3998,2)+1)</f>
        <v/>
      </c>
      <c r="J3998" s="5">
        <f>IF(I3998="","",I3998+6)</f>
        <v/>
      </c>
      <c r="K3998" s="6">
        <f>IF(OR(A3998="",B3998=""),"",DATE(YEAR(B3998),MONTH(B3998),1))</f>
        <v/>
      </c>
      <c r="L3998" s="7">
        <f>IF(COUNTA(A3998,B3998)=0,"",IF(OR(A3998="",B3998=""),"Preencher CPF e entrada",IF(COUNTIFS($A$12:$A$5011,A3998,$B$12:$B$5011,B3998)&gt;1,"CPF + dia duplicado",IF(OR(AND(E3998&lt;&gt;"",E3998&lt;B3998),AND(F3998&lt;&gt;"",F3998&lt;B3998)),"Evento anterior à entrada",IF(AND(F3998&lt;&gt;"",E3998=""),"Conversa sem agendamento",IF(OR(E3998&gt;TODAY(),F3998&gt;TODAY()),"Verificar evento futuro","OK"))))))</f>
        <v/>
      </c>
    </row>
    <row r="3999" spans="9:12">
      <c r="I3999" s="5">
        <f>IF(OR(A3999="",B3999=""),"",B3999-WEEKDAY(B3999,2)+1)</f>
        <v/>
      </c>
      <c r="J3999" s="5">
        <f>IF(I3999="","",I3999+6)</f>
        <v/>
      </c>
      <c r="K3999" s="6">
        <f>IF(OR(A3999="",B3999=""),"",DATE(YEAR(B3999),MONTH(B3999),1))</f>
        <v/>
      </c>
      <c r="L3999" s="7">
        <f>IF(COUNTA(A3999,B3999)=0,"",IF(OR(A3999="",B3999=""),"Preencher CPF e entrada",IF(COUNTIFS($A$12:$A$5011,A3999,$B$12:$B$5011,B3999)&gt;1,"CPF + dia duplicado",IF(OR(AND(E3999&lt;&gt;"",E3999&lt;B3999),AND(F3999&lt;&gt;"",F3999&lt;B3999)),"Evento anterior à entrada",IF(AND(F3999&lt;&gt;"",E3999=""),"Conversa sem agendamento",IF(OR(E3999&gt;TODAY(),F3999&gt;TODAY()),"Verificar evento futuro","OK"))))))</f>
        <v/>
      </c>
    </row>
    <row r="4000" spans="9:12">
      <c r="I4000" s="5">
        <f>IF(OR(A4000="",B4000=""),"",B4000-WEEKDAY(B4000,2)+1)</f>
        <v/>
      </c>
      <c r="J4000" s="5">
        <f>IF(I4000="","",I4000+6)</f>
        <v/>
      </c>
      <c r="K4000" s="6">
        <f>IF(OR(A4000="",B4000=""),"",DATE(YEAR(B4000),MONTH(B4000),1))</f>
        <v/>
      </c>
      <c r="L4000" s="7">
        <f>IF(COUNTA(A4000,B4000)=0,"",IF(OR(A4000="",B4000=""),"Preencher CPF e entrada",IF(COUNTIFS($A$12:$A$5011,A4000,$B$12:$B$5011,B4000)&gt;1,"CPF + dia duplicado",IF(OR(AND(E4000&lt;&gt;"",E4000&lt;B4000),AND(F4000&lt;&gt;"",F4000&lt;B4000)),"Evento anterior à entrada",IF(AND(F4000&lt;&gt;"",E4000=""),"Conversa sem agendamento",IF(OR(E4000&gt;TODAY(),F4000&gt;TODAY()),"Verificar evento futuro","OK"))))))</f>
        <v/>
      </c>
    </row>
    <row r="4001" spans="9:12">
      <c r="I4001" s="5">
        <f>IF(OR(A4001="",B4001=""),"",B4001-WEEKDAY(B4001,2)+1)</f>
        <v/>
      </c>
      <c r="J4001" s="5">
        <f>IF(I4001="","",I4001+6)</f>
        <v/>
      </c>
      <c r="K4001" s="6">
        <f>IF(OR(A4001="",B4001=""),"",DATE(YEAR(B4001),MONTH(B4001),1))</f>
        <v/>
      </c>
      <c r="L4001" s="7">
        <f>IF(COUNTA(A4001,B4001)=0,"",IF(OR(A4001="",B4001=""),"Preencher CPF e entrada",IF(COUNTIFS($A$12:$A$5011,A4001,$B$12:$B$5011,B4001)&gt;1,"CPF + dia duplicado",IF(OR(AND(E4001&lt;&gt;"",E4001&lt;B4001),AND(F4001&lt;&gt;"",F4001&lt;B4001)),"Evento anterior à entrada",IF(AND(F4001&lt;&gt;"",E4001=""),"Conversa sem agendamento",IF(OR(E4001&gt;TODAY(),F4001&gt;TODAY()),"Verificar evento futuro","OK"))))))</f>
        <v/>
      </c>
    </row>
    <row r="4002" spans="9:12">
      <c r="I4002" s="5">
        <f>IF(OR(A4002="",B4002=""),"",B4002-WEEKDAY(B4002,2)+1)</f>
        <v/>
      </c>
      <c r="J4002" s="5">
        <f>IF(I4002="","",I4002+6)</f>
        <v/>
      </c>
      <c r="K4002" s="6">
        <f>IF(OR(A4002="",B4002=""),"",DATE(YEAR(B4002),MONTH(B4002),1))</f>
        <v/>
      </c>
      <c r="L4002" s="7">
        <f>IF(COUNTA(A4002,B4002)=0,"",IF(OR(A4002="",B4002=""),"Preencher CPF e entrada",IF(COUNTIFS($A$12:$A$5011,A4002,$B$12:$B$5011,B4002)&gt;1,"CPF + dia duplicado",IF(OR(AND(E4002&lt;&gt;"",E4002&lt;B4002),AND(F4002&lt;&gt;"",F4002&lt;B4002)),"Evento anterior à entrada",IF(AND(F4002&lt;&gt;"",E4002=""),"Conversa sem agendamento",IF(OR(E4002&gt;TODAY(),F4002&gt;TODAY()),"Verificar evento futuro","OK"))))))</f>
        <v/>
      </c>
    </row>
    <row r="4003" spans="9:12">
      <c r="I4003" s="5">
        <f>IF(OR(A4003="",B4003=""),"",B4003-WEEKDAY(B4003,2)+1)</f>
        <v/>
      </c>
      <c r="J4003" s="5">
        <f>IF(I4003="","",I4003+6)</f>
        <v/>
      </c>
      <c r="K4003" s="6">
        <f>IF(OR(A4003="",B4003=""),"",DATE(YEAR(B4003),MONTH(B4003),1))</f>
        <v/>
      </c>
      <c r="L4003" s="7">
        <f>IF(COUNTA(A4003,B4003)=0,"",IF(OR(A4003="",B4003=""),"Preencher CPF e entrada",IF(COUNTIFS($A$12:$A$5011,A4003,$B$12:$B$5011,B4003)&gt;1,"CPF + dia duplicado",IF(OR(AND(E4003&lt;&gt;"",E4003&lt;B4003),AND(F4003&lt;&gt;"",F4003&lt;B4003)),"Evento anterior à entrada",IF(AND(F4003&lt;&gt;"",E4003=""),"Conversa sem agendamento",IF(OR(E4003&gt;TODAY(),F4003&gt;TODAY()),"Verificar evento futuro","OK"))))))</f>
        <v/>
      </c>
    </row>
    <row r="4004" spans="9:12">
      <c r="I4004" s="5">
        <f>IF(OR(A4004="",B4004=""),"",B4004-WEEKDAY(B4004,2)+1)</f>
        <v/>
      </c>
      <c r="J4004" s="5">
        <f>IF(I4004="","",I4004+6)</f>
        <v/>
      </c>
      <c r="K4004" s="6">
        <f>IF(OR(A4004="",B4004=""),"",DATE(YEAR(B4004),MONTH(B4004),1))</f>
        <v/>
      </c>
      <c r="L4004" s="7">
        <f>IF(COUNTA(A4004,B4004)=0,"",IF(OR(A4004="",B4004=""),"Preencher CPF e entrada",IF(COUNTIFS($A$12:$A$5011,A4004,$B$12:$B$5011,B4004)&gt;1,"CPF + dia duplicado",IF(OR(AND(E4004&lt;&gt;"",E4004&lt;B4004),AND(F4004&lt;&gt;"",F4004&lt;B4004)),"Evento anterior à entrada",IF(AND(F4004&lt;&gt;"",E4004=""),"Conversa sem agendamento",IF(OR(E4004&gt;TODAY(),F4004&gt;TODAY()),"Verificar evento futuro","OK"))))))</f>
        <v/>
      </c>
    </row>
    <row r="4005" spans="9:12">
      <c r="I4005" s="5">
        <f>IF(OR(A4005="",B4005=""),"",B4005-WEEKDAY(B4005,2)+1)</f>
        <v/>
      </c>
      <c r="J4005" s="5">
        <f>IF(I4005="","",I4005+6)</f>
        <v/>
      </c>
      <c r="K4005" s="6">
        <f>IF(OR(A4005="",B4005=""),"",DATE(YEAR(B4005),MONTH(B4005),1))</f>
        <v/>
      </c>
      <c r="L4005" s="7">
        <f>IF(COUNTA(A4005,B4005)=0,"",IF(OR(A4005="",B4005=""),"Preencher CPF e entrada",IF(COUNTIFS($A$12:$A$5011,A4005,$B$12:$B$5011,B4005)&gt;1,"CPF + dia duplicado",IF(OR(AND(E4005&lt;&gt;"",E4005&lt;B4005),AND(F4005&lt;&gt;"",F4005&lt;B4005)),"Evento anterior à entrada",IF(AND(F4005&lt;&gt;"",E4005=""),"Conversa sem agendamento",IF(OR(E4005&gt;TODAY(),F4005&gt;TODAY()),"Verificar evento futuro","OK"))))))</f>
        <v/>
      </c>
    </row>
    <row r="4006" spans="9:12">
      <c r="I4006" s="5">
        <f>IF(OR(A4006="",B4006=""),"",B4006-WEEKDAY(B4006,2)+1)</f>
        <v/>
      </c>
      <c r="J4006" s="5">
        <f>IF(I4006="","",I4006+6)</f>
        <v/>
      </c>
      <c r="K4006" s="6">
        <f>IF(OR(A4006="",B4006=""),"",DATE(YEAR(B4006),MONTH(B4006),1))</f>
        <v/>
      </c>
      <c r="L4006" s="7">
        <f>IF(COUNTA(A4006,B4006)=0,"",IF(OR(A4006="",B4006=""),"Preencher CPF e entrada",IF(COUNTIFS($A$12:$A$5011,A4006,$B$12:$B$5011,B4006)&gt;1,"CPF + dia duplicado",IF(OR(AND(E4006&lt;&gt;"",E4006&lt;B4006),AND(F4006&lt;&gt;"",F4006&lt;B4006)),"Evento anterior à entrada",IF(AND(F4006&lt;&gt;"",E4006=""),"Conversa sem agendamento",IF(OR(E4006&gt;TODAY(),F4006&gt;TODAY()),"Verificar evento futuro","OK"))))))</f>
        <v/>
      </c>
    </row>
    <row r="4007" spans="9:12">
      <c r="I4007" s="5">
        <f>IF(OR(A4007="",B4007=""),"",B4007-WEEKDAY(B4007,2)+1)</f>
        <v/>
      </c>
      <c r="J4007" s="5">
        <f>IF(I4007="","",I4007+6)</f>
        <v/>
      </c>
      <c r="K4007" s="6">
        <f>IF(OR(A4007="",B4007=""),"",DATE(YEAR(B4007),MONTH(B4007),1))</f>
        <v/>
      </c>
      <c r="L4007" s="7">
        <f>IF(COUNTA(A4007,B4007)=0,"",IF(OR(A4007="",B4007=""),"Preencher CPF e entrada",IF(COUNTIFS($A$12:$A$5011,A4007,$B$12:$B$5011,B4007)&gt;1,"CPF + dia duplicado",IF(OR(AND(E4007&lt;&gt;"",E4007&lt;B4007),AND(F4007&lt;&gt;"",F4007&lt;B4007)),"Evento anterior à entrada",IF(AND(F4007&lt;&gt;"",E4007=""),"Conversa sem agendamento",IF(OR(E4007&gt;TODAY(),F4007&gt;TODAY()),"Verificar evento futuro","OK"))))))</f>
        <v/>
      </c>
    </row>
    <row r="4008" spans="9:12">
      <c r="I4008" s="5">
        <f>IF(OR(A4008="",B4008=""),"",B4008-WEEKDAY(B4008,2)+1)</f>
        <v/>
      </c>
      <c r="J4008" s="5">
        <f>IF(I4008="","",I4008+6)</f>
        <v/>
      </c>
      <c r="K4008" s="6">
        <f>IF(OR(A4008="",B4008=""),"",DATE(YEAR(B4008),MONTH(B4008),1))</f>
        <v/>
      </c>
      <c r="L4008" s="7">
        <f>IF(COUNTA(A4008,B4008)=0,"",IF(OR(A4008="",B4008=""),"Preencher CPF e entrada",IF(COUNTIFS($A$12:$A$5011,A4008,$B$12:$B$5011,B4008)&gt;1,"CPF + dia duplicado",IF(OR(AND(E4008&lt;&gt;"",E4008&lt;B4008),AND(F4008&lt;&gt;"",F4008&lt;B4008)),"Evento anterior à entrada",IF(AND(F4008&lt;&gt;"",E4008=""),"Conversa sem agendamento",IF(OR(E4008&gt;TODAY(),F4008&gt;TODAY()),"Verificar evento futuro","OK"))))))</f>
        <v/>
      </c>
    </row>
    <row r="4009" spans="9:12">
      <c r="I4009" s="5">
        <f>IF(OR(A4009="",B4009=""),"",B4009-WEEKDAY(B4009,2)+1)</f>
        <v/>
      </c>
      <c r="J4009" s="5">
        <f>IF(I4009="","",I4009+6)</f>
        <v/>
      </c>
      <c r="K4009" s="6">
        <f>IF(OR(A4009="",B4009=""),"",DATE(YEAR(B4009),MONTH(B4009),1))</f>
        <v/>
      </c>
      <c r="L4009" s="7">
        <f>IF(COUNTA(A4009,B4009)=0,"",IF(OR(A4009="",B4009=""),"Preencher CPF e entrada",IF(COUNTIFS($A$12:$A$5011,A4009,$B$12:$B$5011,B4009)&gt;1,"CPF + dia duplicado",IF(OR(AND(E4009&lt;&gt;"",E4009&lt;B4009),AND(F4009&lt;&gt;"",F4009&lt;B4009)),"Evento anterior à entrada",IF(AND(F4009&lt;&gt;"",E4009=""),"Conversa sem agendamento",IF(OR(E4009&gt;TODAY(),F4009&gt;TODAY()),"Verificar evento futuro","OK"))))))</f>
        <v/>
      </c>
    </row>
    <row r="4010" spans="9:12">
      <c r="I4010" s="5">
        <f>IF(OR(A4010="",B4010=""),"",B4010-WEEKDAY(B4010,2)+1)</f>
        <v/>
      </c>
      <c r="J4010" s="5">
        <f>IF(I4010="","",I4010+6)</f>
        <v/>
      </c>
      <c r="K4010" s="6">
        <f>IF(OR(A4010="",B4010=""),"",DATE(YEAR(B4010),MONTH(B4010),1))</f>
        <v/>
      </c>
      <c r="L4010" s="7">
        <f>IF(COUNTA(A4010,B4010)=0,"",IF(OR(A4010="",B4010=""),"Preencher CPF e entrada",IF(COUNTIFS($A$12:$A$5011,A4010,$B$12:$B$5011,B4010)&gt;1,"CPF + dia duplicado",IF(OR(AND(E4010&lt;&gt;"",E4010&lt;B4010),AND(F4010&lt;&gt;"",F4010&lt;B4010)),"Evento anterior à entrada",IF(AND(F4010&lt;&gt;"",E4010=""),"Conversa sem agendamento",IF(OR(E4010&gt;TODAY(),F4010&gt;TODAY()),"Verificar evento futuro","OK"))))))</f>
        <v/>
      </c>
    </row>
    <row r="4011" spans="9:12">
      <c r="I4011" s="5">
        <f>IF(OR(A4011="",B4011=""),"",B4011-WEEKDAY(B4011,2)+1)</f>
        <v/>
      </c>
      <c r="J4011" s="5">
        <f>IF(I4011="","",I4011+6)</f>
        <v/>
      </c>
      <c r="K4011" s="6">
        <f>IF(OR(A4011="",B4011=""),"",DATE(YEAR(B4011),MONTH(B4011),1))</f>
        <v/>
      </c>
      <c r="L4011" s="7">
        <f>IF(COUNTA(A4011,B4011)=0,"",IF(OR(A4011="",B4011=""),"Preencher CPF e entrada",IF(COUNTIFS($A$12:$A$5011,A4011,$B$12:$B$5011,B4011)&gt;1,"CPF + dia duplicado",IF(OR(AND(E4011&lt;&gt;"",E4011&lt;B4011),AND(F4011&lt;&gt;"",F4011&lt;B4011)),"Evento anterior à entrada",IF(AND(F4011&lt;&gt;"",E4011=""),"Conversa sem agendamento",IF(OR(E4011&gt;TODAY(),F4011&gt;TODAY()),"Verificar evento futuro","OK"))))))</f>
        <v/>
      </c>
    </row>
    <row r="4012" spans="9:12">
      <c r="I4012" s="5">
        <f>IF(OR(A4012="",B4012=""),"",B4012-WEEKDAY(B4012,2)+1)</f>
        <v/>
      </c>
      <c r="J4012" s="5">
        <f>IF(I4012="","",I4012+6)</f>
        <v/>
      </c>
      <c r="K4012" s="6">
        <f>IF(OR(A4012="",B4012=""),"",DATE(YEAR(B4012),MONTH(B4012),1))</f>
        <v/>
      </c>
      <c r="L4012" s="7">
        <f>IF(COUNTA(A4012,B4012)=0,"",IF(OR(A4012="",B4012=""),"Preencher CPF e entrada",IF(COUNTIFS($A$12:$A$5011,A4012,$B$12:$B$5011,B4012)&gt;1,"CPF + dia duplicado",IF(OR(AND(E4012&lt;&gt;"",E4012&lt;B4012),AND(F4012&lt;&gt;"",F4012&lt;B4012)),"Evento anterior à entrada",IF(AND(F4012&lt;&gt;"",E4012=""),"Conversa sem agendamento",IF(OR(E4012&gt;TODAY(),F4012&gt;TODAY()),"Verificar evento futuro","OK"))))))</f>
        <v/>
      </c>
    </row>
    <row r="4013" spans="9:12">
      <c r="I4013" s="5">
        <f>IF(OR(A4013="",B4013=""),"",B4013-WEEKDAY(B4013,2)+1)</f>
        <v/>
      </c>
      <c r="J4013" s="5">
        <f>IF(I4013="","",I4013+6)</f>
        <v/>
      </c>
      <c r="K4013" s="6">
        <f>IF(OR(A4013="",B4013=""),"",DATE(YEAR(B4013),MONTH(B4013),1))</f>
        <v/>
      </c>
      <c r="L4013" s="7">
        <f>IF(COUNTA(A4013,B4013)=0,"",IF(OR(A4013="",B4013=""),"Preencher CPF e entrada",IF(COUNTIFS($A$12:$A$5011,A4013,$B$12:$B$5011,B4013)&gt;1,"CPF + dia duplicado",IF(OR(AND(E4013&lt;&gt;"",E4013&lt;B4013),AND(F4013&lt;&gt;"",F4013&lt;B4013)),"Evento anterior à entrada",IF(AND(F4013&lt;&gt;"",E4013=""),"Conversa sem agendamento",IF(OR(E4013&gt;TODAY(),F4013&gt;TODAY()),"Verificar evento futuro","OK"))))))</f>
        <v/>
      </c>
    </row>
    <row r="4014" spans="9:12">
      <c r="I4014" s="5">
        <f>IF(OR(A4014="",B4014=""),"",B4014-WEEKDAY(B4014,2)+1)</f>
        <v/>
      </c>
      <c r="J4014" s="5">
        <f>IF(I4014="","",I4014+6)</f>
        <v/>
      </c>
      <c r="K4014" s="6">
        <f>IF(OR(A4014="",B4014=""),"",DATE(YEAR(B4014),MONTH(B4014),1))</f>
        <v/>
      </c>
      <c r="L4014" s="7">
        <f>IF(COUNTA(A4014,B4014)=0,"",IF(OR(A4014="",B4014=""),"Preencher CPF e entrada",IF(COUNTIFS($A$12:$A$5011,A4014,$B$12:$B$5011,B4014)&gt;1,"CPF + dia duplicado",IF(OR(AND(E4014&lt;&gt;"",E4014&lt;B4014),AND(F4014&lt;&gt;"",F4014&lt;B4014)),"Evento anterior à entrada",IF(AND(F4014&lt;&gt;"",E4014=""),"Conversa sem agendamento",IF(OR(E4014&gt;TODAY(),F4014&gt;TODAY()),"Verificar evento futuro","OK"))))))</f>
        <v/>
      </c>
    </row>
    <row r="4015" spans="9:12">
      <c r="I4015" s="5">
        <f>IF(OR(A4015="",B4015=""),"",B4015-WEEKDAY(B4015,2)+1)</f>
        <v/>
      </c>
      <c r="J4015" s="5">
        <f>IF(I4015="","",I4015+6)</f>
        <v/>
      </c>
      <c r="K4015" s="6">
        <f>IF(OR(A4015="",B4015=""),"",DATE(YEAR(B4015),MONTH(B4015),1))</f>
        <v/>
      </c>
      <c r="L4015" s="7">
        <f>IF(COUNTA(A4015,B4015)=0,"",IF(OR(A4015="",B4015=""),"Preencher CPF e entrada",IF(COUNTIFS($A$12:$A$5011,A4015,$B$12:$B$5011,B4015)&gt;1,"CPF + dia duplicado",IF(OR(AND(E4015&lt;&gt;"",E4015&lt;B4015),AND(F4015&lt;&gt;"",F4015&lt;B4015)),"Evento anterior à entrada",IF(AND(F4015&lt;&gt;"",E4015=""),"Conversa sem agendamento",IF(OR(E4015&gt;TODAY(),F4015&gt;TODAY()),"Verificar evento futuro","OK"))))))</f>
        <v/>
      </c>
    </row>
    <row r="4016" spans="9:12">
      <c r="I4016" s="5">
        <f>IF(OR(A4016="",B4016=""),"",B4016-WEEKDAY(B4016,2)+1)</f>
        <v/>
      </c>
      <c r="J4016" s="5">
        <f>IF(I4016="","",I4016+6)</f>
        <v/>
      </c>
      <c r="K4016" s="6">
        <f>IF(OR(A4016="",B4016=""),"",DATE(YEAR(B4016),MONTH(B4016),1))</f>
        <v/>
      </c>
      <c r="L4016" s="7">
        <f>IF(COUNTA(A4016,B4016)=0,"",IF(OR(A4016="",B4016=""),"Preencher CPF e entrada",IF(COUNTIFS($A$12:$A$5011,A4016,$B$12:$B$5011,B4016)&gt;1,"CPF + dia duplicado",IF(OR(AND(E4016&lt;&gt;"",E4016&lt;B4016),AND(F4016&lt;&gt;"",F4016&lt;B4016)),"Evento anterior à entrada",IF(AND(F4016&lt;&gt;"",E4016=""),"Conversa sem agendamento",IF(OR(E4016&gt;TODAY(),F4016&gt;TODAY()),"Verificar evento futuro","OK"))))))</f>
        <v/>
      </c>
    </row>
    <row r="4017" spans="9:12">
      <c r="I4017" s="5">
        <f>IF(OR(A4017="",B4017=""),"",B4017-WEEKDAY(B4017,2)+1)</f>
        <v/>
      </c>
      <c r="J4017" s="5">
        <f>IF(I4017="","",I4017+6)</f>
        <v/>
      </c>
      <c r="K4017" s="6">
        <f>IF(OR(A4017="",B4017=""),"",DATE(YEAR(B4017),MONTH(B4017),1))</f>
        <v/>
      </c>
      <c r="L4017" s="7">
        <f>IF(COUNTA(A4017,B4017)=0,"",IF(OR(A4017="",B4017=""),"Preencher CPF e entrada",IF(COUNTIFS($A$12:$A$5011,A4017,$B$12:$B$5011,B4017)&gt;1,"CPF + dia duplicado",IF(OR(AND(E4017&lt;&gt;"",E4017&lt;B4017),AND(F4017&lt;&gt;"",F4017&lt;B4017)),"Evento anterior à entrada",IF(AND(F4017&lt;&gt;"",E4017=""),"Conversa sem agendamento",IF(OR(E4017&gt;TODAY(),F4017&gt;TODAY()),"Verificar evento futuro","OK"))))))</f>
        <v/>
      </c>
    </row>
    <row r="4018" spans="9:12">
      <c r="I4018" s="5">
        <f>IF(OR(A4018="",B4018=""),"",B4018-WEEKDAY(B4018,2)+1)</f>
        <v/>
      </c>
      <c r="J4018" s="5">
        <f>IF(I4018="","",I4018+6)</f>
        <v/>
      </c>
      <c r="K4018" s="6">
        <f>IF(OR(A4018="",B4018=""),"",DATE(YEAR(B4018),MONTH(B4018),1))</f>
        <v/>
      </c>
      <c r="L4018" s="7">
        <f>IF(COUNTA(A4018,B4018)=0,"",IF(OR(A4018="",B4018=""),"Preencher CPF e entrada",IF(COUNTIFS($A$12:$A$5011,A4018,$B$12:$B$5011,B4018)&gt;1,"CPF + dia duplicado",IF(OR(AND(E4018&lt;&gt;"",E4018&lt;B4018),AND(F4018&lt;&gt;"",F4018&lt;B4018)),"Evento anterior à entrada",IF(AND(F4018&lt;&gt;"",E4018=""),"Conversa sem agendamento",IF(OR(E4018&gt;TODAY(),F4018&gt;TODAY()),"Verificar evento futuro","OK"))))))</f>
        <v/>
      </c>
    </row>
    <row r="4019" spans="9:12">
      <c r="I4019" s="5">
        <f>IF(OR(A4019="",B4019=""),"",B4019-WEEKDAY(B4019,2)+1)</f>
        <v/>
      </c>
      <c r="J4019" s="5">
        <f>IF(I4019="","",I4019+6)</f>
        <v/>
      </c>
      <c r="K4019" s="6">
        <f>IF(OR(A4019="",B4019=""),"",DATE(YEAR(B4019),MONTH(B4019),1))</f>
        <v/>
      </c>
      <c r="L4019" s="7">
        <f>IF(COUNTA(A4019,B4019)=0,"",IF(OR(A4019="",B4019=""),"Preencher CPF e entrada",IF(COUNTIFS($A$12:$A$5011,A4019,$B$12:$B$5011,B4019)&gt;1,"CPF + dia duplicado",IF(OR(AND(E4019&lt;&gt;"",E4019&lt;B4019),AND(F4019&lt;&gt;"",F4019&lt;B4019)),"Evento anterior à entrada",IF(AND(F4019&lt;&gt;"",E4019=""),"Conversa sem agendamento",IF(OR(E4019&gt;TODAY(),F4019&gt;TODAY()),"Verificar evento futuro","OK"))))))</f>
        <v/>
      </c>
    </row>
    <row r="4020" spans="9:12">
      <c r="I4020" s="5">
        <f>IF(OR(A4020="",B4020=""),"",B4020-WEEKDAY(B4020,2)+1)</f>
        <v/>
      </c>
      <c r="J4020" s="5">
        <f>IF(I4020="","",I4020+6)</f>
        <v/>
      </c>
      <c r="K4020" s="6">
        <f>IF(OR(A4020="",B4020=""),"",DATE(YEAR(B4020),MONTH(B4020),1))</f>
        <v/>
      </c>
      <c r="L4020" s="7">
        <f>IF(COUNTA(A4020,B4020)=0,"",IF(OR(A4020="",B4020=""),"Preencher CPF e entrada",IF(COUNTIFS($A$12:$A$5011,A4020,$B$12:$B$5011,B4020)&gt;1,"CPF + dia duplicado",IF(OR(AND(E4020&lt;&gt;"",E4020&lt;B4020),AND(F4020&lt;&gt;"",F4020&lt;B4020)),"Evento anterior à entrada",IF(AND(F4020&lt;&gt;"",E4020=""),"Conversa sem agendamento",IF(OR(E4020&gt;TODAY(),F4020&gt;TODAY()),"Verificar evento futuro","OK"))))))</f>
        <v/>
      </c>
    </row>
    <row r="4021" spans="9:12">
      <c r="I4021" s="5">
        <f>IF(OR(A4021="",B4021=""),"",B4021-WEEKDAY(B4021,2)+1)</f>
        <v/>
      </c>
      <c r="J4021" s="5">
        <f>IF(I4021="","",I4021+6)</f>
        <v/>
      </c>
      <c r="K4021" s="6">
        <f>IF(OR(A4021="",B4021=""),"",DATE(YEAR(B4021),MONTH(B4021),1))</f>
        <v/>
      </c>
      <c r="L4021" s="7">
        <f>IF(COUNTA(A4021,B4021)=0,"",IF(OR(A4021="",B4021=""),"Preencher CPF e entrada",IF(COUNTIFS($A$12:$A$5011,A4021,$B$12:$B$5011,B4021)&gt;1,"CPF + dia duplicado",IF(OR(AND(E4021&lt;&gt;"",E4021&lt;B4021),AND(F4021&lt;&gt;"",F4021&lt;B4021)),"Evento anterior à entrada",IF(AND(F4021&lt;&gt;"",E4021=""),"Conversa sem agendamento",IF(OR(E4021&gt;TODAY(),F4021&gt;TODAY()),"Verificar evento futuro","OK"))))))</f>
        <v/>
      </c>
    </row>
    <row r="4022" spans="9:12">
      <c r="I4022" s="5">
        <f>IF(OR(A4022="",B4022=""),"",B4022-WEEKDAY(B4022,2)+1)</f>
        <v/>
      </c>
      <c r="J4022" s="5">
        <f>IF(I4022="","",I4022+6)</f>
        <v/>
      </c>
      <c r="K4022" s="6">
        <f>IF(OR(A4022="",B4022=""),"",DATE(YEAR(B4022),MONTH(B4022),1))</f>
        <v/>
      </c>
      <c r="L4022" s="7">
        <f>IF(COUNTA(A4022,B4022)=0,"",IF(OR(A4022="",B4022=""),"Preencher CPF e entrada",IF(COUNTIFS($A$12:$A$5011,A4022,$B$12:$B$5011,B4022)&gt;1,"CPF + dia duplicado",IF(OR(AND(E4022&lt;&gt;"",E4022&lt;B4022),AND(F4022&lt;&gt;"",F4022&lt;B4022)),"Evento anterior à entrada",IF(AND(F4022&lt;&gt;"",E4022=""),"Conversa sem agendamento",IF(OR(E4022&gt;TODAY(),F4022&gt;TODAY()),"Verificar evento futuro","OK"))))))</f>
        <v/>
      </c>
    </row>
    <row r="4023" spans="9:12">
      <c r="I4023" s="5">
        <f>IF(OR(A4023="",B4023=""),"",B4023-WEEKDAY(B4023,2)+1)</f>
        <v/>
      </c>
      <c r="J4023" s="5">
        <f>IF(I4023="","",I4023+6)</f>
        <v/>
      </c>
      <c r="K4023" s="6">
        <f>IF(OR(A4023="",B4023=""),"",DATE(YEAR(B4023),MONTH(B4023),1))</f>
        <v/>
      </c>
      <c r="L4023" s="7">
        <f>IF(COUNTA(A4023,B4023)=0,"",IF(OR(A4023="",B4023=""),"Preencher CPF e entrada",IF(COUNTIFS($A$12:$A$5011,A4023,$B$12:$B$5011,B4023)&gt;1,"CPF + dia duplicado",IF(OR(AND(E4023&lt;&gt;"",E4023&lt;B4023),AND(F4023&lt;&gt;"",F4023&lt;B4023)),"Evento anterior à entrada",IF(AND(F4023&lt;&gt;"",E4023=""),"Conversa sem agendamento",IF(OR(E4023&gt;TODAY(),F4023&gt;TODAY()),"Verificar evento futuro","OK"))))))</f>
        <v/>
      </c>
    </row>
    <row r="4024" spans="9:12">
      <c r="I4024" s="5">
        <f>IF(OR(A4024="",B4024=""),"",B4024-WEEKDAY(B4024,2)+1)</f>
        <v/>
      </c>
      <c r="J4024" s="5">
        <f>IF(I4024="","",I4024+6)</f>
        <v/>
      </c>
      <c r="K4024" s="6">
        <f>IF(OR(A4024="",B4024=""),"",DATE(YEAR(B4024),MONTH(B4024),1))</f>
        <v/>
      </c>
      <c r="L4024" s="7">
        <f>IF(COUNTA(A4024,B4024)=0,"",IF(OR(A4024="",B4024=""),"Preencher CPF e entrada",IF(COUNTIFS($A$12:$A$5011,A4024,$B$12:$B$5011,B4024)&gt;1,"CPF + dia duplicado",IF(OR(AND(E4024&lt;&gt;"",E4024&lt;B4024),AND(F4024&lt;&gt;"",F4024&lt;B4024)),"Evento anterior à entrada",IF(AND(F4024&lt;&gt;"",E4024=""),"Conversa sem agendamento",IF(OR(E4024&gt;TODAY(),F4024&gt;TODAY()),"Verificar evento futuro","OK"))))))</f>
        <v/>
      </c>
    </row>
    <row r="4025" spans="9:12">
      <c r="I4025" s="5">
        <f>IF(OR(A4025="",B4025=""),"",B4025-WEEKDAY(B4025,2)+1)</f>
        <v/>
      </c>
      <c r="J4025" s="5">
        <f>IF(I4025="","",I4025+6)</f>
        <v/>
      </c>
      <c r="K4025" s="6">
        <f>IF(OR(A4025="",B4025=""),"",DATE(YEAR(B4025),MONTH(B4025),1))</f>
        <v/>
      </c>
      <c r="L4025" s="7">
        <f>IF(COUNTA(A4025,B4025)=0,"",IF(OR(A4025="",B4025=""),"Preencher CPF e entrada",IF(COUNTIFS($A$12:$A$5011,A4025,$B$12:$B$5011,B4025)&gt;1,"CPF + dia duplicado",IF(OR(AND(E4025&lt;&gt;"",E4025&lt;B4025),AND(F4025&lt;&gt;"",F4025&lt;B4025)),"Evento anterior à entrada",IF(AND(F4025&lt;&gt;"",E4025=""),"Conversa sem agendamento",IF(OR(E4025&gt;TODAY(),F4025&gt;TODAY()),"Verificar evento futuro","OK"))))))</f>
        <v/>
      </c>
    </row>
    <row r="4026" spans="9:12">
      <c r="I4026" s="5">
        <f>IF(OR(A4026="",B4026=""),"",B4026-WEEKDAY(B4026,2)+1)</f>
        <v/>
      </c>
      <c r="J4026" s="5">
        <f>IF(I4026="","",I4026+6)</f>
        <v/>
      </c>
      <c r="K4026" s="6">
        <f>IF(OR(A4026="",B4026=""),"",DATE(YEAR(B4026),MONTH(B4026),1))</f>
        <v/>
      </c>
      <c r="L4026" s="7">
        <f>IF(COUNTA(A4026,B4026)=0,"",IF(OR(A4026="",B4026=""),"Preencher CPF e entrada",IF(COUNTIFS($A$12:$A$5011,A4026,$B$12:$B$5011,B4026)&gt;1,"CPF + dia duplicado",IF(OR(AND(E4026&lt;&gt;"",E4026&lt;B4026),AND(F4026&lt;&gt;"",F4026&lt;B4026)),"Evento anterior à entrada",IF(AND(F4026&lt;&gt;"",E4026=""),"Conversa sem agendamento",IF(OR(E4026&gt;TODAY(),F4026&gt;TODAY()),"Verificar evento futuro","OK"))))))</f>
        <v/>
      </c>
    </row>
    <row r="4027" spans="9:12">
      <c r="I4027" s="5">
        <f>IF(OR(A4027="",B4027=""),"",B4027-WEEKDAY(B4027,2)+1)</f>
        <v/>
      </c>
      <c r="J4027" s="5">
        <f>IF(I4027="","",I4027+6)</f>
        <v/>
      </c>
      <c r="K4027" s="6">
        <f>IF(OR(A4027="",B4027=""),"",DATE(YEAR(B4027),MONTH(B4027),1))</f>
        <v/>
      </c>
      <c r="L4027" s="7">
        <f>IF(COUNTA(A4027,B4027)=0,"",IF(OR(A4027="",B4027=""),"Preencher CPF e entrada",IF(COUNTIFS($A$12:$A$5011,A4027,$B$12:$B$5011,B4027)&gt;1,"CPF + dia duplicado",IF(OR(AND(E4027&lt;&gt;"",E4027&lt;B4027),AND(F4027&lt;&gt;"",F4027&lt;B4027)),"Evento anterior à entrada",IF(AND(F4027&lt;&gt;"",E4027=""),"Conversa sem agendamento",IF(OR(E4027&gt;TODAY(),F4027&gt;TODAY()),"Verificar evento futuro","OK"))))))</f>
        <v/>
      </c>
    </row>
    <row r="4028" spans="9:12">
      <c r="I4028" s="5">
        <f>IF(OR(A4028="",B4028=""),"",B4028-WEEKDAY(B4028,2)+1)</f>
        <v/>
      </c>
      <c r="J4028" s="5">
        <f>IF(I4028="","",I4028+6)</f>
        <v/>
      </c>
      <c r="K4028" s="6">
        <f>IF(OR(A4028="",B4028=""),"",DATE(YEAR(B4028),MONTH(B4028),1))</f>
        <v/>
      </c>
      <c r="L4028" s="7">
        <f>IF(COUNTA(A4028,B4028)=0,"",IF(OR(A4028="",B4028=""),"Preencher CPF e entrada",IF(COUNTIFS($A$12:$A$5011,A4028,$B$12:$B$5011,B4028)&gt;1,"CPF + dia duplicado",IF(OR(AND(E4028&lt;&gt;"",E4028&lt;B4028),AND(F4028&lt;&gt;"",F4028&lt;B4028)),"Evento anterior à entrada",IF(AND(F4028&lt;&gt;"",E4028=""),"Conversa sem agendamento",IF(OR(E4028&gt;TODAY(),F4028&gt;TODAY()),"Verificar evento futuro","OK"))))))</f>
        <v/>
      </c>
    </row>
    <row r="4029" spans="9:12">
      <c r="I4029" s="5">
        <f>IF(OR(A4029="",B4029=""),"",B4029-WEEKDAY(B4029,2)+1)</f>
        <v/>
      </c>
      <c r="J4029" s="5">
        <f>IF(I4029="","",I4029+6)</f>
        <v/>
      </c>
      <c r="K4029" s="6">
        <f>IF(OR(A4029="",B4029=""),"",DATE(YEAR(B4029),MONTH(B4029),1))</f>
        <v/>
      </c>
      <c r="L4029" s="7">
        <f>IF(COUNTA(A4029,B4029)=0,"",IF(OR(A4029="",B4029=""),"Preencher CPF e entrada",IF(COUNTIFS($A$12:$A$5011,A4029,$B$12:$B$5011,B4029)&gt;1,"CPF + dia duplicado",IF(OR(AND(E4029&lt;&gt;"",E4029&lt;B4029),AND(F4029&lt;&gt;"",F4029&lt;B4029)),"Evento anterior à entrada",IF(AND(F4029&lt;&gt;"",E4029=""),"Conversa sem agendamento",IF(OR(E4029&gt;TODAY(),F4029&gt;TODAY()),"Verificar evento futuro","OK"))))))</f>
        <v/>
      </c>
    </row>
    <row r="4030" spans="9:12">
      <c r="I4030" s="5">
        <f>IF(OR(A4030="",B4030=""),"",B4030-WEEKDAY(B4030,2)+1)</f>
        <v/>
      </c>
      <c r="J4030" s="5">
        <f>IF(I4030="","",I4030+6)</f>
        <v/>
      </c>
      <c r="K4030" s="6">
        <f>IF(OR(A4030="",B4030=""),"",DATE(YEAR(B4030),MONTH(B4030),1))</f>
        <v/>
      </c>
      <c r="L4030" s="7">
        <f>IF(COUNTA(A4030,B4030)=0,"",IF(OR(A4030="",B4030=""),"Preencher CPF e entrada",IF(COUNTIFS($A$12:$A$5011,A4030,$B$12:$B$5011,B4030)&gt;1,"CPF + dia duplicado",IF(OR(AND(E4030&lt;&gt;"",E4030&lt;B4030),AND(F4030&lt;&gt;"",F4030&lt;B4030)),"Evento anterior à entrada",IF(AND(F4030&lt;&gt;"",E4030=""),"Conversa sem agendamento",IF(OR(E4030&gt;TODAY(),F4030&gt;TODAY()),"Verificar evento futuro","OK"))))))</f>
        <v/>
      </c>
    </row>
    <row r="4031" spans="9:12">
      <c r="I4031" s="5">
        <f>IF(OR(A4031="",B4031=""),"",B4031-WEEKDAY(B4031,2)+1)</f>
        <v/>
      </c>
      <c r="J4031" s="5">
        <f>IF(I4031="","",I4031+6)</f>
        <v/>
      </c>
      <c r="K4031" s="6">
        <f>IF(OR(A4031="",B4031=""),"",DATE(YEAR(B4031),MONTH(B4031),1))</f>
        <v/>
      </c>
      <c r="L4031" s="7">
        <f>IF(COUNTA(A4031,B4031)=0,"",IF(OR(A4031="",B4031=""),"Preencher CPF e entrada",IF(COUNTIFS($A$12:$A$5011,A4031,$B$12:$B$5011,B4031)&gt;1,"CPF + dia duplicado",IF(OR(AND(E4031&lt;&gt;"",E4031&lt;B4031),AND(F4031&lt;&gt;"",F4031&lt;B4031)),"Evento anterior à entrada",IF(AND(F4031&lt;&gt;"",E4031=""),"Conversa sem agendamento",IF(OR(E4031&gt;TODAY(),F4031&gt;TODAY()),"Verificar evento futuro","OK"))))))</f>
        <v/>
      </c>
    </row>
    <row r="4032" spans="9:12">
      <c r="I4032" s="5">
        <f>IF(OR(A4032="",B4032=""),"",B4032-WEEKDAY(B4032,2)+1)</f>
        <v/>
      </c>
      <c r="J4032" s="5">
        <f>IF(I4032="","",I4032+6)</f>
        <v/>
      </c>
      <c r="K4032" s="6">
        <f>IF(OR(A4032="",B4032=""),"",DATE(YEAR(B4032),MONTH(B4032),1))</f>
        <v/>
      </c>
      <c r="L4032" s="7">
        <f>IF(COUNTA(A4032,B4032)=0,"",IF(OR(A4032="",B4032=""),"Preencher CPF e entrada",IF(COUNTIFS($A$12:$A$5011,A4032,$B$12:$B$5011,B4032)&gt;1,"CPF + dia duplicado",IF(OR(AND(E4032&lt;&gt;"",E4032&lt;B4032),AND(F4032&lt;&gt;"",F4032&lt;B4032)),"Evento anterior à entrada",IF(AND(F4032&lt;&gt;"",E4032=""),"Conversa sem agendamento",IF(OR(E4032&gt;TODAY(),F4032&gt;TODAY()),"Verificar evento futuro","OK"))))))</f>
        <v/>
      </c>
    </row>
    <row r="4033" spans="9:12">
      <c r="I4033" s="5">
        <f>IF(OR(A4033="",B4033=""),"",B4033-WEEKDAY(B4033,2)+1)</f>
        <v/>
      </c>
      <c r="J4033" s="5">
        <f>IF(I4033="","",I4033+6)</f>
        <v/>
      </c>
      <c r="K4033" s="6">
        <f>IF(OR(A4033="",B4033=""),"",DATE(YEAR(B4033),MONTH(B4033),1))</f>
        <v/>
      </c>
      <c r="L4033" s="7">
        <f>IF(COUNTA(A4033,B4033)=0,"",IF(OR(A4033="",B4033=""),"Preencher CPF e entrada",IF(COUNTIFS($A$12:$A$5011,A4033,$B$12:$B$5011,B4033)&gt;1,"CPF + dia duplicado",IF(OR(AND(E4033&lt;&gt;"",E4033&lt;B4033),AND(F4033&lt;&gt;"",F4033&lt;B4033)),"Evento anterior à entrada",IF(AND(F4033&lt;&gt;"",E4033=""),"Conversa sem agendamento",IF(OR(E4033&gt;TODAY(),F4033&gt;TODAY()),"Verificar evento futuro","OK"))))))</f>
        <v/>
      </c>
    </row>
    <row r="4034" spans="9:12">
      <c r="I4034" s="5">
        <f>IF(OR(A4034="",B4034=""),"",B4034-WEEKDAY(B4034,2)+1)</f>
        <v/>
      </c>
      <c r="J4034" s="5">
        <f>IF(I4034="","",I4034+6)</f>
        <v/>
      </c>
      <c r="K4034" s="6">
        <f>IF(OR(A4034="",B4034=""),"",DATE(YEAR(B4034),MONTH(B4034),1))</f>
        <v/>
      </c>
      <c r="L4034" s="7">
        <f>IF(COUNTA(A4034,B4034)=0,"",IF(OR(A4034="",B4034=""),"Preencher CPF e entrada",IF(COUNTIFS($A$12:$A$5011,A4034,$B$12:$B$5011,B4034)&gt;1,"CPF + dia duplicado",IF(OR(AND(E4034&lt;&gt;"",E4034&lt;B4034),AND(F4034&lt;&gt;"",F4034&lt;B4034)),"Evento anterior à entrada",IF(AND(F4034&lt;&gt;"",E4034=""),"Conversa sem agendamento",IF(OR(E4034&gt;TODAY(),F4034&gt;TODAY()),"Verificar evento futuro","OK"))))))</f>
        <v/>
      </c>
    </row>
    <row r="4035" spans="9:12">
      <c r="I4035" s="5">
        <f>IF(OR(A4035="",B4035=""),"",B4035-WEEKDAY(B4035,2)+1)</f>
        <v/>
      </c>
      <c r="J4035" s="5">
        <f>IF(I4035="","",I4035+6)</f>
        <v/>
      </c>
      <c r="K4035" s="6">
        <f>IF(OR(A4035="",B4035=""),"",DATE(YEAR(B4035),MONTH(B4035),1))</f>
        <v/>
      </c>
      <c r="L4035" s="7">
        <f>IF(COUNTA(A4035,B4035)=0,"",IF(OR(A4035="",B4035=""),"Preencher CPF e entrada",IF(COUNTIFS($A$12:$A$5011,A4035,$B$12:$B$5011,B4035)&gt;1,"CPF + dia duplicado",IF(OR(AND(E4035&lt;&gt;"",E4035&lt;B4035),AND(F4035&lt;&gt;"",F4035&lt;B4035)),"Evento anterior à entrada",IF(AND(F4035&lt;&gt;"",E4035=""),"Conversa sem agendamento",IF(OR(E4035&gt;TODAY(),F4035&gt;TODAY()),"Verificar evento futuro","OK"))))))</f>
        <v/>
      </c>
    </row>
    <row r="4036" spans="9:12">
      <c r="I4036" s="5">
        <f>IF(OR(A4036="",B4036=""),"",B4036-WEEKDAY(B4036,2)+1)</f>
        <v/>
      </c>
      <c r="J4036" s="5">
        <f>IF(I4036="","",I4036+6)</f>
        <v/>
      </c>
      <c r="K4036" s="6">
        <f>IF(OR(A4036="",B4036=""),"",DATE(YEAR(B4036),MONTH(B4036),1))</f>
        <v/>
      </c>
      <c r="L4036" s="7">
        <f>IF(COUNTA(A4036,B4036)=0,"",IF(OR(A4036="",B4036=""),"Preencher CPF e entrada",IF(COUNTIFS($A$12:$A$5011,A4036,$B$12:$B$5011,B4036)&gt;1,"CPF + dia duplicado",IF(OR(AND(E4036&lt;&gt;"",E4036&lt;B4036),AND(F4036&lt;&gt;"",F4036&lt;B4036)),"Evento anterior à entrada",IF(AND(F4036&lt;&gt;"",E4036=""),"Conversa sem agendamento",IF(OR(E4036&gt;TODAY(),F4036&gt;TODAY()),"Verificar evento futuro","OK"))))))</f>
        <v/>
      </c>
    </row>
    <row r="4037" spans="9:12">
      <c r="I4037" s="5">
        <f>IF(OR(A4037="",B4037=""),"",B4037-WEEKDAY(B4037,2)+1)</f>
        <v/>
      </c>
      <c r="J4037" s="5">
        <f>IF(I4037="","",I4037+6)</f>
        <v/>
      </c>
      <c r="K4037" s="6">
        <f>IF(OR(A4037="",B4037=""),"",DATE(YEAR(B4037),MONTH(B4037),1))</f>
        <v/>
      </c>
      <c r="L4037" s="7">
        <f>IF(COUNTA(A4037,B4037)=0,"",IF(OR(A4037="",B4037=""),"Preencher CPF e entrada",IF(COUNTIFS($A$12:$A$5011,A4037,$B$12:$B$5011,B4037)&gt;1,"CPF + dia duplicado",IF(OR(AND(E4037&lt;&gt;"",E4037&lt;B4037),AND(F4037&lt;&gt;"",F4037&lt;B4037)),"Evento anterior à entrada",IF(AND(F4037&lt;&gt;"",E4037=""),"Conversa sem agendamento",IF(OR(E4037&gt;TODAY(),F4037&gt;TODAY()),"Verificar evento futuro","OK"))))))</f>
        <v/>
      </c>
    </row>
    <row r="4038" spans="9:12">
      <c r="I4038" s="5">
        <f>IF(OR(A4038="",B4038=""),"",B4038-WEEKDAY(B4038,2)+1)</f>
        <v/>
      </c>
      <c r="J4038" s="5">
        <f>IF(I4038="","",I4038+6)</f>
        <v/>
      </c>
      <c r="K4038" s="6">
        <f>IF(OR(A4038="",B4038=""),"",DATE(YEAR(B4038),MONTH(B4038),1))</f>
        <v/>
      </c>
      <c r="L4038" s="7">
        <f>IF(COUNTA(A4038,B4038)=0,"",IF(OR(A4038="",B4038=""),"Preencher CPF e entrada",IF(COUNTIFS($A$12:$A$5011,A4038,$B$12:$B$5011,B4038)&gt;1,"CPF + dia duplicado",IF(OR(AND(E4038&lt;&gt;"",E4038&lt;B4038),AND(F4038&lt;&gt;"",F4038&lt;B4038)),"Evento anterior à entrada",IF(AND(F4038&lt;&gt;"",E4038=""),"Conversa sem agendamento",IF(OR(E4038&gt;TODAY(),F4038&gt;TODAY()),"Verificar evento futuro","OK"))))))</f>
        <v/>
      </c>
    </row>
    <row r="4039" spans="9:12">
      <c r="I4039" s="5">
        <f>IF(OR(A4039="",B4039=""),"",B4039-WEEKDAY(B4039,2)+1)</f>
        <v/>
      </c>
      <c r="J4039" s="5">
        <f>IF(I4039="","",I4039+6)</f>
        <v/>
      </c>
      <c r="K4039" s="6">
        <f>IF(OR(A4039="",B4039=""),"",DATE(YEAR(B4039),MONTH(B4039),1))</f>
        <v/>
      </c>
      <c r="L4039" s="7">
        <f>IF(COUNTA(A4039,B4039)=0,"",IF(OR(A4039="",B4039=""),"Preencher CPF e entrada",IF(COUNTIFS($A$12:$A$5011,A4039,$B$12:$B$5011,B4039)&gt;1,"CPF + dia duplicado",IF(OR(AND(E4039&lt;&gt;"",E4039&lt;B4039),AND(F4039&lt;&gt;"",F4039&lt;B4039)),"Evento anterior à entrada",IF(AND(F4039&lt;&gt;"",E4039=""),"Conversa sem agendamento",IF(OR(E4039&gt;TODAY(),F4039&gt;TODAY()),"Verificar evento futuro","OK"))))))</f>
        <v/>
      </c>
    </row>
    <row r="4040" spans="9:12">
      <c r="I4040" s="5">
        <f>IF(OR(A4040="",B4040=""),"",B4040-WEEKDAY(B4040,2)+1)</f>
        <v/>
      </c>
      <c r="J4040" s="5">
        <f>IF(I4040="","",I4040+6)</f>
        <v/>
      </c>
      <c r="K4040" s="6">
        <f>IF(OR(A4040="",B4040=""),"",DATE(YEAR(B4040),MONTH(B4040),1))</f>
        <v/>
      </c>
      <c r="L4040" s="7">
        <f>IF(COUNTA(A4040,B4040)=0,"",IF(OR(A4040="",B4040=""),"Preencher CPF e entrada",IF(COUNTIFS($A$12:$A$5011,A4040,$B$12:$B$5011,B4040)&gt;1,"CPF + dia duplicado",IF(OR(AND(E4040&lt;&gt;"",E4040&lt;B4040),AND(F4040&lt;&gt;"",F4040&lt;B4040)),"Evento anterior à entrada",IF(AND(F4040&lt;&gt;"",E4040=""),"Conversa sem agendamento",IF(OR(E4040&gt;TODAY(),F4040&gt;TODAY()),"Verificar evento futuro","OK"))))))</f>
        <v/>
      </c>
    </row>
    <row r="4041" spans="9:12">
      <c r="I4041" s="5">
        <f>IF(OR(A4041="",B4041=""),"",B4041-WEEKDAY(B4041,2)+1)</f>
        <v/>
      </c>
      <c r="J4041" s="5">
        <f>IF(I4041="","",I4041+6)</f>
        <v/>
      </c>
      <c r="K4041" s="6">
        <f>IF(OR(A4041="",B4041=""),"",DATE(YEAR(B4041),MONTH(B4041),1))</f>
        <v/>
      </c>
      <c r="L4041" s="7">
        <f>IF(COUNTA(A4041,B4041)=0,"",IF(OR(A4041="",B4041=""),"Preencher CPF e entrada",IF(COUNTIFS($A$12:$A$5011,A4041,$B$12:$B$5011,B4041)&gt;1,"CPF + dia duplicado",IF(OR(AND(E4041&lt;&gt;"",E4041&lt;B4041),AND(F4041&lt;&gt;"",F4041&lt;B4041)),"Evento anterior à entrada",IF(AND(F4041&lt;&gt;"",E4041=""),"Conversa sem agendamento",IF(OR(E4041&gt;TODAY(),F4041&gt;TODAY()),"Verificar evento futuro","OK"))))))</f>
        <v/>
      </c>
    </row>
    <row r="4042" spans="9:12">
      <c r="I4042" s="5">
        <f>IF(OR(A4042="",B4042=""),"",B4042-WEEKDAY(B4042,2)+1)</f>
        <v/>
      </c>
      <c r="J4042" s="5">
        <f>IF(I4042="","",I4042+6)</f>
        <v/>
      </c>
      <c r="K4042" s="6">
        <f>IF(OR(A4042="",B4042=""),"",DATE(YEAR(B4042),MONTH(B4042),1))</f>
        <v/>
      </c>
      <c r="L4042" s="7">
        <f>IF(COUNTA(A4042,B4042)=0,"",IF(OR(A4042="",B4042=""),"Preencher CPF e entrada",IF(COUNTIFS($A$12:$A$5011,A4042,$B$12:$B$5011,B4042)&gt;1,"CPF + dia duplicado",IF(OR(AND(E4042&lt;&gt;"",E4042&lt;B4042),AND(F4042&lt;&gt;"",F4042&lt;B4042)),"Evento anterior à entrada",IF(AND(F4042&lt;&gt;"",E4042=""),"Conversa sem agendamento",IF(OR(E4042&gt;TODAY(),F4042&gt;TODAY()),"Verificar evento futuro","OK"))))))</f>
        <v/>
      </c>
    </row>
    <row r="4043" spans="9:12">
      <c r="I4043" s="5">
        <f>IF(OR(A4043="",B4043=""),"",B4043-WEEKDAY(B4043,2)+1)</f>
        <v/>
      </c>
      <c r="J4043" s="5">
        <f>IF(I4043="","",I4043+6)</f>
        <v/>
      </c>
      <c r="K4043" s="6">
        <f>IF(OR(A4043="",B4043=""),"",DATE(YEAR(B4043),MONTH(B4043),1))</f>
        <v/>
      </c>
      <c r="L4043" s="7">
        <f>IF(COUNTA(A4043,B4043)=0,"",IF(OR(A4043="",B4043=""),"Preencher CPF e entrada",IF(COUNTIFS($A$12:$A$5011,A4043,$B$12:$B$5011,B4043)&gt;1,"CPF + dia duplicado",IF(OR(AND(E4043&lt;&gt;"",E4043&lt;B4043),AND(F4043&lt;&gt;"",F4043&lt;B4043)),"Evento anterior à entrada",IF(AND(F4043&lt;&gt;"",E4043=""),"Conversa sem agendamento",IF(OR(E4043&gt;TODAY(),F4043&gt;TODAY()),"Verificar evento futuro","OK"))))))</f>
        <v/>
      </c>
    </row>
    <row r="4044" spans="9:12">
      <c r="I4044" s="5">
        <f>IF(OR(A4044="",B4044=""),"",B4044-WEEKDAY(B4044,2)+1)</f>
        <v/>
      </c>
      <c r="J4044" s="5">
        <f>IF(I4044="","",I4044+6)</f>
        <v/>
      </c>
      <c r="K4044" s="6">
        <f>IF(OR(A4044="",B4044=""),"",DATE(YEAR(B4044),MONTH(B4044),1))</f>
        <v/>
      </c>
      <c r="L4044" s="7">
        <f>IF(COUNTA(A4044,B4044)=0,"",IF(OR(A4044="",B4044=""),"Preencher CPF e entrada",IF(COUNTIFS($A$12:$A$5011,A4044,$B$12:$B$5011,B4044)&gt;1,"CPF + dia duplicado",IF(OR(AND(E4044&lt;&gt;"",E4044&lt;B4044),AND(F4044&lt;&gt;"",F4044&lt;B4044)),"Evento anterior à entrada",IF(AND(F4044&lt;&gt;"",E4044=""),"Conversa sem agendamento",IF(OR(E4044&gt;TODAY(),F4044&gt;TODAY()),"Verificar evento futuro","OK"))))))</f>
        <v/>
      </c>
    </row>
    <row r="4045" spans="9:12">
      <c r="I4045" s="5">
        <f>IF(OR(A4045="",B4045=""),"",B4045-WEEKDAY(B4045,2)+1)</f>
        <v/>
      </c>
      <c r="J4045" s="5">
        <f>IF(I4045="","",I4045+6)</f>
        <v/>
      </c>
      <c r="K4045" s="6">
        <f>IF(OR(A4045="",B4045=""),"",DATE(YEAR(B4045),MONTH(B4045),1))</f>
        <v/>
      </c>
      <c r="L4045" s="7">
        <f>IF(COUNTA(A4045,B4045)=0,"",IF(OR(A4045="",B4045=""),"Preencher CPF e entrada",IF(COUNTIFS($A$12:$A$5011,A4045,$B$12:$B$5011,B4045)&gt;1,"CPF + dia duplicado",IF(OR(AND(E4045&lt;&gt;"",E4045&lt;B4045),AND(F4045&lt;&gt;"",F4045&lt;B4045)),"Evento anterior à entrada",IF(AND(F4045&lt;&gt;"",E4045=""),"Conversa sem agendamento",IF(OR(E4045&gt;TODAY(),F4045&gt;TODAY()),"Verificar evento futuro","OK"))))))</f>
        <v/>
      </c>
    </row>
    <row r="4046" spans="9:12">
      <c r="I4046" s="5">
        <f>IF(OR(A4046="",B4046=""),"",B4046-WEEKDAY(B4046,2)+1)</f>
        <v/>
      </c>
      <c r="J4046" s="5">
        <f>IF(I4046="","",I4046+6)</f>
        <v/>
      </c>
      <c r="K4046" s="6">
        <f>IF(OR(A4046="",B4046=""),"",DATE(YEAR(B4046),MONTH(B4046),1))</f>
        <v/>
      </c>
      <c r="L4046" s="7">
        <f>IF(COUNTA(A4046,B4046)=0,"",IF(OR(A4046="",B4046=""),"Preencher CPF e entrada",IF(COUNTIFS($A$12:$A$5011,A4046,$B$12:$B$5011,B4046)&gt;1,"CPF + dia duplicado",IF(OR(AND(E4046&lt;&gt;"",E4046&lt;B4046),AND(F4046&lt;&gt;"",F4046&lt;B4046)),"Evento anterior à entrada",IF(AND(F4046&lt;&gt;"",E4046=""),"Conversa sem agendamento",IF(OR(E4046&gt;TODAY(),F4046&gt;TODAY()),"Verificar evento futuro","OK"))))))</f>
        <v/>
      </c>
    </row>
    <row r="4047" spans="9:12">
      <c r="I4047" s="5">
        <f>IF(OR(A4047="",B4047=""),"",B4047-WEEKDAY(B4047,2)+1)</f>
        <v/>
      </c>
      <c r="J4047" s="5">
        <f>IF(I4047="","",I4047+6)</f>
        <v/>
      </c>
      <c r="K4047" s="6">
        <f>IF(OR(A4047="",B4047=""),"",DATE(YEAR(B4047),MONTH(B4047),1))</f>
        <v/>
      </c>
      <c r="L4047" s="7">
        <f>IF(COUNTA(A4047,B4047)=0,"",IF(OR(A4047="",B4047=""),"Preencher CPF e entrada",IF(COUNTIFS($A$12:$A$5011,A4047,$B$12:$B$5011,B4047)&gt;1,"CPF + dia duplicado",IF(OR(AND(E4047&lt;&gt;"",E4047&lt;B4047),AND(F4047&lt;&gt;"",F4047&lt;B4047)),"Evento anterior à entrada",IF(AND(F4047&lt;&gt;"",E4047=""),"Conversa sem agendamento",IF(OR(E4047&gt;TODAY(),F4047&gt;TODAY()),"Verificar evento futuro","OK"))))))</f>
        <v/>
      </c>
    </row>
    <row r="4048" spans="9:12">
      <c r="I4048" s="5">
        <f>IF(OR(A4048="",B4048=""),"",B4048-WEEKDAY(B4048,2)+1)</f>
        <v/>
      </c>
      <c r="J4048" s="5">
        <f>IF(I4048="","",I4048+6)</f>
        <v/>
      </c>
      <c r="K4048" s="6">
        <f>IF(OR(A4048="",B4048=""),"",DATE(YEAR(B4048),MONTH(B4048),1))</f>
        <v/>
      </c>
      <c r="L4048" s="7">
        <f>IF(COUNTA(A4048,B4048)=0,"",IF(OR(A4048="",B4048=""),"Preencher CPF e entrada",IF(COUNTIFS($A$12:$A$5011,A4048,$B$12:$B$5011,B4048)&gt;1,"CPF + dia duplicado",IF(OR(AND(E4048&lt;&gt;"",E4048&lt;B4048),AND(F4048&lt;&gt;"",F4048&lt;B4048)),"Evento anterior à entrada",IF(AND(F4048&lt;&gt;"",E4048=""),"Conversa sem agendamento",IF(OR(E4048&gt;TODAY(),F4048&gt;TODAY()),"Verificar evento futuro","OK"))))))</f>
        <v/>
      </c>
    </row>
    <row r="4049" spans="9:12">
      <c r="I4049" s="5">
        <f>IF(OR(A4049="",B4049=""),"",B4049-WEEKDAY(B4049,2)+1)</f>
        <v/>
      </c>
      <c r="J4049" s="5">
        <f>IF(I4049="","",I4049+6)</f>
        <v/>
      </c>
      <c r="K4049" s="6">
        <f>IF(OR(A4049="",B4049=""),"",DATE(YEAR(B4049),MONTH(B4049),1))</f>
        <v/>
      </c>
      <c r="L4049" s="7">
        <f>IF(COUNTA(A4049,B4049)=0,"",IF(OR(A4049="",B4049=""),"Preencher CPF e entrada",IF(COUNTIFS($A$12:$A$5011,A4049,$B$12:$B$5011,B4049)&gt;1,"CPF + dia duplicado",IF(OR(AND(E4049&lt;&gt;"",E4049&lt;B4049),AND(F4049&lt;&gt;"",F4049&lt;B4049)),"Evento anterior à entrada",IF(AND(F4049&lt;&gt;"",E4049=""),"Conversa sem agendamento",IF(OR(E4049&gt;TODAY(),F4049&gt;TODAY()),"Verificar evento futuro","OK"))))))</f>
        <v/>
      </c>
    </row>
    <row r="4050" spans="9:12">
      <c r="I4050" s="5">
        <f>IF(OR(A4050="",B4050=""),"",B4050-WEEKDAY(B4050,2)+1)</f>
        <v/>
      </c>
      <c r="J4050" s="5">
        <f>IF(I4050="","",I4050+6)</f>
        <v/>
      </c>
      <c r="K4050" s="6">
        <f>IF(OR(A4050="",B4050=""),"",DATE(YEAR(B4050),MONTH(B4050),1))</f>
        <v/>
      </c>
      <c r="L4050" s="7">
        <f>IF(COUNTA(A4050,B4050)=0,"",IF(OR(A4050="",B4050=""),"Preencher CPF e entrada",IF(COUNTIFS($A$12:$A$5011,A4050,$B$12:$B$5011,B4050)&gt;1,"CPF + dia duplicado",IF(OR(AND(E4050&lt;&gt;"",E4050&lt;B4050),AND(F4050&lt;&gt;"",F4050&lt;B4050)),"Evento anterior à entrada",IF(AND(F4050&lt;&gt;"",E4050=""),"Conversa sem agendamento",IF(OR(E4050&gt;TODAY(),F4050&gt;TODAY()),"Verificar evento futuro","OK"))))))</f>
        <v/>
      </c>
    </row>
    <row r="4051" spans="9:12">
      <c r="I4051" s="5">
        <f>IF(OR(A4051="",B4051=""),"",B4051-WEEKDAY(B4051,2)+1)</f>
        <v/>
      </c>
      <c r="J4051" s="5">
        <f>IF(I4051="","",I4051+6)</f>
        <v/>
      </c>
      <c r="K4051" s="6">
        <f>IF(OR(A4051="",B4051=""),"",DATE(YEAR(B4051),MONTH(B4051),1))</f>
        <v/>
      </c>
      <c r="L4051" s="7">
        <f>IF(COUNTA(A4051,B4051)=0,"",IF(OR(A4051="",B4051=""),"Preencher CPF e entrada",IF(COUNTIFS($A$12:$A$5011,A4051,$B$12:$B$5011,B4051)&gt;1,"CPF + dia duplicado",IF(OR(AND(E4051&lt;&gt;"",E4051&lt;B4051),AND(F4051&lt;&gt;"",F4051&lt;B4051)),"Evento anterior à entrada",IF(AND(F4051&lt;&gt;"",E4051=""),"Conversa sem agendamento",IF(OR(E4051&gt;TODAY(),F4051&gt;TODAY()),"Verificar evento futuro","OK"))))))</f>
        <v/>
      </c>
    </row>
    <row r="4052" spans="9:12">
      <c r="I4052" s="5">
        <f>IF(OR(A4052="",B4052=""),"",B4052-WEEKDAY(B4052,2)+1)</f>
        <v/>
      </c>
      <c r="J4052" s="5">
        <f>IF(I4052="","",I4052+6)</f>
        <v/>
      </c>
      <c r="K4052" s="6">
        <f>IF(OR(A4052="",B4052=""),"",DATE(YEAR(B4052),MONTH(B4052),1))</f>
        <v/>
      </c>
      <c r="L4052" s="7">
        <f>IF(COUNTA(A4052,B4052)=0,"",IF(OR(A4052="",B4052=""),"Preencher CPF e entrada",IF(COUNTIFS($A$12:$A$5011,A4052,$B$12:$B$5011,B4052)&gt;1,"CPF + dia duplicado",IF(OR(AND(E4052&lt;&gt;"",E4052&lt;B4052),AND(F4052&lt;&gt;"",F4052&lt;B4052)),"Evento anterior à entrada",IF(AND(F4052&lt;&gt;"",E4052=""),"Conversa sem agendamento",IF(OR(E4052&gt;TODAY(),F4052&gt;TODAY()),"Verificar evento futuro","OK"))))))</f>
        <v/>
      </c>
    </row>
    <row r="4053" spans="9:12">
      <c r="I4053" s="5">
        <f>IF(OR(A4053="",B4053=""),"",B4053-WEEKDAY(B4053,2)+1)</f>
        <v/>
      </c>
      <c r="J4053" s="5">
        <f>IF(I4053="","",I4053+6)</f>
        <v/>
      </c>
      <c r="K4053" s="6">
        <f>IF(OR(A4053="",B4053=""),"",DATE(YEAR(B4053),MONTH(B4053),1))</f>
        <v/>
      </c>
      <c r="L4053" s="7">
        <f>IF(COUNTA(A4053,B4053)=0,"",IF(OR(A4053="",B4053=""),"Preencher CPF e entrada",IF(COUNTIFS($A$12:$A$5011,A4053,$B$12:$B$5011,B4053)&gt;1,"CPF + dia duplicado",IF(OR(AND(E4053&lt;&gt;"",E4053&lt;B4053),AND(F4053&lt;&gt;"",F4053&lt;B4053)),"Evento anterior à entrada",IF(AND(F4053&lt;&gt;"",E4053=""),"Conversa sem agendamento",IF(OR(E4053&gt;TODAY(),F4053&gt;TODAY()),"Verificar evento futuro","OK"))))))</f>
        <v/>
      </c>
    </row>
    <row r="4054" spans="9:12">
      <c r="I4054" s="5">
        <f>IF(OR(A4054="",B4054=""),"",B4054-WEEKDAY(B4054,2)+1)</f>
        <v/>
      </c>
      <c r="J4054" s="5">
        <f>IF(I4054="","",I4054+6)</f>
        <v/>
      </c>
      <c r="K4054" s="6">
        <f>IF(OR(A4054="",B4054=""),"",DATE(YEAR(B4054),MONTH(B4054),1))</f>
        <v/>
      </c>
      <c r="L4054" s="7">
        <f>IF(COUNTA(A4054,B4054)=0,"",IF(OR(A4054="",B4054=""),"Preencher CPF e entrada",IF(COUNTIFS($A$12:$A$5011,A4054,$B$12:$B$5011,B4054)&gt;1,"CPF + dia duplicado",IF(OR(AND(E4054&lt;&gt;"",E4054&lt;B4054),AND(F4054&lt;&gt;"",F4054&lt;B4054)),"Evento anterior à entrada",IF(AND(F4054&lt;&gt;"",E4054=""),"Conversa sem agendamento",IF(OR(E4054&gt;TODAY(),F4054&gt;TODAY()),"Verificar evento futuro","OK"))))))</f>
        <v/>
      </c>
    </row>
    <row r="4055" spans="9:12">
      <c r="I4055" s="5">
        <f>IF(OR(A4055="",B4055=""),"",B4055-WEEKDAY(B4055,2)+1)</f>
        <v/>
      </c>
      <c r="J4055" s="5">
        <f>IF(I4055="","",I4055+6)</f>
        <v/>
      </c>
      <c r="K4055" s="6">
        <f>IF(OR(A4055="",B4055=""),"",DATE(YEAR(B4055),MONTH(B4055),1))</f>
        <v/>
      </c>
      <c r="L4055" s="7">
        <f>IF(COUNTA(A4055,B4055)=0,"",IF(OR(A4055="",B4055=""),"Preencher CPF e entrada",IF(COUNTIFS($A$12:$A$5011,A4055,$B$12:$B$5011,B4055)&gt;1,"CPF + dia duplicado",IF(OR(AND(E4055&lt;&gt;"",E4055&lt;B4055),AND(F4055&lt;&gt;"",F4055&lt;B4055)),"Evento anterior à entrada",IF(AND(F4055&lt;&gt;"",E4055=""),"Conversa sem agendamento",IF(OR(E4055&gt;TODAY(),F4055&gt;TODAY()),"Verificar evento futuro","OK"))))))</f>
        <v/>
      </c>
    </row>
    <row r="4056" spans="9:12">
      <c r="I4056" s="5">
        <f>IF(OR(A4056="",B4056=""),"",B4056-WEEKDAY(B4056,2)+1)</f>
        <v/>
      </c>
      <c r="J4056" s="5">
        <f>IF(I4056="","",I4056+6)</f>
        <v/>
      </c>
      <c r="K4056" s="6">
        <f>IF(OR(A4056="",B4056=""),"",DATE(YEAR(B4056),MONTH(B4056),1))</f>
        <v/>
      </c>
      <c r="L4056" s="7">
        <f>IF(COUNTA(A4056,B4056)=0,"",IF(OR(A4056="",B4056=""),"Preencher CPF e entrada",IF(COUNTIFS($A$12:$A$5011,A4056,$B$12:$B$5011,B4056)&gt;1,"CPF + dia duplicado",IF(OR(AND(E4056&lt;&gt;"",E4056&lt;B4056),AND(F4056&lt;&gt;"",F4056&lt;B4056)),"Evento anterior à entrada",IF(AND(F4056&lt;&gt;"",E4056=""),"Conversa sem agendamento",IF(OR(E4056&gt;TODAY(),F4056&gt;TODAY()),"Verificar evento futuro","OK"))))))</f>
        <v/>
      </c>
    </row>
    <row r="4057" spans="9:12">
      <c r="I4057" s="5">
        <f>IF(OR(A4057="",B4057=""),"",B4057-WEEKDAY(B4057,2)+1)</f>
        <v/>
      </c>
      <c r="J4057" s="5">
        <f>IF(I4057="","",I4057+6)</f>
        <v/>
      </c>
      <c r="K4057" s="6">
        <f>IF(OR(A4057="",B4057=""),"",DATE(YEAR(B4057),MONTH(B4057),1))</f>
        <v/>
      </c>
      <c r="L4057" s="7">
        <f>IF(COUNTA(A4057,B4057)=0,"",IF(OR(A4057="",B4057=""),"Preencher CPF e entrada",IF(COUNTIFS($A$12:$A$5011,A4057,$B$12:$B$5011,B4057)&gt;1,"CPF + dia duplicado",IF(OR(AND(E4057&lt;&gt;"",E4057&lt;B4057),AND(F4057&lt;&gt;"",F4057&lt;B4057)),"Evento anterior à entrada",IF(AND(F4057&lt;&gt;"",E4057=""),"Conversa sem agendamento",IF(OR(E4057&gt;TODAY(),F4057&gt;TODAY()),"Verificar evento futuro","OK"))))))</f>
        <v/>
      </c>
    </row>
    <row r="4058" spans="9:12">
      <c r="I4058" s="5">
        <f>IF(OR(A4058="",B4058=""),"",B4058-WEEKDAY(B4058,2)+1)</f>
        <v/>
      </c>
      <c r="J4058" s="5">
        <f>IF(I4058="","",I4058+6)</f>
        <v/>
      </c>
      <c r="K4058" s="6">
        <f>IF(OR(A4058="",B4058=""),"",DATE(YEAR(B4058),MONTH(B4058),1))</f>
        <v/>
      </c>
      <c r="L4058" s="7">
        <f>IF(COUNTA(A4058,B4058)=0,"",IF(OR(A4058="",B4058=""),"Preencher CPF e entrada",IF(COUNTIFS($A$12:$A$5011,A4058,$B$12:$B$5011,B4058)&gt;1,"CPF + dia duplicado",IF(OR(AND(E4058&lt;&gt;"",E4058&lt;B4058),AND(F4058&lt;&gt;"",F4058&lt;B4058)),"Evento anterior à entrada",IF(AND(F4058&lt;&gt;"",E4058=""),"Conversa sem agendamento",IF(OR(E4058&gt;TODAY(),F4058&gt;TODAY()),"Verificar evento futuro","OK"))))))</f>
        <v/>
      </c>
    </row>
    <row r="4059" spans="9:12">
      <c r="I4059" s="5">
        <f>IF(OR(A4059="",B4059=""),"",B4059-WEEKDAY(B4059,2)+1)</f>
        <v/>
      </c>
      <c r="J4059" s="5">
        <f>IF(I4059="","",I4059+6)</f>
        <v/>
      </c>
      <c r="K4059" s="6">
        <f>IF(OR(A4059="",B4059=""),"",DATE(YEAR(B4059),MONTH(B4059),1))</f>
        <v/>
      </c>
      <c r="L4059" s="7">
        <f>IF(COUNTA(A4059,B4059)=0,"",IF(OR(A4059="",B4059=""),"Preencher CPF e entrada",IF(COUNTIFS($A$12:$A$5011,A4059,$B$12:$B$5011,B4059)&gt;1,"CPF + dia duplicado",IF(OR(AND(E4059&lt;&gt;"",E4059&lt;B4059),AND(F4059&lt;&gt;"",F4059&lt;B4059)),"Evento anterior à entrada",IF(AND(F4059&lt;&gt;"",E4059=""),"Conversa sem agendamento",IF(OR(E4059&gt;TODAY(),F4059&gt;TODAY()),"Verificar evento futuro","OK"))))))</f>
        <v/>
      </c>
    </row>
    <row r="4060" spans="9:12">
      <c r="I4060" s="5">
        <f>IF(OR(A4060="",B4060=""),"",B4060-WEEKDAY(B4060,2)+1)</f>
        <v/>
      </c>
      <c r="J4060" s="5">
        <f>IF(I4060="","",I4060+6)</f>
        <v/>
      </c>
      <c r="K4060" s="6">
        <f>IF(OR(A4060="",B4060=""),"",DATE(YEAR(B4060),MONTH(B4060),1))</f>
        <v/>
      </c>
      <c r="L4060" s="7">
        <f>IF(COUNTA(A4060,B4060)=0,"",IF(OR(A4060="",B4060=""),"Preencher CPF e entrada",IF(COUNTIFS($A$12:$A$5011,A4060,$B$12:$B$5011,B4060)&gt;1,"CPF + dia duplicado",IF(OR(AND(E4060&lt;&gt;"",E4060&lt;B4060),AND(F4060&lt;&gt;"",F4060&lt;B4060)),"Evento anterior à entrada",IF(AND(F4060&lt;&gt;"",E4060=""),"Conversa sem agendamento",IF(OR(E4060&gt;TODAY(),F4060&gt;TODAY()),"Verificar evento futuro","OK"))))))</f>
        <v/>
      </c>
    </row>
    <row r="4061" spans="9:12">
      <c r="I4061" s="5">
        <f>IF(OR(A4061="",B4061=""),"",B4061-WEEKDAY(B4061,2)+1)</f>
        <v/>
      </c>
      <c r="J4061" s="5">
        <f>IF(I4061="","",I4061+6)</f>
        <v/>
      </c>
      <c r="K4061" s="6">
        <f>IF(OR(A4061="",B4061=""),"",DATE(YEAR(B4061),MONTH(B4061),1))</f>
        <v/>
      </c>
      <c r="L4061" s="7">
        <f>IF(COUNTA(A4061,B4061)=0,"",IF(OR(A4061="",B4061=""),"Preencher CPF e entrada",IF(COUNTIFS($A$12:$A$5011,A4061,$B$12:$B$5011,B4061)&gt;1,"CPF + dia duplicado",IF(OR(AND(E4061&lt;&gt;"",E4061&lt;B4061),AND(F4061&lt;&gt;"",F4061&lt;B4061)),"Evento anterior à entrada",IF(AND(F4061&lt;&gt;"",E4061=""),"Conversa sem agendamento",IF(OR(E4061&gt;TODAY(),F4061&gt;TODAY()),"Verificar evento futuro","OK"))))))</f>
        <v/>
      </c>
    </row>
    <row r="4062" spans="9:12">
      <c r="I4062" s="5">
        <f>IF(OR(A4062="",B4062=""),"",B4062-WEEKDAY(B4062,2)+1)</f>
        <v/>
      </c>
      <c r="J4062" s="5">
        <f>IF(I4062="","",I4062+6)</f>
        <v/>
      </c>
      <c r="K4062" s="6">
        <f>IF(OR(A4062="",B4062=""),"",DATE(YEAR(B4062),MONTH(B4062),1))</f>
        <v/>
      </c>
      <c r="L4062" s="7">
        <f>IF(COUNTA(A4062,B4062)=0,"",IF(OR(A4062="",B4062=""),"Preencher CPF e entrada",IF(COUNTIFS($A$12:$A$5011,A4062,$B$12:$B$5011,B4062)&gt;1,"CPF + dia duplicado",IF(OR(AND(E4062&lt;&gt;"",E4062&lt;B4062),AND(F4062&lt;&gt;"",F4062&lt;B4062)),"Evento anterior à entrada",IF(AND(F4062&lt;&gt;"",E4062=""),"Conversa sem agendamento",IF(OR(E4062&gt;TODAY(),F4062&gt;TODAY()),"Verificar evento futuro","OK"))))))</f>
        <v/>
      </c>
    </row>
    <row r="4063" spans="9:12">
      <c r="I4063" s="5">
        <f>IF(OR(A4063="",B4063=""),"",B4063-WEEKDAY(B4063,2)+1)</f>
        <v/>
      </c>
      <c r="J4063" s="5">
        <f>IF(I4063="","",I4063+6)</f>
        <v/>
      </c>
      <c r="K4063" s="6">
        <f>IF(OR(A4063="",B4063=""),"",DATE(YEAR(B4063),MONTH(B4063),1))</f>
        <v/>
      </c>
      <c r="L4063" s="7">
        <f>IF(COUNTA(A4063,B4063)=0,"",IF(OR(A4063="",B4063=""),"Preencher CPF e entrada",IF(COUNTIFS($A$12:$A$5011,A4063,$B$12:$B$5011,B4063)&gt;1,"CPF + dia duplicado",IF(OR(AND(E4063&lt;&gt;"",E4063&lt;B4063),AND(F4063&lt;&gt;"",F4063&lt;B4063)),"Evento anterior à entrada",IF(AND(F4063&lt;&gt;"",E4063=""),"Conversa sem agendamento",IF(OR(E4063&gt;TODAY(),F4063&gt;TODAY()),"Verificar evento futuro","OK"))))))</f>
        <v/>
      </c>
    </row>
    <row r="4064" spans="9:12">
      <c r="I4064" s="5">
        <f>IF(OR(A4064="",B4064=""),"",B4064-WEEKDAY(B4064,2)+1)</f>
        <v/>
      </c>
      <c r="J4064" s="5">
        <f>IF(I4064="","",I4064+6)</f>
        <v/>
      </c>
      <c r="K4064" s="6">
        <f>IF(OR(A4064="",B4064=""),"",DATE(YEAR(B4064),MONTH(B4064),1))</f>
        <v/>
      </c>
      <c r="L4064" s="7">
        <f>IF(COUNTA(A4064,B4064)=0,"",IF(OR(A4064="",B4064=""),"Preencher CPF e entrada",IF(COUNTIFS($A$12:$A$5011,A4064,$B$12:$B$5011,B4064)&gt;1,"CPF + dia duplicado",IF(OR(AND(E4064&lt;&gt;"",E4064&lt;B4064),AND(F4064&lt;&gt;"",F4064&lt;B4064)),"Evento anterior à entrada",IF(AND(F4064&lt;&gt;"",E4064=""),"Conversa sem agendamento",IF(OR(E4064&gt;TODAY(),F4064&gt;TODAY()),"Verificar evento futuro","OK"))))))</f>
        <v/>
      </c>
    </row>
    <row r="4065" spans="9:12">
      <c r="I4065" s="5">
        <f>IF(OR(A4065="",B4065=""),"",B4065-WEEKDAY(B4065,2)+1)</f>
        <v/>
      </c>
      <c r="J4065" s="5">
        <f>IF(I4065="","",I4065+6)</f>
        <v/>
      </c>
      <c r="K4065" s="6">
        <f>IF(OR(A4065="",B4065=""),"",DATE(YEAR(B4065),MONTH(B4065),1))</f>
        <v/>
      </c>
      <c r="L4065" s="7">
        <f>IF(COUNTA(A4065,B4065)=0,"",IF(OR(A4065="",B4065=""),"Preencher CPF e entrada",IF(COUNTIFS($A$12:$A$5011,A4065,$B$12:$B$5011,B4065)&gt;1,"CPF + dia duplicado",IF(OR(AND(E4065&lt;&gt;"",E4065&lt;B4065),AND(F4065&lt;&gt;"",F4065&lt;B4065)),"Evento anterior à entrada",IF(AND(F4065&lt;&gt;"",E4065=""),"Conversa sem agendamento",IF(OR(E4065&gt;TODAY(),F4065&gt;TODAY()),"Verificar evento futuro","OK"))))))</f>
        <v/>
      </c>
    </row>
    <row r="4066" spans="9:12">
      <c r="I4066" s="5">
        <f>IF(OR(A4066="",B4066=""),"",B4066-WEEKDAY(B4066,2)+1)</f>
        <v/>
      </c>
      <c r="J4066" s="5">
        <f>IF(I4066="","",I4066+6)</f>
        <v/>
      </c>
      <c r="K4066" s="6">
        <f>IF(OR(A4066="",B4066=""),"",DATE(YEAR(B4066),MONTH(B4066),1))</f>
        <v/>
      </c>
      <c r="L4066" s="7">
        <f>IF(COUNTA(A4066,B4066)=0,"",IF(OR(A4066="",B4066=""),"Preencher CPF e entrada",IF(COUNTIFS($A$12:$A$5011,A4066,$B$12:$B$5011,B4066)&gt;1,"CPF + dia duplicado",IF(OR(AND(E4066&lt;&gt;"",E4066&lt;B4066),AND(F4066&lt;&gt;"",F4066&lt;B4066)),"Evento anterior à entrada",IF(AND(F4066&lt;&gt;"",E4066=""),"Conversa sem agendamento",IF(OR(E4066&gt;TODAY(),F4066&gt;TODAY()),"Verificar evento futuro","OK"))))))</f>
        <v/>
      </c>
    </row>
    <row r="4067" spans="9:12">
      <c r="I4067" s="5">
        <f>IF(OR(A4067="",B4067=""),"",B4067-WEEKDAY(B4067,2)+1)</f>
        <v/>
      </c>
      <c r="J4067" s="5">
        <f>IF(I4067="","",I4067+6)</f>
        <v/>
      </c>
      <c r="K4067" s="6">
        <f>IF(OR(A4067="",B4067=""),"",DATE(YEAR(B4067),MONTH(B4067),1))</f>
        <v/>
      </c>
      <c r="L4067" s="7">
        <f>IF(COUNTA(A4067,B4067)=0,"",IF(OR(A4067="",B4067=""),"Preencher CPF e entrada",IF(COUNTIFS($A$12:$A$5011,A4067,$B$12:$B$5011,B4067)&gt;1,"CPF + dia duplicado",IF(OR(AND(E4067&lt;&gt;"",E4067&lt;B4067),AND(F4067&lt;&gt;"",F4067&lt;B4067)),"Evento anterior à entrada",IF(AND(F4067&lt;&gt;"",E4067=""),"Conversa sem agendamento",IF(OR(E4067&gt;TODAY(),F4067&gt;TODAY()),"Verificar evento futuro","OK"))))))</f>
        <v/>
      </c>
    </row>
    <row r="4068" spans="9:12">
      <c r="I4068" s="5">
        <f>IF(OR(A4068="",B4068=""),"",B4068-WEEKDAY(B4068,2)+1)</f>
        <v/>
      </c>
      <c r="J4068" s="5">
        <f>IF(I4068="","",I4068+6)</f>
        <v/>
      </c>
      <c r="K4068" s="6">
        <f>IF(OR(A4068="",B4068=""),"",DATE(YEAR(B4068),MONTH(B4068),1))</f>
        <v/>
      </c>
      <c r="L4068" s="7">
        <f>IF(COUNTA(A4068,B4068)=0,"",IF(OR(A4068="",B4068=""),"Preencher CPF e entrada",IF(COUNTIFS($A$12:$A$5011,A4068,$B$12:$B$5011,B4068)&gt;1,"CPF + dia duplicado",IF(OR(AND(E4068&lt;&gt;"",E4068&lt;B4068),AND(F4068&lt;&gt;"",F4068&lt;B4068)),"Evento anterior à entrada",IF(AND(F4068&lt;&gt;"",E4068=""),"Conversa sem agendamento",IF(OR(E4068&gt;TODAY(),F4068&gt;TODAY()),"Verificar evento futuro","OK"))))))</f>
        <v/>
      </c>
    </row>
    <row r="4069" spans="9:12">
      <c r="I4069" s="5">
        <f>IF(OR(A4069="",B4069=""),"",B4069-WEEKDAY(B4069,2)+1)</f>
        <v/>
      </c>
      <c r="J4069" s="5">
        <f>IF(I4069="","",I4069+6)</f>
        <v/>
      </c>
      <c r="K4069" s="6">
        <f>IF(OR(A4069="",B4069=""),"",DATE(YEAR(B4069),MONTH(B4069),1))</f>
        <v/>
      </c>
      <c r="L4069" s="7">
        <f>IF(COUNTA(A4069,B4069)=0,"",IF(OR(A4069="",B4069=""),"Preencher CPF e entrada",IF(COUNTIFS($A$12:$A$5011,A4069,$B$12:$B$5011,B4069)&gt;1,"CPF + dia duplicado",IF(OR(AND(E4069&lt;&gt;"",E4069&lt;B4069),AND(F4069&lt;&gt;"",F4069&lt;B4069)),"Evento anterior à entrada",IF(AND(F4069&lt;&gt;"",E4069=""),"Conversa sem agendamento",IF(OR(E4069&gt;TODAY(),F4069&gt;TODAY()),"Verificar evento futuro","OK"))))))</f>
        <v/>
      </c>
    </row>
    <row r="4070" spans="9:12">
      <c r="I4070" s="5">
        <f>IF(OR(A4070="",B4070=""),"",B4070-WEEKDAY(B4070,2)+1)</f>
        <v/>
      </c>
      <c r="J4070" s="5">
        <f>IF(I4070="","",I4070+6)</f>
        <v/>
      </c>
      <c r="K4070" s="6">
        <f>IF(OR(A4070="",B4070=""),"",DATE(YEAR(B4070),MONTH(B4070),1))</f>
        <v/>
      </c>
      <c r="L4070" s="7">
        <f>IF(COUNTA(A4070,B4070)=0,"",IF(OR(A4070="",B4070=""),"Preencher CPF e entrada",IF(COUNTIFS($A$12:$A$5011,A4070,$B$12:$B$5011,B4070)&gt;1,"CPF + dia duplicado",IF(OR(AND(E4070&lt;&gt;"",E4070&lt;B4070),AND(F4070&lt;&gt;"",F4070&lt;B4070)),"Evento anterior à entrada",IF(AND(F4070&lt;&gt;"",E4070=""),"Conversa sem agendamento",IF(OR(E4070&gt;TODAY(),F4070&gt;TODAY()),"Verificar evento futuro","OK"))))))</f>
        <v/>
      </c>
    </row>
    <row r="4071" spans="9:12">
      <c r="I4071" s="5">
        <f>IF(OR(A4071="",B4071=""),"",B4071-WEEKDAY(B4071,2)+1)</f>
        <v/>
      </c>
      <c r="J4071" s="5">
        <f>IF(I4071="","",I4071+6)</f>
        <v/>
      </c>
      <c r="K4071" s="6">
        <f>IF(OR(A4071="",B4071=""),"",DATE(YEAR(B4071),MONTH(B4071),1))</f>
        <v/>
      </c>
      <c r="L4071" s="7">
        <f>IF(COUNTA(A4071,B4071)=0,"",IF(OR(A4071="",B4071=""),"Preencher CPF e entrada",IF(COUNTIFS($A$12:$A$5011,A4071,$B$12:$B$5011,B4071)&gt;1,"CPF + dia duplicado",IF(OR(AND(E4071&lt;&gt;"",E4071&lt;B4071),AND(F4071&lt;&gt;"",F4071&lt;B4071)),"Evento anterior à entrada",IF(AND(F4071&lt;&gt;"",E4071=""),"Conversa sem agendamento",IF(OR(E4071&gt;TODAY(),F4071&gt;TODAY()),"Verificar evento futuro","OK"))))))</f>
        <v/>
      </c>
    </row>
    <row r="4072" spans="9:12">
      <c r="I4072" s="5">
        <f>IF(OR(A4072="",B4072=""),"",B4072-WEEKDAY(B4072,2)+1)</f>
        <v/>
      </c>
      <c r="J4072" s="5">
        <f>IF(I4072="","",I4072+6)</f>
        <v/>
      </c>
      <c r="K4072" s="6">
        <f>IF(OR(A4072="",B4072=""),"",DATE(YEAR(B4072),MONTH(B4072),1))</f>
        <v/>
      </c>
      <c r="L4072" s="7">
        <f>IF(COUNTA(A4072,B4072)=0,"",IF(OR(A4072="",B4072=""),"Preencher CPF e entrada",IF(COUNTIFS($A$12:$A$5011,A4072,$B$12:$B$5011,B4072)&gt;1,"CPF + dia duplicado",IF(OR(AND(E4072&lt;&gt;"",E4072&lt;B4072),AND(F4072&lt;&gt;"",F4072&lt;B4072)),"Evento anterior à entrada",IF(AND(F4072&lt;&gt;"",E4072=""),"Conversa sem agendamento",IF(OR(E4072&gt;TODAY(),F4072&gt;TODAY()),"Verificar evento futuro","OK"))))))</f>
        <v/>
      </c>
    </row>
    <row r="4073" spans="9:12">
      <c r="I4073" s="5">
        <f>IF(OR(A4073="",B4073=""),"",B4073-WEEKDAY(B4073,2)+1)</f>
        <v/>
      </c>
      <c r="J4073" s="5">
        <f>IF(I4073="","",I4073+6)</f>
        <v/>
      </c>
      <c r="K4073" s="6">
        <f>IF(OR(A4073="",B4073=""),"",DATE(YEAR(B4073),MONTH(B4073),1))</f>
        <v/>
      </c>
      <c r="L4073" s="7">
        <f>IF(COUNTA(A4073,B4073)=0,"",IF(OR(A4073="",B4073=""),"Preencher CPF e entrada",IF(COUNTIFS($A$12:$A$5011,A4073,$B$12:$B$5011,B4073)&gt;1,"CPF + dia duplicado",IF(OR(AND(E4073&lt;&gt;"",E4073&lt;B4073),AND(F4073&lt;&gt;"",F4073&lt;B4073)),"Evento anterior à entrada",IF(AND(F4073&lt;&gt;"",E4073=""),"Conversa sem agendamento",IF(OR(E4073&gt;TODAY(),F4073&gt;TODAY()),"Verificar evento futuro","OK"))))))</f>
        <v/>
      </c>
    </row>
    <row r="4074" spans="9:12">
      <c r="I4074" s="5">
        <f>IF(OR(A4074="",B4074=""),"",B4074-WEEKDAY(B4074,2)+1)</f>
        <v/>
      </c>
      <c r="J4074" s="5">
        <f>IF(I4074="","",I4074+6)</f>
        <v/>
      </c>
      <c r="K4074" s="6">
        <f>IF(OR(A4074="",B4074=""),"",DATE(YEAR(B4074),MONTH(B4074),1))</f>
        <v/>
      </c>
      <c r="L4074" s="7">
        <f>IF(COUNTA(A4074,B4074)=0,"",IF(OR(A4074="",B4074=""),"Preencher CPF e entrada",IF(COUNTIFS($A$12:$A$5011,A4074,$B$12:$B$5011,B4074)&gt;1,"CPF + dia duplicado",IF(OR(AND(E4074&lt;&gt;"",E4074&lt;B4074),AND(F4074&lt;&gt;"",F4074&lt;B4074)),"Evento anterior à entrada",IF(AND(F4074&lt;&gt;"",E4074=""),"Conversa sem agendamento",IF(OR(E4074&gt;TODAY(),F4074&gt;TODAY()),"Verificar evento futuro","OK"))))))</f>
        <v/>
      </c>
    </row>
    <row r="4075" spans="9:12">
      <c r="I4075" s="5">
        <f>IF(OR(A4075="",B4075=""),"",B4075-WEEKDAY(B4075,2)+1)</f>
        <v/>
      </c>
      <c r="J4075" s="5">
        <f>IF(I4075="","",I4075+6)</f>
        <v/>
      </c>
      <c r="K4075" s="6">
        <f>IF(OR(A4075="",B4075=""),"",DATE(YEAR(B4075),MONTH(B4075),1))</f>
        <v/>
      </c>
      <c r="L4075" s="7">
        <f>IF(COUNTA(A4075,B4075)=0,"",IF(OR(A4075="",B4075=""),"Preencher CPF e entrada",IF(COUNTIFS($A$12:$A$5011,A4075,$B$12:$B$5011,B4075)&gt;1,"CPF + dia duplicado",IF(OR(AND(E4075&lt;&gt;"",E4075&lt;B4075),AND(F4075&lt;&gt;"",F4075&lt;B4075)),"Evento anterior à entrada",IF(AND(F4075&lt;&gt;"",E4075=""),"Conversa sem agendamento",IF(OR(E4075&gt;TODAY(),F4075&gt;TODAY()),"Verificar evento futuro","OK"))))))</f>
        <v/>
      </c>
    </row>
    <row r="4076" spans="9:12">
      <c r="I4076" s="5">
        <f>IF(OR(A4076="",B4076=""),"",B4076-WEEKDAY(B4076,2)+1)</f>
        <v/>
      </c>
      <c r="J4076" s="5">
        <f>IF(I4076="","",I4076+6)</f>
        <v/>
      </c>
      <c r="K4076" s="6">
        <f>IF(OR(A4076="",B4076=""),"",DATE(YEAR(B4076),MONTH(B4076),1))</f>
        <v/>
      </c>
      <c r="L4076" s="7">
        <f>IF(COUNTA(A4076,B4076)=0,"",IF(OR(A4076="",B4076=""),"Preencher CPF e entrada",IF(COUNTIFS($A$12:$A$5011,A4076,$B$12:$B$5011,B4076)&gt;1,"CPF + dia duplicado",IF(OR(AND(E4076&lt;&gt;"",E4076&lt;B4076),AND(F4076&lt;&gt;"",F4076&lt;B4076)),"Evento anterior à entrada",IF(AND(F4076&lt;&gt;"",E4076=""),"Conversa sem agendamento",IF(OR(E4076&gt;TODAY(),F4076&gt;TODAY()),"Verificar evento futuro","OK"))))))</f>
        <v/>
      </c>
    </row>
    <row r="4077" spans="9:12">
      <c r="I4077" s="5">
        <f>IF(OR(A4077="",B4077=""),"",B4077-WEEKDAY(B4077,2)+1)</f>
        <v/>
      </c>
      <c r="J4077" s="5">
        <f>IF(I4077="","",I4077+6)</f>
        <v/>
      </c>
      <c r="K4077" s="6">
        <f>IF(OR(A4077="",B4077=""),"",DATE(YEAR(B4077),MONTH(B4077),1))</f>
        <v/>
      </c>
      <c r="L4077" s="7">
        <f>IF(COUNTA(A4077,B4077)=0,"",IF(OR(A4077="",B4077=""),"Preencher CPF e entrada",IF(COUNTIFS($A$12:$A$5011,A4077,$B$12:$B$5011,B4077)&gt;1,"CPF + dia duplicado",IF(OR(AND(E4077&lt;&gt;"",E4077&lt;B4077),AND(F4077&lt;&gt;"",F4077&lt;B4077)),"Evento anterior à entrada",IF(AND(F4077&lt;&gt;"",E4077=""),"Conversa sem agendamento",IF(OR(E4077&gt;TODAY(),F4077&gt;TODAY()),"Verificar evento futuro","OK"))))))</f>
        <v/>
      </c>
    </row>
    <row r="4078" spans="9:12">
      <c r="I4078" s="5">
        <f>IF(OR(A4078="",B4078=""),"",B4078-WEEKDAY(B4078,2)+1)</f>
        <v/>
      </c>
      <c r="J4078" s="5">
        <f>IF(I4078="","",I4078+6)</f>
        <v/>
      </c>
      <c r="K4078" s="6">
        <f>IF(OR(A4078="",B4078=""),"",DATE(YEAR(B4078),MONTH(B4078),1))</f>
        <v/>
      </c>
      <c r="L4078" s="7">
        <f>IF(COUNTA(A4078,B4078)=0,"",IF(OR(A4078="",B4078=""),"Preencher CPF e entrada",IF(COUNTIFS($A$12:$A$5011,A4078,$B$12:$B$5011,B4078)&gt;1,"CPF + dia duplicado",IF(OR(AND(E4078&lt;&gt;"",E4078&lt;B4078),AND(F4078&lt;&gt;"",F4078&lt;B4078)),"Evento anterior à entrada",IF(AND(F4078&lt;&gt;"",E4078=""),"Conversa sem agendamento",IF(OR(E4078&gt;TODAY(),F4078&gt;TODAY()),"Verificar evento futuro","OK"))))))</f>
        <v/>
      </c>
    </row>
    <row r="4079" spans="9:12">
      <c r="I4079" s="5">
        <f>IF(OR(A4079="",B4079=""),"",B4079-WEEKDAY(B4079,2)+1)</f>
        <v/>
      </c>
      <c r="J4079" s="5">
        <f>IF(I4079="","",I4079+6)</f>
        <v/>
      </c>
      <c r="K4079" s="6">
        <f>IF(OR(A4079="",B4079=""),"",DATE(YEAR(B4079),MONTH(B4079),1))</f>
        <v/>
      </c>
      <c r="L4079" s="7">
        <f>IF(COUNTA(A4079,B4079)=0,"",IF(OR(A4079="",B4079=""),"Preencher CPF e entrada",IF(COUNTIFS($A$12:$A$5011,A4079,$B$12:$B$5011,B4079)&gt;1,"CPF + dia duplicado",IF(OR(AND(E4079&lt;&gt;"",E4079&lt;B4079),AND(F4079&lt;&gt;"",F4079&lt;B4079)),"Evento anterior à entrada",IF(AND(F4079&lt;&gt;"",E4079=""),"Conversa sem agendamento",IF(OR(E4079&gt;TODAY(),F4079&gt;TODAY()),"Verificar evento futuro","OK"))))))</f>
        <v/>
      </c>
    </row>
    <row r="4080" spans="9:12">
      <c r="I4080" s="5">
        <f>IF(OR(A4080="",B4080=""),"",B4080-WEEKDAY(B4080,2)+1)</f>
        <v/>
      </c>
      <c r="J4080" s="5">
        <f>IF(I4080="","",I4080+6)</f>
        <v/>
      </c>
      <c r="K4080" s="6">
        <f>IF(OR(A4080="",B4080=""),"",DATE(YEAR(B4080),MONTH(B4080),1))</f>
        <v/>
      </c>
      <c r="L4080" s="7">
        <f>IF(COUNTA(A4080,B4080)=0,"",IF(OR(A4080="",B4080=""),"Preencher CPF e entrada",IF(COUNTIFS($A$12:$A$5011,A4080,$B$12:$B$5011,B4080)&gt;1,"CPF + dia duplicado",IF(OR(AND(E4080&lt;&gt;"",E4080&lt;B4080),AND(F4080&lt;&gt;"",F4080&lt;B4080)),"Evento anterior à entrada",IF(AND(F4080&lt;&gt;"",E4080=""),"Conversa sem agendamento",IF(OR(E4080&gt;TODAY(),F4080&gt;TODAY()),"Verificar evento futuro","OK"))))))</f>
        <v/>
      </c>
    </row>
    <row r="4081" spans="9:12">
      <c r="I4081" s="5">
        <f>IF(OR(A4081="",B4081=""),"",B4081-WEEKDAY(B4081,2)+1)</f>
        <v/>
      </c>
      <c r="J4081" s="5">
        <f>IF(I4081="","",I4081+6)</f>
        <v/>
      </c>
      <c r="K4081" s="6">
        <f>IF(OR(A4081="",B4081=""),"",DATE(YEAR(B4081),MONTH(B4081),1))</f>
        <v/>
      </c>
      <c r="L4081" s="7">
        <f>IF(COUNTA(A4081,B4081)=0,"",IF(OR(A4081="",B4081=""),"Preencher CPF e entrada",IF(COUNTIFS($A$12:$A$5011,A4081,$B$12:$B$5011,B4081)&gt;1,"CPF + dia duplicado",IF(OR(AND(E4081&lt;&gt;"",E4081&lt;B4081),AND(F4081&lt;&gt;"",F4081&lt;B4081)),"Evento anterior à entrada",IF(AND(F4081&lt;&gt;"",E4081=""),"Conversa sem agendamento",IF(OR(E4081&gt;TODAY(),F4081&gt;TODAY()),"Verificar evento futuro","OK"))))))</f>
        <v/>
      </c>
    </row>
    <row r="4082" spans="9:12">
      <c r="I4082" s="5">
        <f>IF(OR(A4082="",B4082=""),"",B4082-WEEKDAY(B4082,2)+1)</f>
        <v/>
      </c>
      <c r="J4082" s="5">
        <f>IF(I4082="","",I4082+6)</f>
        <v/>
      </c>
      <c r="K4082" s="6">
        <f>IF(OR(A4082="",B4082=""),"",DATE(YEAR(B4082),MONTH(B4082),1))</f>
        <v/>
      </c>
      <c r="L4082" s="7">
        <f>IF(COUNTA(A4082,B4082)=0,"",IF(OR(A4082="",B4082=""),"Preencher CPF e entrada",IF(COUNTIFS($A$12:$A$5011,A4082,$B$12:$B$5011,B4082)&gt;1,"CPF + dia duplicado",IF(OR(AND(E4082&lt;&gt;"",E4082&lt;B4082),AND(F4082&lt;&gt;"",F4082&lt;B4082)),"Evento anterior à entrada",IF(AND(F4082&lt;&gt;"",E4082=""),"Conversa sem agendamento",IF(OR(E4082&gt;TODAY(),F4082&gt;TODAY()),"Verificar evento futuro","OK"))))))</f>
        <v/>
      </c>
    </row>
    <row r="4083" spans="9:12">
      <c r="I4083" s="5">
        <f>IF(OR(A4083="",B4083=""),"",B4083-WEEKDAY(B4083,2)+1)</f>
        <v/>
      </c>
      <c r="J4083" s="5">
        <f>IF(I4083="","",I4083+6)</f>
        <v/>
      </c>
      <c r="K4083" s="6">
        <f>IF(OR(A4083="",B4083=""),"",DATE(YEAR(B4083),MONTH(B4083),1))</f>
        <v/>
      </c>
      <c r="L4083" s="7">
        <f>IF(COUNTA(A4083,B4083)=0,"",IF(OR(A4083="",B4083=""),"Preencher CPF e entrada",IF(COUNTIFS($A$12:$A$5011,A4083,$B$12:$B$5011,B4083)&gt;1,"CPF + dia duplicado",IF(OR(AND(E4083&lt;&gt;"",E4083&lt;B4083),AND(F4083&lt;&gt;"",F4083&lt;B4083)),"Evento anterior à entrada",IF(AND(F4083&lt;&gt;"",E4083=""),"Conversa sem agendamento",IF(OR(E4083&gt;TODAY(),F4083&gt;TODAY()),"Verificar evento futuro","OK"))))))</f>
        <v/>
      </c>
    </row>
    <row r="4084" spans="9:12">
      <c r="I4084" s="5">
        <f>IF(OR(A4084="",B4084=""),"",B4084-WEEKDAY(B4084,2)+1)</f>
        <v/>
      </c>
      <c r="J4084" s="5">
        <f>IF(I4084="","",I4084+6)</f>
        <v/>
      </c>
      <c r="K4084" s="6">
        <f>IF(OR(A4084="",B4084=""),"",DATE(YEAR(B4084),MONTH(B4084),1))</f>
        <v/>
      </c>
      <c r="L4084" s="7">
        <f>IF(COUNTA(A4084,B4084)=0,"",IF(OR(A4084="",B4084=""),"Preencher CPF e entrada",IF(COUNTIFS($A$12:$A$5011,A4084,$B$12:$B$5011,B4084)&gt;1,"CPF + dia duplicado",IF(OR(AND(E4084&lt;&gt;"",E4084&lt;B4084),AND(F4084&lt;&gt;"",F4084&lt;B4084)),"Evento anterior à entrada",IF(AND(F4084&lt;&gt;"",E4084=""),"Conversa sem agendamento",IF(OR(E4084&gt;TODAY(),F4084&gt;TODAY()),"Verificar evento futuro","OK"))))))</f>
        <v/>
      </c>
    </row>
    <row r="4085" spans="9:12">
      <c r="I4085" s="5">
        <f>IF(OR(A4085="",B4085=""),"",B4085-WEEKDAY(B4085,2)+1)</f>
        <v/>
      </c>
      <c r="J4085" s="5">
        <f>IF(I4085="","",I4085+6)</f>
        <v/>
      </c>
      <c r="K4085" s="6">
        <f>IF(OR(A4085="",B4085=""),"",DATE(YEAR(B4085),MONTH(B4085),1))</f>
        <v/>
      </c>
      <c r="L4085" s="7">
        <f>IF(COUNTA(A4085,B4085)=0,"",IF(OR(A4085="",B4085=""),"Preencher CPF e entrada",IF(COUNTIFS($A$12:$A$5011,A4085,$B$12:$B$5011,B4085)&gt;1,"CPF + dia duplicado",IF(OR(AND(E4085&lt;&gt;"",E4085&lt;B4085),AND(F4085&lt;&gt;"",F4085&lt;B4085)),"Evento anterior à entrada",IF(AND(F4085&lt;&gt;"",E4085=""),"Conversa sem agendamento",IF(OR(E4085&gt;TODAY(),F4085&gt;TODAY()),"Verificar evento futuro","OK"))))))</f>
        <v/>
      </c>
    </row>
    <row r="4086" spans="9:12">
      <c r="I4086" s="5">
        <f>IF(OR(A4086="",B4086=""),"",B4086-WEEKDAY(B4086,2)+1)</f>
        <v/>
      </c>
      <c r="J4086" s="5">
        <f>IF(I4086="","",I4086+6)</f>
        <v/>
      </c>
      <c r="K4086" s="6">
        <f>IF(OR(A4086="",B4086=""),"",DATE(YEAR(B4086),MONTH(B4086),1))</f>
        <v/>
      </c>
      <c r="L4086" s="7">
        <f>IF(COUNTA(A4086,B4086)=0,"",IF(OR(A4086="",B4086=""),"Preencher CPF e entrada",IF(COUNTIFS($A$12:$A$5011,A4086,$B$12:$B$5011,B4086)&gt;1,"CPF + dia duplicado",IF(OR(AND(E4086&lt;&gt;"",E4086&lt;B4086),AND(F4086&lt;&gt;"",F4086&lt;B4086)),"Evento anterior à entrada",IF(AND(F4086&lt;&gt;"",E4086=""),"Conversa sem agendamento",IF(OR(E4086&gt;TODAY(),F4086&gt;TODAY()),"Verificar evento futuro","OK"))))))</f>
        <v/>
      </c>
    </row>
    <row r="4087" spans="9:12">
      <c r="I4087" s="5">
        <f>IF(OR(A4087="",B4087=""),"",B4087-WEEKDAY(B4087,2)+1)</f>
        <v/>
      </c>
      <c r="J4087" s="5">
        <f>IF(I4087="","",I4087+6)</f>
        <v/>
      </c>
      <c r="K4087" s="6">
        <f>IF(OR(A4087="",B4087=""),"",DATE(YEAR(B4087),MONTH(B4087),1))</f>
        <v/>
      </c>
      <c r="L4087" s="7">
        <f>IF(COUNTA(A4087,B4087)=0,"",IF(OR(A4087="",B4087=""),"Preencher CPF e entrada",IF(COUNTIFS($A$12:$A$5011,A4087,$B$12:$B$5011,B4087)&gt;1,"CPF + dia duplicado",IF(OR(AND(E4087&lt;&gt;"",E4087&lt;B4087),AND(F4087&lt;&gt;"",F4087&lt;B4087)),"Evento anterior à entrada",IF(AND(F4087&lt;&gt;"",E4087=""),"Conversa sem agendamento",IF(OR(E4087&gt;TODAY(),F4087&gt;TODAY()),"Verificar evento futuro","OK"))))))</f>
        <v/>
      </c>
    </row>
    <row r="4088" spans="9:12">
      <c r="I4088" s="5">
        <f>IF(OR(A4088="",B4088=""),"",B4088-WEEKDAY(B4088,2)+1)</f>
        <v/>
      </c>
      <c r="J4088" s="5">
        <f>IF(I4088="","",I4088+6)</f>
        <v/>
      </c>
      <c r="K4088" s="6">
        <f>IF(OR(A4088="",B4088=""),"",DATE(YEAR(B4088),MONTH(B4088),1))</f>
        <v/>
      </c>
      <c r="L4088" s="7">
        <f>IF(COUNTA(A4088,B4088)=0,"",IF(OR(A4088="",B4088=""),"Preencher CPF e entrada",IF(COUNTIFS($A$12:$A$5011,A4088,$B$12:$B$5011,B4088)&gt;1,"CPF + dia duplicado",IF(OR(AND(E4088&lt;&gt;"",E4088&lt;B4088),AND(F4088&lt;&gt;"",F4088&lt;B4088)),"Evento anterior à entrada",IF(AND(F4088&lt;&gt;"",E4088=""),"Conversa sem agendamento",IF(OR(E4088&gt;TODAY(),F4088&gt;TODAY()),"Verificar evento futuro","OK"))))))</f>
        <v/>
      </c>
    </row>
    <row r="4089" spans="9:12">
      <c r="I4089" s="5">
        <f>IF(OR(A4089="",B4089=""),"",B4089-WEEKDAY(B4089,2)+1)</f>
        <v/>
      </c>
      <c r="J4089" s="5">
        <f>IF(I4089="","",I4089+6)</f>
        <v/>
      </c>
      <c r="K4089" s="6">
        <f>IF(OR(A4089="",B4089=""),"",DATE(YEAR(B4089),MONTH(B4089),1))</f>
        <v/>
      </c>
      <c r="L4089" s="7">
        <f>IF(COUNTA(A4089,B4089)=0,"",IF(OR(A4089="",B4089=""),"Preencher CPF e entrada",IF(COUNTIFS($A$12:$A$5011,A4089,$B$12:$B$5011,B4089)&gt;1,"CPF + dia duplicado",IF(OR(AND(E4089&lt;&gt;"",E4089&lt;B4089),AND(F4089&lt;&gt;"",F4089&lt;B4089)),"Evento anterior à entrada",IF(AND(F4089&lt;&gt;"",E4089=""),"Conversa sem agendamento",IF(OR(E4089&gt;TODAY(),F4089&gt;TODAY()),"Verificar evento futuro","OK"))))))</f>
        <v/>
      </c>
    </row>
    <row r="4090" spans="9:12">
      <c r="I4090" s="5">
        <f>IF(OR(A4090="",B4090=""),"",B4090-WEEKDAY(B4090,2)+1)</f>
        <v/>
      </c>
      <c r="J4090" s="5">
        <f>IF(I4090="","",I4090+6)</f>
        <v/>
      </c>
      <c r="K4090" s="6">
        <f>IF(OR(A4090="",B4090=""),"",DATE(YEAR(B4090),MONTH(B4090),1))</f>
        <v/>
      </c>
      <c r="L4090" s="7">
        <f>IF(COUNTA(A4090,B4090)=0,"",IF(OR(A4090="",B4090=""),"Preencher CPF e entrada",IF(COUNTIFS($A$12:$A$5011,A4090,$B$12:$B$5011,B4090)&gt;1,"CPF + dia duplicado",IF(OR(AND(E4090&lt;&gt;"",E4090&lt;B4090),AND(F4090&lt;&gt;"",F4090&lt;B4090)),"Evento anterior à entrada",IF(AND(F4090&lt;&gt;"",E4090=""),"Conversa sem agendamento",IF(OR(E4090&gt;TODAY(),F4090&gt;TODAY()),"Verificar evento futuro","OK"))))))</f>
        <v/>
      </c>
    </row>
    <row r="4091" spans="9:12">
      <c r="I4091" s="5">
        <f>IF(OR(A4091="",B4091=""),"",B4091-WEEKDAY(B4091,2)+1)</f>
        <v/>
      </c>
      <c r="J4091" s="5">
        <f>IF(I4091="","",I4091+6)</f>
        <v/>
      </c>
      <c r="K4091" s="6">
        <f>IF(OR(A4091="",B4091=""),"",DATE(YEAR(B4091),MONTH(B4091),1))</f>
        <v/>
      </c>
      <c r="L4091" s="7">
        <f>IF(COUNTA(A4091,B4091)=0,"",IF(OR(A4091="",B4091=""),"Preencher CPF e entrada",IF(COUNTIFS($A$12:$A$5011,A4091,$B$12:$B$5011,B4091)&gt;1,"CPF + dia duplicado",IF(OR(AND(E4091&lt;&gt;"",E4091&lt;B4091),AND(F4091&lt;&gt;"",F4091&lt;B4091)),"Evento anterior à entrada",IF(AND(F4091&lt;&gt;"",E4091=""),"Conversa sem agendamento",IF(OR(E4091&gt;TODAY(),F4091&gt;TODAY()),"Verificar evento futuro","OK"))))))</f>
        <v/>
      </c>
    </row>
    <row r="4092" spans="9:12">
      <c r="I4092" s="5">
        <f>IF(OR(A4092="",B4092=""),"",B4092-WEEKDAY(B4092,2)+1)</f>
        <v/>
      </c>
      <c r="J4092" s="5">
        <f>IF(I4092="","",I4092+6)</f>
        <v/>
      </c>
      <c r="K4092" s="6">
        <f>IF(OR(A4092="",B4092=""),"",DATE(YEAR(B4092),MONTH(B4092),1))</f>
        <v/>
      </c>
      <c r="L4092" s="7">
        <f>IF(COUNTA(A4092,B4092)=0,"",IF(OR(A4092="",B4092=""),"Preencher CPF e entrada",IF(COUNTIFS($A$12:$A$5011,A4092,$B$12:$B$5011,B4092)&gt;1,"CPF + dia duplicado",IF(OR(AND(E4092&lt;&gt;"",E4092&lt;B4092),AND(F4092&lt;&gt;"",F4092&lt;B4092)),"Evento anterior à entrada",IF(AND(F4092&lt;&gt;"",E4092=""),"Conversa sem agendamento",IF(OR(E4092&gt;TODAY(),F4092&gt;TODAY()),"Verificar evento futuro","OK"))))))</f>
        <v/>
      </c>
    </row>
    <row r="4093" spans="9:12">
      <c r="I4093" s="5">
        <f>IF(OR(A4093="",B4093=""),"",B4093-WEEKDAY(B4093,2)+1)</f>
        <v/>
      </c>
      <c r="J4093" s="5">
        <f>IF(I4093="","",I4093+6)</f>
        <v/>
      </c>
      <c r="K4093" s="6">
        <f>IF(OR(A4093="",B4093=""),"",DATE(YEAR(B4093),MONTH(B4093),1))</f>
        <v/>
      </c>
      <c r="L4093" s="7">
        <f>IF(COUNTA(A4093,B4093)=0,"",IF(OR(A4093="",B4093=""),"Preencher CPF e entrada",IF(COUNTIFS($A$12:$A$5011,A4093,$B$12:$B$5011,B4093)&gt;1,"CPF + dia duplicado",IF(OR(AND(E4093&lt;&gt;"",E4093&lt;B4093),AND(F4093&lt;&gt;"",F4093&lt;B4093)),"Evento anterior à entrada",IF(AND(F4093&lt;&gt;"",E4093=""),"Conversa sem agendamento",IF(OR(E4093&gt;TODAY(),F4093&gt;TODAY()),"Verificar evento futuro","OK"))))))</f>
        <v/>
      </c>
    </row>
    <row r="4094" spans="9:12">
      <c r="I4094" s="5">
        <f>IF(OR(A4094="",B4094=""),"",B4094-WEEKDAY(B4094,2)+1)</f>
        <v/>
      </c>
      <c r="J4094" s="5">
        <f>IF(I4094="","",I4094+6)</f>
        <v/>
      </c>
      <c r="K4094" s="6">
        <f>IF(OR(A4094="",B4094=""),"",DATE(YEAR(B4094),MONTH(B4094),1))</f>
        <v/>
      </c>
      <c r="L4094" s="7">
        <f>IF(COUNTA(A4094,B4094)=0,"",IF(OR(A4094="",B4094=""),"Preencher CPF e entrada",IF(COUNTIFS($A$12:$A$5011,A4094,$B$12:$B$5011,B4094)&gt;1,"CPF + dia duplicado",IF(OR(AND(E4094&lt;&gt;"",E4094&lt;B4094),AND(F4094&lt;&gt;"",F4094&lt;B4094)),"Evento anterior à entrada",IF(AND(F4094&lt;&gt;"",E4094=""),"Conversa sem agendamento",IF(OR(E4094&gt;TODAY(),F4094&gt;TODAY()),"Verificar evento futuro","OK"))))))</f>
        <v/>
      </c>
    </row>
    <row r="4095" spans="9:12">
      <c r="I4095" s="5">
        <f>IF(OR(A4095="",B4095=""),"",B4095-WEEKDAY(B4095,2)+1)</f>
        <v/>
      </c>
      <c r="J4095" s="5">
        <f>IF(I4095="","",I4095+6)</f>
        <v/>
      </c>
      <c r="K4095" s="6">
        <f>IF(OR(A4095="",B4095=""),"",DATE(YEAR(B4095),MONTH(B4095),1))</f>
        <v/>
      </c>
      <c r="L4095" s="7">
        <f>IF(COUNTA(A4095,B4095)=0,"",IF(OR(A4095="",B4095=""),"Preencher CPF e entrada",IF(COUNTIFS($A$12:$A$5011,A4095,$B$12:$B$5011,B4095)&gt;1,"CPF + dia duplicado",IF(OR(AND(E4095&lt;&gt;"",E4095&lt;B4095),AND(F4095&lt;&gt;"",F4095&lt;B4095)),"Evento anterior à entrada",IF(AND(F4095&lt;&gt;"",E4095=""),"Conversa sem agendamento",IF(OR(E4095&gt;TODAY(),F4095&gt;TODAY()),"Verificar evento futuro","OK"))))))</f>
        <v/>
      </c>
    </row>
    <row r="4096" spans="9:12">
      <c r="I4096" s="5">
        <f>IF(OR(A4096="",B4096=""),"",B4096-WEEKDAY(B4096,2)+1)</f>
        <v/>
      </c>
      <c r="J4096" s="5">
        <f>IF(I4096="","",I4096+6)</f>
        <v/>
      </c>
      <c r="K4096" s="6">
        <f>IF(OR(A4096="",B4096=""),"",DATE(YEAR(B4096),MONTH(B4096),1))</f>
        <v/>
      </c>
      <c r="L4096" s="7">
        <f>IF(COUNTA(A4096,B4096)=0,"",IF(OR(A4096="",B4096=""),"Preencher CPF e entrada",IF(COUNTIFS($A$12:$A$5011,A4096,$B$12:$B$5011,B4096)&gt;1,"CPF + dia duplicado",IF(OR(AND(E4096&lt;&gt;"",E4096&lt;B4096),AND(F4096&lt;&gt;"",F4096&lt;B4096)),"Evento anterior à entrada",IF(AND(F4096&lt;&gt;"",E4096=""),"Conversa sem agendamento",IF(OR(E4096&gt;TODAY(),F4096&gt;TODAY()),"Verificar evento futuro","OK"))))))</f>
        <v/>
      </c>
    </row>
    <row r="4097" spans="9:12">
      <c r="I4097" s="5">
        <f>IF(OR(A4097="",B4097=""),"",B4097-WEEKDAY(B4097,2)+1)</f>
        <v/>
      </c>
      <c r="J4097" s="5">
        <f>IF(I4097="","",I4097+6)</f>
        <v/>
      </c>
      <c r="K4097" s="6">
        <f>IF(OR(A4097="",B4097=""),"",DATE(YEAR(B4097),MONTH(B4097),1))</f>
        <v/>
      </c>
      <c r="L4097" s="7">
        <f>IF(COUNTA(A4097,B4097)=0,"",IF(OR(A4097="",B4097=""),"Preencher CPF e entrada",IF(COUNTIFS($A$12:$A$5011,A4097,$B$12:$B$5011,B4097)&gt;1,"CPF + dia duplicado",IF(OR(AND(E4097&lt;&gt;"",E4097&lt;B4097),AND(F4097&lt;&gt;"",F4097&lt;B4097)),"Evento anterior à entrada",IF(AND(F4097&lt;&gt;"",E4097=""),"Conversa sem agendamento",IF(OR(E4097&gt;TODAY(),F4097&gt;TODAY()),"Verificar evento futuro","OK"))))))</f>
        <v/>
      </c>
    </row>
    <row r="4098" spans="9:12">
      <c r="I4098" s="5">
        <f>IF(OR(A4098="",B4098=""),"",B4098-WEEKDAY(B4098,2)+1)</f>
        <v/>
      </c>
      <c r="J4098" s="5">
        <f>IF(I4098="","",I4098+6)</f>
        <v/>
      </c>
      <c r="K4098" s="6">
        <f>IF(OR(A4098="",B4098=""),"",DATE(YEAR(B4098),MONTH(B4098),1))</f>
        <v/>
      </c>
      <c r="L4098" s="7">
        <f>IF(COUNTA(A4098,B4098)=0,"",IF(OR(A4098="",B4098=""),"Preencher CPF e entrada",IF(COUNTIFS($A$12:$A$5011,A4098,$B$12:$B$5011,B4098)&gt;1,"CPF + dia duplicado",IF(OR(AND(E4098&lt;&gt;"",E4098&lt;B4098),AND(F4098&lt;&gt;"",F4098&lt;B4098)),"Evento anterior à entrada",IF(AND(F4098&lt;&gt;"",E4098=""),"Conversa sem agendamento",IF(OR(E4098&gt;TODAY(),F4098&gt;TODAY()),"Verificar evento futuro","OK"))))))</f>
        <v/>
      </c>
    </row>
    <row r="4099" spans="9:12">
      <c r="I4099" s="5">
        <f>IF(OR(A4099="",B4099=""),"",B4099-WEEKDAY(B4099,2)+1)</f>
        <v/>
      </c>
      <c r="J4099" s="5">
        <f>IF(I4099="","",I4099+6)</f>
        <v/>
      </c>
      <c r="K4099" s="6">
        <f>IF(OR(A4099="",B4099=""),"",DATE(YEAR(B4099),MONTH(B4099),1))</f>
        <v/>
      </c>
      <c r="L4099" s="7">
        <f>IF(COUNTA(A4099,B4099)=0,"",IF(OR(A4099="",B4099=""),"Preencher CPF e entrada",IF(COUNTIFS($A$12:$A$5011,A4099,$B$12:$B$5011,B4099)&gt;1,"CPF + dia duplicado",IF(OR(AND(E4099&lt;&gt;"",E4099&lt;B4099),AND(F4099&lt;&gt;"",F4099&lt;B4099)),"Evento anterior à entrada",IF(AND(F4099&lt;&gt;"",E4099=""),"Conversa sem agendamento",IF(OR(E4099&gt;TODAY(),F4099&gt;TODAY()),"Verificar evento futuro","OK"))))))</f>
        <v/>
      </c>
    </row>
    <row r="4100" spans="9:12">
      <c r="I4100" s="5">
        <f>IF(OR(A4100="",B4100=""),"",B4100-WEEKDAY(B4100,2)+1)</f>
        <v/>
      </c>
      <c r="J4100" s="5">
        <f>IF(I4100="","",I4100+6)</f>
        <v/>
      </c>
      <c r="K4100" s="6">
        <f>IF(OR(A4100="",B4100=""),"",DATE(YEAR(B4100),MONTH(B4100),1))</f>
        <v/>
      </c>
      <c r="L4100" s="7">
        <f>IF(COUNTA(A4100,B4100)=0,"",IF(OR(A4100="",B4100=""),"Preencher CPF e entrada",IF(COUNTIFS($A$12:$A$5011,A4100,$B$12:$B$5011,B4100)&gt;1,"CPF + dia duplicado",IF(OR(AND(E4100&lt;&gt;"",E4100&lt;B4100),AND(F4100&lt;&gt;"",F4100&lt;B4100)),"Evento anterior à entrada",IF(AND(F4100&lt;&gt;"",E4100=""),"Conversa sem agendamento",IF(OR(E4100&gt;TODAY(),F4100&gt;TODAY()),"Verificar evento futuro","OK"))))))</f>
        <v/>
      </c>
    </row>
    <row r="4101" spans="9:12">
      <c r="I4101" s="5">
        <f>IF(OR(A4101="",B4101=""),"",B4101-WEEKDAY(B4101,2)+1)</f>
        <v/>
      </c>
      <c r="J4101" s="5">
        <f>IF(I4101="","",I4101+6)</f>
        <v/>
      </c>
      <c r="K4101" s="6">
        <f>IF(OR(A4101="",B4101=""),"",DATE(YEAR(B4101),MONTH(B4101),1))</f>
        <v/>
      </c>
      <c r="L4101" s="7">
        <f>IF(COUNTA(A4101,B4101)=0,"",IF(OR(A4101="",B4101=""),"Preencher CPF e entrada",IF(COUNTIFS($A$12:$A$5011,A4101,$B$12:$B$5011,B4101)&gt;1,"CPF + dia duplicado",IF(OR(AND(E4101&lt;&gt;"",E4101&lt;B4101),AND(F4101&lt;&gt;"",F4101&lt;B4101)),"Evento anterior à entrada",IF(AND(F4101&lt;&gt;"",E4101=""),"Conversa sem agendamento",IF(OR(E4101&gt;TODAY(),F4101&gt;TODAY()),"Verificar evento futuro","OK"))))))</f>
        <v/>
      </c>
    </row>
    <row r="4102" spans="9:12">
      <c r="I4102" s="5">
        <f>IF(OR(A4102="",B4102=""),"",B4102-WEEKDAY(B4102,2)+1)</f>
        <v/>
      </c>
      <c r="J4102" s="5">
        <f>IF(I4102="","",I4102+6)</f>
        <v/>
      </c>
      <c r="K4102" s="6">
        <f>IF(OR(A4102="",B4102=""),"",DATE(YEAR(B4102),MONTH(B4102),1))</f>
        <v/>
      </c>
      <c r="L4102" s="7">
        <f>IF(COUNTA(A4102,B4102)=0,"",IF(OR(A4102="",B4102=""),"Preencher CPF e entrada",IF(COUNTIFS($A$12:$A$5011,A4102,$B$12:$B$5011,B4102)&gt;1,"CPF + dia duplicado",IF(OR(AND(E4102&lt;&gt;"",E4102&lt;B4102),AND(F4102&lt;&gt;"",F4102&lt;B4102)),"Evento anterior à entrada",IF(AND(F4102&lt;&gt;"",E4102=""),"Conversa sem agendamento",IF(OR(E4102&gt;TODAY(),F4102&gt;TODAY()),"Verificar evento futuro","OK"))))))</f>
        <v/>
      </c>
    </row>
    <row r="4103" spans="9:12">
      <c r="I4103" s="5">
        <f>IF(OR(A4103="",B4103=""),"",B4103-WEEKDAY(B4103,2)+1)</f>
        <v/>
      </c>
      <c r="J4103" s="5">
        <f>IF(I4103="","",I4103+6)</f>
        <v/>
      </c>
      <c r="K4103" s="6">
        <f>IF(OR(A4103="",B4103=""),"",DATE(YEAR(B4103),MONTH(B4103),1))</f>
        <v/>
      </c>
      <c r="L4103" s="7">
        <f>IF(COUNTA(A4103,B4103)=0,"",IF(OR(A4103="",B4103=""),"Preencher CPF e entrada",IF(COUNTIFS($A$12:$A$5011,A4103,$B$12:$B$5011,B4103)&gt;1,"CPF + dia duplicado",IF(OR(AND(E4103&lt;&gt;"",E4103&lt;B4103),AND(F4103&lt;&gt;"",F4103&lt;B4103)),"Evento anterior à entrada",IF(AND(F4103&lt;&gt;"",E4103=""),"Conversa sem agendamento",IF(OR(E4103&gt;TODAY(),F4103&gt;TODAY()),"Verificar evento futuro","OK"))))))</f>
        <v/>
      </c>
    </row>
    <row r="4104" spans="9:12">
      <c r="I4104" s="5">
        <f>IF(OR(A4104="",B4104=""),"",B4104-WEEKDAY(B4104,2)+1)</f>
        <v/>
      </c>
      <c r="J4104" s="5">
        <f>IF(I4104="","",I4104+6)</f>
        <v/>
      </c>
      <c r="K4104" s="6">
        <f>IF(OR(A4104="",B4104=""),"",DATE(YEAR(B4104),MONTH(B4104),1))</f>
        <v/>
      </c>
      <c r="L4104" s="7">
        <f>IF(COUNTA(A4104,B4104)=0,"",IF(OR(A4104="",B4104=""),"Preencher CPF e entrada",IF(COUNTIFS($A$12:$A$5011,A4104,$B$12:$B$5011,B4104)&gt;1,"CPF + dia duplicado",IF(OR(AND(E4104&lt;&gt;"",E4104&lt;B4104),AND(F4104&lt;&gt;"",F4104&lt;B4104)),"Evento anterior à entrada",IF(AND(F4104&lt;&gt;"",E4104=""),"Conversa sem agendamento",IF(OR(E4104&gt;TODAY(),F4104&gt;TODAY()),"Verificar evento futuro","OK"))))))</f>
        <v/>
      </c>
    </row>
    <row r="4105" spans="9:12">
      <c r="I4105" s="5">
        <f>IF(OR(A4105="",B4105=""),"",B4105-WEEKDAY(B4105,2)+1)</f>
        <v/>
      </c>
      <c r="J4105" s="5">
        <f>IF(I4105="","",I4105+6)</f>
        <v/>
      </c>
      <c r="K4105" s="6">
        <f>IF(OR(A4105="",B4105=""),"",DATE(YEAR(B4105),MONTH(B4105),1))</f>
        <v/>
      </c>
      <c r="L4105" s="7">
        <f>IF(COUNTA(A4105,B4105)=0,"",IF(OR(A4105="",B4105=""),"Preencher CPF e entrada",IF(COUNTIFS($A$12:$A$5011,A4105,$B$12:$B$5011,B4105)&gt;1,"CPF + dia duplicado",IF(OR(AND(E4105&lt;&gt;"",E4105&lt;B4105),AND(F4105&lt;&gt;"",F4105&lt;B4105)),"Evento anterior à entrada",IF(AND(F4105&lt;&gt;"",E4105=""),"Conversa sem agendamento",IF(OR(E4105&gt;TODAY(),F4105&gt;TODAY()),"Verificar evento futuro","OK"))))))</f>
        <v/>
      </c>
    </row>
    <row r="4106" spans="9:12">
      <c r="I4106" s="5">
        <f>IF(OR(A4106="",B4106=""),"",B4106-WEEKDAY(B4106,2)+1)</f>
        <v/>
      </c>
      <c r="J4106" s="5">
        <f>IF(I4106="","",I4106+6)</f>
        <v/>
      </c>
      <c r="K4106" s="6">
        <f>IF(OR(A4106="",B4106=""),"",DATE(YEAR(B4106),MONTH(B4106),1))</f>
        <v/>
      </c>
      <c r="L4106" s="7">
        <f>IF(COUNTA(A4106,B4106)=0,"",IF(OR(A4106="",B4106=""),"Preencher CPF e entrada",IF(COUNTIFS($A$12:$A$5011,A4106,$B$12:$B$5011,B4106)&gt;1,"CPF + dia duplicado",IF(OR(AND(E4106&lt;&gt;"",E4106&lt;B4106),AND(F4106&lt;&gt;"",F4106&lt;B4106)),"Evento anterior à entrada",IF(AND(F4106&lt;&gt;"",E4106=""),"Conversa sem agendamento",IF(OR(E4106&gt;TODAY(),F4106&gt;TODAY()),"Verificar evento futuro","OK"))))))</f>
        <v/>
      </c>
    </row>
    <row r="4107" spans="9:12">
      <c r="I4107" s="5">
        <f>IF(OR(A4107="",B4107=""),"",B4107-WEEKDAY(B4107,2)+1)</f>
        <v/>
      </c>
      <c r="J4107" s="5">
        <f>IF(I4107="","",I4107+6)</f>
        <v/>
      </c>
      <c r="K4107" s="6">
        <f>IF(OR(A4107="",B4107=""),"",DATE(YEAR(B4107),MONTH(B4107),1))</f>
        <v/>
      </c>
      <c r="L4107" s="7">
        <f>IF(COUNTA(A4107,B4107)=0,"",IF(OR(A4107="",B4107=""),"Preencher CPF e entrada",IF(COUNTIFS($A$12:$A$5011,A4107,$B$12:$B$5011,B4107)&gt;1,"CPF + dia duplicado",IF(OR(AND(E4107&lt;&gt;"",E4107&lt;B4107),AND(F4107&lt;&gt;"",F4107&lt;B4107)),"Evento anterior à entrada",IF(AND(F4107&lt;&gt;"",E4107=""),"Conversa sem agendamento",IF(OR(E4107&gt;TODAY(),F4107&gt;TODAY()),"Verificar evento futuro","OK"))))))</f>
        <v/>
      </c>
    </row>
    <row r="4108" spans="9:12">
      <c r="I4108" s="5">
        <f>IF(OR(A4108="",B4108=""),"",B4108-WEEKDAY(B4108,2)+1)</f>
        <v/>
      </c>
      <c r="J4108" s="5">
        <f>IF(I4108="","",I4108+6)</f>
        <v/>
      </c>
      <c r="K4108" s="6">
        <f>IF(OR(A4108="",B4108=""),"",DATE(YEAR(B4108),MONTH(B4108),1))</f>
        <v/>
      </c>
      <c r="L4108" s="7">
        <f>IF(COUNTA(A4108,B4108)=0,"",IF(OR(A4108="",B4108=""),"Preencher CPF e entrada",IF(COUNTIFS($A$12:$A$5011,A4108,$B$12:$B$5011,B4108)&gt;1,"CPF + dia duplicado",IF(OR(AND(E4108&lt;&gt;"",E4108&lt;B4108),AND(F4108&lt;&gt;"",F4108&lt;B4108)),"Evento anterior à entrada",IF(AND(F4108&lt;&gt;"",E4108=""),"Conversa sem agendamento",IF(OR(E4108&gt;TODAY(),F4108&gt;TODAY()),"Verificar evento futuro","OK"))))))</f>
        <v/>
      </c>
    </row>
    <row r="4109" spans="9:12">
      <c r="I4109" s="5">
        <f>IF(OR(A4109="",B4109=""),"",B4109-WEEKDAY(B4109,2)+1)</f>
        <v/>
      </c>
      <c r="J4109" s="5">
        <f>IF(I4109="","",I4109+6)</f>
        <v/>
      </c>
      <c r="K4109" s="6">
        <f>IF(OR(A4109="",B4109=""),"",DATE(YEAR(B4109),MONTH(B4109),1))</f>
        <v/>
      </c>
      <c r="L4109" s="7">
        <f>IF(COUNTA(A4109,B4109)=0,"",IF(OR(A4109="",B4109=""),"Preencher CPF e entrada",IF(COUNTIFS($A$12:$A$5011,A4109,$B$12:$B$5011,B4109)&gt;1,"CPF + dia duplicado",IF(OR(AND(E4109&lt;&gt;"",E4109&lt;B4109),AND(F4109&lt;&gt;"",F4109&lt;B4109)),"Evento anterior à entrada",IF(AND(F4109&lt;&gt;"",E4109=""),"Conversa sem agendamento",IF(OR(E4109&gt;TODAY(),F4109&gt;TODAY()),"Verificar evento futuro","OK"))))))</f>
        <v/>
      </c>
    </row>
    <row r="4110" spans="9:12">
      <c r="I4110" s="5">
        <f>IF(OR(A4110="",B4110=""),"",B4110-WEEKDAY(B4110,2)+1)</f>
        <v/>
      </c>
      <c r="J4110" s="5">
        <f>IF(I4110="","",I4110+6)</f>
        <v/>
      </c>
      <c r="K4110" s="6">
        <f>IF(OR(A4110="",B4110=""),"",DATE(YEAR(B4110),MONTH(B4110),1))</f>
        <v/>
      </c>
      <c r="L4110" s="7">
        <f>IF(COUNTA(A4110,B4110)=0,"",IF(OR(A4110="",B4110=""),"Preencher CPF e entrada",IF(COUNTIFS($A$12:$A$5011,A4110,$B$12:$B$5011,B4110)&gt;1,"CPF + dia duplicado",IF(OR(AND(E4110&lt;&gt;"",E4110&lt;B4110),AND(F4110&lt;&gt;"",F4110&lt;B4110)),"Evento anterior à entrada",IF(AND(F4110&lt;&gt;"",E4110=""),"Conversa sem agendamento",IF(OR(E4110&gt;TODAY(),F4110&gt;TODAY()),"Verificar evento futuro","OK"))))))</f>
        <v/>
      </c>
    </row>
    <row r="4111" spans="9:12">
      <c r="I4111" s="5">
        <f>IF(OR(A4111="",B4111=""),"",B4111-WEEKDAY(B4111,2)+1)</f>
        <v/>
      </c>
      <c r="J4111" s="5">
        <f>IF(I4111="","",I4111+6)</f>
        <v/>
      </c>
      <c r="K4111" s="6">
        <f>IF(OR(A4111="",B4111=""),"",DATE(YEAR(B4111),MONTH(B4111),1))</f>
        <v/>
      </c>
      <c r="L4111" s="7">
        <f>IF(COUNTA(A4111,B4111)=0,"",IF(OR(A4111="",B4111=""),"Preencher CPF e entrada",IF(COUNTIFS($A$12:$A$5011,A4111,$B$12:$B$5011,B4111)&gt;1,"CPF + dia duplicado",IF(OR(AND(E4111&lt;&gt;"",E4111&lt;B4111),AND(F4111&lt;&gt;"",F4111&lt;B4111)),"Evento anterior à entrada",IF(AND(F4111&lt;&gt;"",E4111=""),"Conversa sem agendamento",IF(OR(E4111&gt;TODAY(),F4111&gt;TODAY()),"Verificar evento futuro","OK"))))))</f>
        <v/>
      </c>
    </row>
    <row r="4112" spans="9:12">
      <c r="I4112" s="5">
        <f>IF(OR(A4112="",B4112=""),"",B4112-WEEKDAY(B4112,2)+1)</f>
        <v/>
      </c>
      <c r="J4112" s="5">
        <f>IF(I4112="","",I4112+6)</f>
        <v/>
      </c>
      <c r="K4112" s="6">
        <f>IF(OR(A4112="",B4112=""),"",DATE(YEAR(B4112),MONTH(B4112),1))</f>
        <v/>
      </c>
      <c r="L4112" s="7">
        <f>IF(COUNTA(A4112,B4112)=0,"",IF(OR(A4112="",B4112=""),"Preencher CPF e entrada",IF(COUNTIFS($A$12:$A$5011,A4112,$B$12:$B$5011,B4112)&gt;1,"CPF + dia duplicado",IF(OR(AND(E4112&lt;&gt;"",E4112&lt;B4112),AND(F4112&lt;&gt;"",F4112&lt;B4112)),"Evento anterior à entrada",IF(AND(F4112&lt;&gt;"",E4112=""),"Conversa sem agendamento",IF(OR(E4112&gt;TODAY(),F4112&gt;TODAY()),"Verificar evento futuro","OK"))))))</f>
        <v/>
      </c>
    </row>
    <row r="4113" spans="9:12">
      <c r="I4113" s="5">
        <f>IF(OR(A4113="",B4113=""),"",B4113-WEEKDAY(B4113,2)+1)</f>
        <v/>
      </c>
      <c r="J4113" s="5">
        <f>IF(I4113="","",I4113+6)</f>
        <v/>
      </c>
      <c r="K4113" s="6">
        <f>IF(OR(A4113="",B4113=""),"",DATE(YEAR(B4113),MONTH(B4113),1))</f>
        <v/>
      </c>
      <c r="L4113" s="7">
        <f>IF(COUNTA(A4113,B4113)=0,"",IF(OR(A4113="",B4113=""),"Preencher CPF e entrada",IF(COUNTIFS($A$12:$A$5011,A4113,$B$12:$B$5011,B4113)&gt;1,"CPF + dia duplicado",IF(OR(AND(E4113&lt;&gt;"",E4113&lt;B4113),AND(F4113&lt;&gt;"",F4113&lt;B4113)),"Evento anterior à entrada",IF(AND(F4113&lt;&gt;"",E4113=""),"Conversa sem agendamento",IF(OR(E4113&gt;TODAY(),F4113&gt;TODAY()),"Verificar evento futuro","OK"))))))</f>
        <v/>
      </c>
    </row>
    <row r="4114" spans="9:12">
      <c r="I4114" s="5">
        <f>IF(OR(A4114="",B4114=""),"",B4114-WEEKDAY(B4114,2)+1)</f>
        <v/>
      </c>
      <c r="J4114" s="5">
        <f>IF(I4114="","",I4114+6)</f>
        <v/>
      </c>
      <c r="K4114" s="6">
        <f>IF(OR(A4114="",B4114=""),"",DATE(YEAR(B4114),MONTH(B4114),1))</f>
        <v/>
      </c>
      <c r="L4114" s="7">
        <f>IF(COUNTA(A4114,B4114)=0,"",IF(OR(A4114="",B4114=""),"Preencher CPF e entrada",IF(COUNTIFS($A$12:$A$5011,A4114,$B$12:$B$5011,B4114)&gt;1,"CPF + dia duplicado",IF(OR(AND(E4114&lt;&gt;"",E4114&lt;B4114),AND(F4114&lt;&gt;"",F4114&lt;B4114)),"Evento anterior à entrada",IF(AND(F4114&lt;&gt;"",E4114=""),"Conversa sem agendamento",IF(OR(E4114&gt;TODAY(),F4114&gt;TODAY()),"Verificar evento futuro","OK"))))))</f>
        <v/>
      </c>
    </row>
    <row r="4115" spans="9:12">
      <c r="I4115" s="5">
        <f>IF(OR(A4115="",B4115=""),"",B4115-WEEKDAY(B4115,2)+1)</f>
        <v/>
      </c>
      <c r="J4115" s="5">
        <f>IF(I4115="","",I4115+6)</f>
        <v/>
      </c>
      <c r="K4115" s="6">
        <f>IF(OR(A4115="",B4115=""),"",DATE(YEAR(B4115),MONTH(B4115),1))</f>
        <v/>
      </c>
      <c r="L4115" s="7">
        <f>IF(COUNTA(A4115,B4115)=0,"",IF(OR(A4115="",B4115=""),"Preencher CPF e entrada",IF(COUNTIFS($A$12:$A$5011,A4115,$B$12:$B$5011,B4115)&gt;1,"CPF + dia duplicado",IF(OR(AND(E4115&lt;&gt;"",E4115&lt;B4115),AND(F4115&lt;&gt;"",F4115&lt;B4115)),"Evento anterior à entrada",IF(AND(F4115&lt;&gt;"",E4115=""),"Conversa sem agendamento",IF(OR(E4115&gt;TODAY(),F4115&gt;TODAY()),"Verificar evento futuro","OK"))))))</f>
        <v/>
      </c>
    </row>
    <row r="4116" spans="9:12">
      <c r="I4116" s="5">
        <f>IF(OR(A4116="",B4116=""),"",B4116-WEEKDAY(B4116,2)+1)</f>
        <v/>
      </c>
      <c r="J4116" s="5">
        <f>IF(I4116="","",I4116+6)</f>
        <v/>
      </c>
      <c r="K4116" s="6">
        <f>IF(OR(A4116="",B4116=""),"",DATE(YEAR(B4116),MONTH(B4116),1))</f>
        <v/>
      </c>
      <c r="L4116" s="7">
        <f>IF(COUNTA(A4116,B4116)=0,"",IF(OR(A4116="",B4116=""),"Preencher CPF e entrada",IF(COUNTIFS($A$12:$A$5011,A4116,$B$12:$B$5011,B4116)&gt;1,"CPF + dia duplicado",IF(OR(AND(E4116&lt;&gt;"",E4116&lt;B4116),AND(F4116&lt;&gt;"",F4116&lt;B4116)),"Evento anterior à entrada",IF(AND(F4116&lt;&gt;"",E4116=""),"Conversa sem agendamento",IF(OR(E4116&gt;TODAY(),F4116&gt;TODAY()),"Verificar evento futuro","OK"))))))</f>
        <v/>
      </c>
    </row>
    <row r="4117" spans="9:12">
      <c r="I4117" s="5">
        <f>IF(OR(A4117="",B4117=""),"",B4117-WEEKDAY(B4117,2)+1)</f>
        <v/>
      </c>
      <c r="J4117" s="5">
        <f>IF(I4117="","",I4117+6)</f>
        <v/>
      </c>
      <c r="K4117" s="6">
        <f>IF(OR(A4117="",B4117=""),"",DATE(YEAR(B4117),MONTH(B4117),1))</f>
        <v/>
      </c>
      <c r="L4117" s="7">
        <f>IF(COUNTA(A4117,B4117)=0,"",IF(OR(A4117="",B4117=""),"Preencher CPF e entrada",IF(COUNTIFS($A$12:$A$5011,A4117,$B$12:$B$5011,B4117)&gt;1,"CPF + dia duplicado",IF(OR(AND(E4117&lt;&gt;"",E4117&lt;B4117),AND(F4117&lt;&gt;"",F4117&lt;B4117)),"Evento anterior à entrada",IF(AND(F4117&lt;&gt;"",E4117=""),"Conversa sem agendamento",IF(OR(E4117&gt;TODAY(),F4117&gt;TODAY()),"Verificar evento futuro","OK"))))))</f>
        <v/>
      </c>
    </row>
    <row r="4118" spans="9:12">
      <c r="I4118" s="5">
        <f>IF(OR(A4118="",B4118=""),"",B4118-WEEKDAY(B4118,2)+1)</f>
        <v/>
      </c>
      <c r="J4118" s="5">
        <f>IF(I4118="","",I4118+6)</f>
        <v/>
      </c>
      <c r="K4118" s="6">
        <f>IF(OR(A4118="",B4118=""),"",DATE(YEAR(B4118),MONTH(B4118),1))</f>
        <v/>
      </c>
      <c r="L4118" s="7">
        <f>IF(COUNTA(A4118,B4118)=0,"",IF(OR(A4118="",B4118=""),"Preencher CPF e entrada",IF(COUNTIFS($A$12:$A$5011,A4118,$B$12:$B$5011,B4118)&gt;1,"CPF + dia duplicado",IF(OR(AND(E4118&lt;&gt;"",E4118&lt;B4118),AND(F4118&lt;&gt;"",F4118&lt;B4118)),"Evento anterior à entrada",IF(AND(F4118&lt;&gt;"",E4118=""),"Conversa sem agendamento",IF(OR(E4118&gt;TODAY(),F4118&gt;TODAY()),"Verificar evento futuro","OK"))))))</f>
        <v/>
      </c>
    </row>
    <row r="4119" spans="9:12">
      <c r="I4119" s="5">
        <f>IF(OR(A4119="",B4119=""),"",B4119-WEEKDAY(B4119,2)+1)</f>
        <v/>
      </c>
      <c r="J4119" s="5">
        <f>IF(I4119="","",I4119+6)</f>
        <v/>
      </c>
      <c r="K4119" s="6">
        <f>IF(OR(A4119="",B4119=""),"",DATE(YEAR(B4119),MONTH(B4119),1))</f>
        <v/>
      </c>
      <c r="L4119" s="7">
        <f>IF(COUNTA(A4119,B4119)=0,"",IF(OR(A4119="",B4119=""),"Preencher CPF e entrada",IF(COUNTIFS($A$12:$A$5011,A4119,$B$12:$B$5011,B4119)&gt;1,"CPF + dia duplicado",IF(OR(AND(E4119&lt;&gt;"",E4119&lt;B4119),AND(F4119&lt;&gt;"",F4119&lt;B4119)),"Evento anterior à entrada",IF(AND(F4119&lt;&gt;"",E4119=""),"Conversa sem agendamento",IF(OR(E4119&gt;TODAY(),F4119&gt;TODAY()),"Verificar evento futuro","OK"))))))</f>
        <v/>
      </c>
    </row>
    <row r="4120" spans="9:12">
      <c r="I4120" s="5">
        <f>IF(OR(A4120="",B4120=""),"",B4120-WEEKDAY(B4120,2)+1)</f>
        <v/>
      </c>
      <c r="J4120" s="5">
        <f>IF(I4120="","",I4120+6)</f>
        <v/>
      </c>
      <c r="K4120" s="6">
        <f>IF(OR(A4120="",B4120=""),"",DATE(YEAR(B4120),MONTH(B4120),1))</f>
        <v/>
      </c>
      <c r="L4120" s="7">
        <f>IF(COUNTA(A4120,B4120)=0,"",IF(OR(A4120="",B4120=""),"Preencher CPF e entrada",IF(COUNTIFS($A$12:$A$5011,A4120,$B$12:$B$5011,B4120)&gt;1,"CPF + dia duplicado",IF(OR(AND(E4120&lt;&gt;"",E4120&lt;B4120),AND(F4120&lt;&gt;"",F4120&lt;B4120)),"Evento anterior à entrada",IF(AND(F4120&lt;&gt;"",E4120=""),"Conversa sem agendamento",IF(OR(E4120&gt;TODAY(),F4120&gt;TODAY()),"Verificar evento futuro","OK"))))))</f>
        <v/>
      </c>
    </row>
    <row r="4121" spans="9:12">
      <c r="I4121" s="5">
        <f>IF(OR(A4121="",B4121=""),"",B4121-WEEKDAY(B4121,2)+1)</f>
        <v/>
      </c>
      <c r="J4121" s="5">
        <f>IF(I4121="","",I4121+6)</f>
        <v/>
      </c>
      <c r="K4121" s="6">
        <f>IF(OR(A4121="",B4121=""),"",DATE(YEAR(B4121),MONTH(B4121),1))</f>
        <v/>
      </c>
      <c r="L4121" s="7">
        <f>IF(COUNTA(A4121,B4121)=0,"",IF(OR(A4121="",B4121=""),"Preencher CPF e entrada",IF(COUNTIFS($A$12:$A$5011,A4121,$B$12:$B$5011,B4121)&gt;1,"CPF + dia duplicado",IF(OR(AND(E4121&lt;&gt;"",E4121&lt;B4121),AND(F4121&lt;&gt;"",F4121&lt;B4121)),"Evento anterior à entrada",IF(AND(F4121&lt;&gt;"",E4121=""),"Conversa sem agendamento",IF(OR(E4121&gt;TODAY(),F4121&gt;TODAY()),"Verificar evento futuro","OK"))))))</f>
        <v/>
      </c>
    </row>
    <row r="4122" spans="9:12">
      <c r="I4122" s="5">
        <f>IF(OR(A4122="",B4122=""),"",B4122-WEEKDAY(B4122,2)+1)</f>
        <v/>
      </c>
      <c r="J4122" s="5">
        <f>IF(I4122="","",I4122+6)</f>
        <v/>
      </c>
      <c r="K4122" s="6">
        <f>IF(OR(A4122="",B4122=""),"",DATE(YEAR(B4122),MONTH(B4122),1))</f>
        <v/>
      </c>
      <c r="L4122" s="7">
        <f>IF(COUNTA(A4122,B4122)=0,"",IF(OR(A4122="",B4122=""),"Preencher CPF e entrada",IF(COUNTIFS($A$12:$A$5011,A4122,$B$12:$B$5011,B4122)&gt;1,"CPF + dia duplicado",IF(OR(AND(E4122&lt;&gt;"",E4122&lt;B4122),AND(F4122&lt;&gt;"",F4122&lt;B4122)),"Evento anterior à entrada",IF(AND(F4122&lt;&gt;"",E4122=""),"Conversa sem agendamento",IF(OR(E4122&gt;TODAY(),F4122&gt;TODAY()),"Verificar evento futuro","OK"))))))</f>
        <v/>
      </c>
    </row>
    <row r="4123" spans="9:12">
      <c r="I4123" s="5">
        <f>IF(OR(A4123="",B4123=""),"",B4123-WEEKDAY(B4123,2)+1)</f>
        <v/>
      </c>
      <c r="J4123" s="5">
        <f>IF(I4123="","",I4123+6)</f>
        <v/>
      </c>
      <c r="K4123" s="6">
        <f>IF(OR(A4123="",B4123=""),"",DATE(YEAR(B4123),MONTH(B4123),1))</f>
        <v/>
      </c>
      <c r="L4123" s="7">
        <f>IF(COUNTA(A4123,B4123)=0,"",IF(OR(A4123="",B4123=""),"Preencher CPF e entrada",IF(COUNTIFS($A$12:$A$5011,A4123,$B$12:$B$5011,B4123)&gt;1,"CPF + dia duplicado",IF(OR(AND(E4123&lt;&gt;"",E4123&lt;B4123),AND(F4123&lt;&gt;"",F4123&lt;B4123)),"Evento anterior à entrada",IF(AND(F4123&lt;&gt;"",E4123=""),"Conversa sem agendamento",IF(OR(E4123&gt;TODAY(),F4123&gt;TODAY()),"Verificar evento futuro","OK"))))))</f>
        <v/>
      </c>
    </row>
    <row r="4124" spans="9:12">
      <c r="I4124" s="5">
        <f>IF(OR(A4124="",B4124=""),"",B4124-WEEKDAY(B4124,2)+1)</f>
        <v/>
      </c>
      <c r="J4124" s="5">
        <f>IF(I4124="","",I4124+6)</f>
        <v/>
      </c>
      <c r="K4124" s="6">
        <f>IF(OR(A4124="",B4124=""),"",DATE(YEAR(B4124),MONTH(B4124),1))</f>
        <v/>
      </c>
      <c r="L4124" s="7">
        <f>IF(COUNTA(A4124,B4124)=0,"",IF(OR(A4124="",B4124=""),"Preencher CPF e entrada",IF(COUNTIFS($A$12:$A$5011,A4124,$B$12:$B$5011,B4124)&gt;1,"CPF + dia duplicado",IF(OR(AND(E4124&lt;&gt;"",E4124&lt;B4124),AND(F4124&lt;&gt;"",F4124&lt;B4124)),"Evento anterior à entrada",IF(AND(F4124&lt;&gt;"",E4124=""),"Conversa sem agendamento",IF(OR(E4124&gt;TODAY(),F4124&gt;TODAY()),"Verificar evento futuro","OK"))))))</f>
        <v/>
      </c>
    </row>
    <row r="4125" spans="9:12">
      <c r="I4125" s="5">
        <f>IF(OR(A4125="",B4125=""),"",B4125-WEEKDAY(B4125,2)+1)</f>
        <v/>
      </c>
      <c r="J4125" s="5">
        <f>IF(I4125="","",I4125+6)</f>
        <v/>
      </c>
      <c r="K4125" s="6">
        <f>IF(OR(A4125="",B4125=""),"",DATE(YEAR(B4125),MONTH(B4125),1))</f>
        <v/>
      </c>
      <c r="L4125" s="7">
        <f>IF(COUNTA(A4125,B4125)=0,"",IF(OR(A4125="",B4125=""),"Preencher CPF e entrada",IF(COUNTIFS($A$12:$A$5011,A4125,$B$12:$B$5011,B4125)&gt;1,"CPF + dia duplicado",IF(OR(AND(E4125&lt;&gt;"",E4125&lt;B4125),AND(F4125&lt;&gt;"",F4125&lt;B4125)),"Evento anterior à entrada",IF(AND(F4125&lt;&gt;"",E4125=""),"Conversa sem agendamento",IF(OR(E4125&gt;TODAY(),F4125&gt;TODAY()),"Verificar evento futuro","OK"))))))</f>
        <v/>
      </c>
    </row>
    <row r="4126" spans="9:12">
      <c r="I4126" s="5">
        <f>IF(OR(A4126="",B4126=""),"",B4126-WEEKDAY(B4126,2)+1)</f>
        <v/>
      </c>
      <c r="J4126" s="5">
        <f>IF(I4126="","",I4126+6)</f>
        <v/>
      </c>
      <c r="K4126" s="6">
        <f>IF(OR(A4126="",B4126=""),"",DATE(YEAR(B4126),MONTH(B4126),1))</f>
        <v/>
      </c>
      <c r="L4126" s="7">
        <f>IF(COUNTA(A4126,B4126)=0,"",IF(OR(A4126="",B4126=""),"Preencher CPF e entrada",IF(COUNTIFS($A$12:$A$5011,A4126,$B$12:$B$5011,B4126)&gt;1,"CPF + dia duplicado",IF(OR(AND(E4126&lt;&gt;"",E4126&lt;B4126),AND(F4126&lt;&gt;"",F4126&lt;B4126)),"Evento anterior à entrada",IF(AND(F4126&lt;&gt;"",E4126=""),"Conversa sem agendamento",IF(OR(E4126&gt;TODAY(),F4126&gt;TODAY()),"Verificar evento futuro","OK"))))))</f>
        <v/>
      </c>
    </row>
    <row r="4127" spans="9:12">
      <c r="I4127" s="5">
        <f>IF(OR(A4127="",B4127=""),"",B4127-WEEKDAY(B4127,2)+1)</f>
        <v/>
      </c>
      <c r="J4127" s="5">
        <f>IF(I4127="","",I4127+6)</f>
        <v/>
      </c>
      <c r="K4127" s="6">
        <f>IF(OR(A4127="",B4127=""),"",DATE(YEAR(B4127),MONTH(B4127),1))</f>
        <v/>
      </c>
      <c r="L4127" s="7">
        <f>IF(COUNTA(A4127,B4127)=0,"",IF(OR(A4127="",B4127=""),"Preencher CPF e entrada",IF(COUNTIFS($A$12:$A$5011,A4127,$B$12:$B$5011,B4127)&gt;1,"CPF + dia duplicado",IF(OR(AND(E4127&lt;&gt;"",E4127&lt;B4127),AND(F4127&lt;&gt;"",F4127&lt;B4127)),"Evento anterior à entrada",IF(AND(F4127&lt;&gt;"",E4127=""),"Conversa sem agendamento",IF(OR(E4127&gt;TODAY(),F4127&gt;TODAY()),"Verificar evento futuro","OK"))))))</f>
        <v/>
      </c>
    </row>
    <row r="4128" spans="9:12">
      <c r="I4128" s="5">
        <f>IF(OR(A4128="",B4128=""),"",B4128-WEEKDAY(B4128,2)+1)</f>
        <v/>
      </c>
      <c r="J4128" s="5">
        <f>IF(I4128="","",I4128+6)</f>
        <v/>
      </c>
      <c r="K4128" s="6">
        <f>IF(OR(A4128="",B4128=""),"",DATE(YEAR(B4128),MONTH(B4128),1))</f>
        <v/>
      </c>
      <c r="L4128" s="7">
        <f>IF(COUNTA(A4128,B4128)=0,"",IF(OR(A4128="",B4128=""),"Preencher CPF e entrada",IF(COUNTIFS($A$12:$A$5011,A4128,$B$12:$B$5011,B4128)&gt;1,"CPF + dia duplicado",IF(OR(AND(E4128&lt;&gt;"",E4128&lt;B4128),AND(F4128&lt;&gt;"",F4128&lt;B4128)),"Evento anterior à entrada",IF(AND(F4128&lt;&gt;"",E4128=""),"Conversa sem agendamento",IF(OR(E4128&gt;TODAY(),F4128&gt;TODAY()),"Verificar evento futuro","OK"))))))</f>
        <v/>
      </c>
    </row>
    <row r="4129" spans="9:12">
      <c r="I4129" s="5">
        <f>IF(OR(A4129="",B4129=""),"",B4129-WEEKDAY(B4129,2)+1)</f>
        <v/>
      </c>
      <c r="J4129" s="5">
        <f>IF(I4129="","",I4129+6)</f>
        <v/>
      </c>
      <c r="K4129" s="6">
        <f>IF(OR(A4129="",B4129=""),"",DATE(YEAR(B4129),MONTH(B4129),1))</f>
        <v/>
      </c>
      <c r="L4129" s="7">
        <f>IF(COUNTA(A4129,B4129)=0,"",IF(OR(A4129="",B4129=""),"Preencher CPF e entrada",IF(COUNTIFS($A$12:$A$5011,A4129,$B$12:$B$5011,B4129)&gt;1,"CPF + dia duplicado",IF(OR(AND(E4129&lt;&gt;"",E4129&lt;B4129),AND(F4129&lt;&gt;"",F4129&lt;B4129)),"Evento anterior à entrada",IF(AND(F4129&lt;&gt;"",E4129=""),"Conversa sem agendamento",IF(OR(E4129&gt;TODAY(),F4129&gt;TODAY()),"Verificar evento futuro","OK"))))))</f>
        <v/>
      </c>
    </row>
    <row r="4130" spans="9:12">
      <c r="I4130" s="5">
        <f>IF(OR(A4130="",B4130=""),"",B4130-WEEKDAY(B4130,2)+1)</f>
        <v/>
      </c>
      <c r="J4130" s="5">
        <f>IF(I4130="","",I4130+6)</f>
        <v/>
      </c>
      <c r="K4130" s="6">
        <f>IF(OR(A4130="",B4130=""),"",DATE(YEAR(B4130),MONTH(B4130),1))</f>
        <v/>
      </c>
      <c r="L4130" s="7">
        <f>IF(COUNTA(A4130,B4130)=0,"",IF(OR(A4130="",B4130=""),"Preencher CPF e entrada",IF(COUNTIFS($A$12:$A$5011,A4130,$B$12:$B$5011,B4130)&gt;1,"CPF + dia duplicado",IF(OR(AND(E4130&lt;&gt;"",E4130&lt;B4130),AND(F4130&lt;&gt;"",F4130&lt;B4130)),"Evento anterior à entrada",IF(AND(F4130&lt;&gt;"",E4130=""),"Conversa sem agendamento",IF(OR(E4130&gt;TODAY(),F4130&gt;TODAY()),"Verificar evento futuro","OK"))))))</f>
        <v/>
      </c>
    </row>
    <row r="4131" spans="9:12">
      <c r="I4131" s="5">
        <f>IF(OR(A4131="",B4131=""),"",B4131-WEEKDAY(B4131,2)+1)</f>
        <v/>
      </c>
      <c r="J4131" s="5">
        <f>IF(I4131="","",I4131+6)</f>
        <v/>
      </c>
      <c r="K4131" s="6">
        <f>IF(OR(A4131="",B4131=""),"",DATE(YEAR(B4131),MONTH(B4131),1))</f>
        <v/>
      </c>
      <c r="L4131" s="7">
        <f>IF(COUNTA(A4131,B4131)=0,"",IF(OR(A4131="",B4131=""),"Preencher CPF e entrada",IF(COUNTIFS($A$12:$A$5011,A4131,$B$12:$B$5011,B4131)&gt;1,"CPF + dia duplicado",IF(OR(AND(E4131&lt;&gt;"",E4131&lt;B4131),AND(F4131&lt;&gt;"",F4131&lt;B4131)),"Evento anterior à entrada",IF(AND(F4131&lt;&gt;"",E4131=""),"Conversa sem agendamento",IF(OR(E4131&gt;TODAY(),F4131&gt;TODAY()),"Verificar evento futuro","OK"))))))</f>
        <v/>
      </c>
    </row>
    <row r="4132" spans="9:12">
      <c r="I4132" s="5">
        <f>IF(OR(A4132="",B4132=""),"",B4132-WEEKDAY(B4132,2)+1)</f>
        <v/>
      </c>
      <c r="J4132" s="5">
        <f>IF(I4132="","",I4132+6)</f>
        <v/>
      </c>
      <c r="K4132" s="6">
        <f>IF(OR(A4132="",B4132=""),"",DATE(YEAR(B4132),MONTH(B4132),1))</f>
        <v/>
      </c>
      <c r="L4132" s="7">
        <f>IF(COUNTA(A4132,B4132)=0,"",IF(OR(A4132="",B4132=""),"Preencher CPF e entrada",IF(COUNTIFS($A$12:$A$5011,A4132,$B$12:$B$5011,B4132)&gt;1,"CPF + dia duplicado",IF(OR(AND(E4132&lt;&gt;"",E4132&lt;B4132),AND(F4132&lt;&gt;"",F4132&lt;B4132)),"Evento anterior à entrada",IF(AND(F4132&lt;&gt;"",E4132=""),"Conversa sem agendamento",IF(OR(E4132&gt;TODAY(),F4132&gt;TODAY()),"Verificar evento futuro","OK"))))))</f>
        <v/>
      </c>
    </row>
    <row r="4133" spans="9:12">
      <c r="I4133" s="5">
        <f>IF(OR(A4133="",B4133=""),"",B4133-WEEKDAY(B4133,2)+1)</f>
        <v/>
      </c>
      <c r="J4133" s="5">
        <f>IF(I4133="","",I4133+6)</f>
        <v/>
      </c>
      <c r="K4133" s="6">
        <f>IF(OR(A4133="",B4133=""),"",DATE(YEAR(B4133),MONTH(B4133),1))</f>
        <v/>
      </c>
      <c r="L4133" s="7">
        <f>IF(COUNTA(A4133,B4133)=0,"",IF(OR(A4133="",B4133=""),"Preencher CPF e entrada",IF(COUNTIFS($A$12:$A$5011,A4133,$B$12:$B$5011,B4133)&gt;1,"CPF + dia duplicado",IF(OR(AND(E4133&lt;&gt;"",E4133&lt;B4133),AND(F4133&lt;&gt;"",F4133&lt;B4133)),"Evento anterior à entrada",IF(AND(F4133&lt;&gt;"",E4133=""),"Conversa sem agendamento",IF(OR(E4133&gt;TODAY(),F4133&gt;TODAY()),"Verificar evento futuro","OK"))))))</f>
        <v/>
      </c>
    </row>
    <row r="4134" spans="9:12">
      <c r="I4134" s="5">
        <f>IF(OR(A4134="",B4134=""),"",B4134-WEEKDAY(B4134,2)+1)</f>
        <v/>
      </c>
      <c r="J4134" s="5">
        <f>IF(I4134="","",I4134+6)</f>
        <v/>
      </c>
      <c r="K4134" s="6">
        <f>IF(OR(A4134="",B4134=""),"",DATE(YEAR(B4134),MONTH(B4134),1))</f>
        <v/>
      </c>
      <c r="L4134" s="7">
        <f>IF(COUNTA(A4134,B4134)=0,"",IF(OR(A4134="",B4134=""),"Preencher CPF e entrada",IF(COUNTIFS($A$12:$A$5011,A4134,$B$12:$B$5011,B4134)&gt;1,"CPF + dia duplicado",IF(OR(AND(E4134&lt;&gt;"",E4134&lt;B4134),AND(F4134&lt;&gt;"",F4134&lt;B4134)),"Evento anterior à entrada",IF(AND(F4134&lt;&gt;"",E4134=""),"Conversa sem agendamento",IF(OR(E4134&gt;TODAY(),F4134&gt;TODAY()),"Verificar evento futuro","OK"))))))</f>
        <v/>
      </c>
    </row>
    <row r="4135" spans="9:12">
      <c r="I4135" s="5">
        <f>IF(OR(A4135="",B4135=""),"",B4135-WEEKDAY(B4135,2)+1)</f>
        <v/>
      </c>
      <c r="J4135" s="5">
        <f>IF(I4135="","",I4135+6)</f>
        <v/>
      </c>
      <c r="K4135" s="6">
        <f>IF(OR(A4135="",B4135=""),"",DATE(YEAR(B4135),MONTH(B4135),1))</f>
        <v/>
      </c>
      <c r="L4135" s="7">
        <f>IF(COUNTA(A4135,B4135)=0,"",IF(OR(A4135="",B4135=""),"Preencher CPF e entrada",IF(COUNTIFS($A$12:$A$5011,A4135,$B$12:$B$5011,B4135)&gt;1,"CPF + dia duplicado",IF(OR(AND(E4135&lt;&gt;"",E4135&lt;B4135),AND(F4135&lt;&gt;"",F4135&lt;B4135)),"Evento anterior à entrada",IF(AND(F4135&lt;&gt;"",E4135=""),"Conversa sem agendamento",IF(OR(E4135&gt;TODAY(),F4135&gt;TODAY()),"Verificar evento futuro","OK"))))))</f>
        <v/>
      </c>
    </row>
    <row r="4136" spans="9:12">
      <c r="I4136" s="5">
        <f>IF(OR(A4136="",B4136=""),"",B4136-WEEKDAY(B4136,2)+1)</f>
        <v/>
      </c>
      <c r="J4136" s="5">
        <f>IF(I4136="","",I4136+6)</f>
        <v/>
      </c>
      <c r="K4136" s="6">
        <f>IF(OR(A4136="",B4136=""),"",DATE(YEAR(B4136),MONTH(B4136),1))</f>
        <v/>
      </c>
      <c r="L4136" s="7">
        <f>IF(COUNTA(A4136,B4136)=0,"",IF(OR(A4136="",B4136=""),"Preencher CPF e entrada",IF(COUNTIFS($A$12:$A$5011,A4136,$B$12:$B$5011,B4136)&gt;1,"CPF + dia duplicado",IF(OR(AND(E4136&lt;&gt;"",E4136&lt;B4136),AND(F4136&lt;&gt;"",F4136&lt;B4136)),"Evento anterior à entrada",IF(AND(F4136&lt;&gt;"",E4136=""),"Conversa sem agendamento",IF(OR(E4136&gt;TODAY(),F4136&gt;TODAY()),"Verificar evento futuro","OK"))))))</f>
        <v/>
      </c>
    </row>
    <row r="4137" spans="9:12">
      <c r="I4137" s="5">
        <f>IF(OR(A4137="",B4137=""),"",B4137-WEEKDAY(B4137,2)+1)</f>
        <v/>
      </c>
      <c r="J4137" s="5">
        <f>IF(I4137="","",I4137+6)</f>
        <v/>
      </c>
      <c r="K4137" s="6">
        <f>IF(OR(A4137="",B4137=""),"",DATE(YEAR(B4137),MONTH(B4137),1))</f>
        <v/>
      </c>
      <c r="L4137" s="7">
        <f>IF(COUNTA(A4137,B4137)=0,"",IF(OR(A4137="",B4137=""),"Preencher CPF e entrada",IF(COUNTIFS($A$12:$A$5011,A4137,$B$12:$B$5011,B4137)&gt;1,"CPF + dia duplicado",IF(OR(AND(E4137&lt;&gt;"",E4137&lt;B4137),AND(F4137&lt;&gt;"",F4137&lt;B4137)),"Evento anterior à entrada",IF(AND(F4137&lt;&gt;"",E4137=""),"Conversa sem agendamento",IF(OR(E4137&gt;TODAY(),F4137&gt;TODAY()),"Verificar evento futuro","OK"))))))</f>
        <v/>
      </c>
    </row>
    <row r="4138" spans="9:12">
      <c r="I4138" s="5">
        <f>IF(OR(A4138="",B4138=""),"",B4138-WEEKDAY(B4138,2)+1)</f>
        <v/>
      </c>
      <c r="J4138" s="5">
        <f>IF(I4138="","",I4138+6)</f>
        <v/>
      </c>
      <c r="K4138" s="6">
        <f>IF(OR(A4138="",B4138=""),"",DATE(YEAR(B4138),MONTH(B4138),1))</f>
        <v/>
      </c>
      <c r="L4138" s="7">
        <f>IF(COUNTA(A4138,B4138)=0,"",IF(OR(A4138="",B4138=""),"Preencher CPF e entrada",IF(COUNTIFS($A$12:$A$5011,A4138,$B$12:$B$5011,B4138)&gt;1,"CPF + dia duplicado",IF(OR(AND(E4138&lt;&gt;"",E4138&lt;B4138),AND(F4138&lt;&gt;"",F4138&lt;B4138)),"Evento anterior à entrada",IF(AND(F4138&lt;&gt;"",E4138=""),"Conversa sem agendamento",IF(OR(E4138&gt;TODAY(),F4138&gt;TODAY()),"Verificar evento futuro","OK"))))))</f>
        <v/>
      </c>
    </row>
    <row r="4139" spans="9:12">
      <c r="I4139" s="5">
        <f>IF(OR(A4139="",B4139=""),"",B4139-WEEKDAY(B4139,2)+1)</f>
        <v/>
      </c>
      <c r="J4139" s="5">
        <f>IF(I4139="","",I4139+6)</f>
        <v/>
      </c>
      <c r="K4139" s="6">
        <f>IF(OR(A4139="",B4139=""),"",DATE(YEAR(B4139),MONTH(B4139),1))</f>
        <v/>
      </c>
      <c r="L4139" s="7">
        <f>IF(COUNTA(A4139,B4139)=0,"",IF(OR(A4139="",B4139=""),"Preencher CPF e entrada",IF(COUNTIFS($A$12:$A$5011,A4139,$B$12:$B$5011,B4139)&gt;1,"CPF + dia duplicado",IF(OR(AND(E4139&lt;&gt;"",E4139&lt;B4139),AND(F4139&lt;&gt;"",F4139&lt;B4139)),"Evento anterior à entrada",IF(AND(F4139&lt;&gt;"",E4139=""),"Conversa sem agendamento",IF(OR(E4139&gt;TODAY(),F4139&gt;TODAY()),"Verificar evento futuro","OK"))))))</f>
        <v/>
      </c>
    </row>
    <row r="4140" spans="9:12">
      <c r="I4140" s="5">
        <f>IF(OR(A4140="",B4140=""),"",B4140-WEEKDAY(B4140,2)+1)</f>
        <v/>
      </c>
      <c r="J4140" s="5">
        <f>IF(I4140="","",I4140+6)</f>
        <v/>
      </c>
      <c r="K4140" s="6">
        <f>IF(OR(A4140="",B4140=""),"",DATE(YEAR(B4140),MONTH(B4140),1))</f>
        <v/>
      </c>
      <c r="L4140" s="7">
        <f>IF(COUNTA(A4140,B4140)=0,"",IF(OR(A4140="",B4140=""),"Preencher CPF e entrada",IF(COUNTIFS($A$12:$A$5011,A4140,$B$12:$B$5011,B4140)&gt;1,"CPF + dia duplicado",IF(OR(AND(E4140&lt;&gt;"",E4140&lt;B4140),AND(F4140&lt;&gt;"",F4140&lt;B4140)),"Evento anterior à entrada",IF(AND(F4140&lt;&gt;"",E4140=""),"Conversa sem agendamento",IF(OR(E4140&gt;TODAY(),F4140&gt;TODAY()),"Verificar evento futuro","OK"))))))</f>
        <v/>
      </c>
    </row>
    <row r="4141" spans="9:12">
      <c r="I4141" s="5">
        <f>IF(OR(A4141="",B4141=""),"",B4141-WEEKDAY(B4141,2)+1)</f>
        <v/>
      </c>
      <c r="J4141" s="5">
        <f>IF(I4141="","",I4141+6)</f>
        <v/>
      </c>
      <c r="K4141" s="6">
        <f>IF(OR(A4141="",B4141=""),"",DATE(YEAR(B4141),MONTH(B4141),1))</f>
        <v/>
      </c>
      <c r="L4141" s="7">
        <f>IF(COUNTA(A4141,B4141)=0,"",IF(OR(A4141="",B4141=""),"Preencher CPF e entrada",IF(COUNTIFS($A$12:$A$5011,A4141,$B$12:$B$5011,B4141)&gt;1,"CPF + dia duplicado",IF(OR(AND(E4141&lt;&gt;"",E4141&lt;B4141),AND(F4141&lt;&gt;"",F4141&lt;B4141)),"Evento anterior à entrada",IF(AND(F4141&lt;&gt;"",E4141=""),"Conversa sem agendamento",IF(OR(E4141&gt;TODAY(),F4141&gt;TODAY()),"Verificar evento futuro","OK"))))))</f>
        <v/>
      </c>
    </row>
    <row r="4142" spans="9:12">
      <c r="I4142" s="5">
        <f>IF(OR(A4142="",B4142=""),"",B4142-WEEKDAY(B4142,2)+1)</f>
        <v/>
      </c>
      <c r="J4142" s="5">
        <f>IF(I4142="","",I4142+6)</f>
        <v/>
      </c>
      <c r="K4142" s="6">
        <f>IF(OR(A4142="",B4142=""),"",DATE(YEAR(B4142),MONTH(B4142),1))</f>
        <v/>
      </c>
      <c r="L4142" s="7">
        <f>IF(COUNTA(A4142,B4142)=0,"",IF(OR(A4142="",B4142=""),"Preencher CPF e entrada",IF(COUNTIFS($A$12:$A$5011,A4142,$B$12:$B$5011,B4142)&gt;1,"CPF + dia duplicado",IF(OR(AND(E4142&lt;&gt;"",E4142&lt;B4142),AND(F4142&lt;&gt;"",F4142&lt;B4142)),"Evento anterior à entrada",IF(AND(F4142&lt;&gt;"",E4142=""),"Conversa sem agendamento",IF(OR(E4142&gt;TODAY(),F4142&gt;TODAY()),"Verificar evento futuro","OK"))))))</f>
        <v/>
      </c>
    </row>
    <row r="4143" spans="9:12">
      <c r="I4143" s="5">
        <f>IF(OR(A4143="",B4143=""),"",B4143-WEEKDAY(B4143,2)+1)</f>
        <v/>
      </c>
      <c r="J4143" s="5">
        <f>IF(I4143="","",I4143+6)</f>
        <v/>
      </c>
      <c r="K4143" s="6">
        <f>IF(OR(A4143="",B4143=""),"",DATE(YEAR(B4143),MONTH(B4143),1))</f>
        <v/>
      </c>
      <c r="L4143" s="7">
        <f>IF(COUNTA(A4143,B4143)=0,"",IF(OR(A4143="",B4143=""),"Preencher CPF e entrada",IF(COUNTIFS($A$12:$A$5011,A4143,$B$12:$B$5011,B4143)&gt;1,"CPF + dia duplicado",IF(OR(AND(E4143&lt;&gt;"",E4143&lt;B4143),AND(F4143&lt;&gt;"",F4143&lt;B4143)),"Evento anterior à entrada",IF(AND(F4143&lt;&gt;"",E4143=""),"Conversa sem agendamento",IF(OR(E4143&gt;TODAY(),F4143&gt;TODAY()),"Verificar evento futuro","OK"))))))</f>
        <v/>
      </c>
    </row>
    <row r="4144" spans="9:12">
      <c r="I4144" s="5">
        <f>IF(OR(A4144="",B4144=""),"",B4144-WEEKDAY(B4144,2)+1)</f>
        <v/>
      </c>
      <c r="J4144" s="5">
        <f>IF(I4144="","",I4144+6)</f>
        <v/>
      </c>
      <c r="K4144" s="6">
        <f>IF(OR(A4144="",B4144=""),"",DATE(YEAR(B4144),MONTH(B4144),1))</f>
        <v/>
      </c>
      <c r="L4144" s="7">
        <f>IF(COUNTA(A4144,B4144)=0,"",IF(OR(A4144="",B4144=""),"Preencher CPF e entrada",IF(COUNTIFS($A$12:$A$5011,A4144,$B$12:$B$5011,B4144)&gt;1,"CPF + dia duplicado",IF(OR(AND(E4144&lt;&gt;"",E4144&lt;B4144),AND(F4144&lt;&gt;"",F4144&lt;B4144)),"Evento anterior à entrada",IF(AND(F4144&lt;&gt;"",E4144=""),"Conversa sem agendamento",IF(OR(E4144&gt;TODAY(),F4144&gt;TODAY()),"Verificar evento futuro","OK"))))))</f>
        <v/>
      </c>
    </row>
    <row r="4145" spans="9:12">
      <c r="I4145" s="5">
        <f>IF(OR(A4145="",B4145=""),"",B4145-WEEKDAY(B4145,2)+1)</f>
        <v/>
      </c>
      <c r="J4145" s="5">
        <f>IF(I4145="","",I4145+6)</f>
        <v/>
      </c>
      <c r="K4145" s="6">
        <f>IF(OR(A4145="",B4145=""),"",DATE(YEAR(B4145),MONTH(B4145),1))</f>
        <v/>
      </c>
      <c r="L4145" s="7">
        <f>IF(COUNTA(A4145,B4145)=0,"",IF(OR(A4145="",B4145=""),"Preencher CPF e entrada",IF(COUNTIFS($A$12:$A$5011,A4145,$B$12:$B$5011,B4145)&gt;1,"CPF + dia duplicado",IF(OR(AND(E4145&lt;&gt;"",E4145&lt;B4145),AND(F4145&lt;&gt;"",F4145&lt;B4145)),"Evento anterior à entrada",IF(AND(F4145&lt;&gt;"",E4145=""),"Conversa sem agendamento",IF(OR(E4145&gt;TODAY(),F4145&gt;TODAY()),"Verificar evento futuro","OK"))))))</f>
        <v/>
      </c>
    </row>
    <row r="4146" spans="9:12">
      <c r="I4146" s="5">
        <f>IF(OR(A4146="",B4146=""),"",B4146-WEEKDAY(B4146,2)+1)</f>
        <v/>
      </c>
      <c r="J4146" s="5">
        <f>IF(I4146="","",I4146+6)</f>
        <v/>
      </c>
      <c r="K4146" s="6">
        <f>IF(OR(A4146="",B4146=""),"",DATE(YEAR(B4146),MONTH(B4146),1))</f>
        <v/>
      </c>
      <c r="L4146" s="7">
        <f>IF(COUNTA(A4146,B4146)=0,"",IF(OR(A4146="",B4146=""),"Preencher CPF e entrada",IF(COUNTIFS($A$12:$A$5011,A4146,$B$12:$B$5011,B4146)&gt;1,"CPF + dia duplicado",IF(OR(AND(E4146&lt;&gt;"",E4146&lt;B4146),AND(F4146&lt;&gt;"",F4146&lt;B4146)),"Evento anterior à entrada",IF(AND(F4146&lt;&gt;"",E4146=""),"Conversa sem agendamento",IF(OR(E4146&gt;TODAY(),F4146&gt;TODAY()),"Verificar evento futuro","OK"))))))</f>
        <v/>
      </c>
    </row>
    <row r="4147" spans="9:12">
      <c r="I4147" s="5">
        <f>IF(OR(A4147="",B4147=""),"",B4147-WEEKDAY(B4147,2)+1)</f>
        <v/>
      </c>
      <c r="J4147" s="5">
        <f>IF(I4147="","",I4147+6)</f>
        <v/>
      </c>
      <c r="K4147" s="6">
        <f>IF(OR(A4147="",B4147=""),"",DATE(YEAR(B4147),MONTH(B4147),1))</f>
        <v/>
      </c>
      <c r="L4147" s="7">
        <f>IF(COUNTA(A4147,B4147)=0,"",IF(OR(A4147="",B4147=""),"Preencher CPF e entrada",IF(COUNTIFS($A$12:$A$5011,A4147,$B$12:$B$5011,B4147)&gt;1,"CPF + dia duplicado",IF(OR(AND(E4147&lt;&gt;"",E4147&lt;B4147),AND(F4147&lt;&gt;"",F4147&lt;B4147)),"Evento anterior à entrada",IF(AND(F4147&lt;&gt;"",E4147=""),"Conversa sem agendamento",IF(OR(E4147&gt;TODAY(),F4147&gt;TODAY()),"Verificar evento futuro","OK"))))))</f>
        <v/>
      </c>
    </row>
    <row r="4148" spans="9:12">
      <c r="I4148" s="5">
        <f>IF(OR(A4148="",B4148=""),"",B4148-WEEKDAY(B4148,2)+1)</f>
        <v/>
      </c>
      <c r="J4148" s="5">
        <f>IF(I4148="","",I4148+6)</f>
        <v/>
      </c>
      <c r="K4148" s="6">
        <f>IF(OR(A4148="",B4148=""),"",DATE(YEAR(B4148),MONTH(B4148),1))</f>
        <v/>
      </c>
      <c r="L4148" s="7">
        <f>IF(COUNTA(A4148,B4148)=0,"",IF(OR(A4148="",B4148=""),"Preencher CPF e entrada",IF(COUNTIFS($A$12:$A$5011,A4148,$B$12:$B$5011,B4148)&gt;1,"CPF + dia duplicado",IF(OR(AND(E4148&lt;&gt;"",E4148&lt;B4148),AND(F4148&lt;&gt;"",F4148&lt;B4148)),"Evento anterior à entrada",IF(AND(F4148&lt;&gt;"",E4148=""),"Conversa sem agendamento",IF(OR(E4148&gt;TODAY(),F4148&gt;TODAY()),"Verificar evento futuro","OK"))))))</f>
        <v/>
      </c>
    </row>
    <row r="4149" spans="9:12">
      <c r="I4149" s="5">
        <f>IF(OR(A4149="",B4149=""),"",B4149-WEEKDAY(B4149,2)+1)</f>
        <v/>
      </c>
      <c r="J4149" s="5">
        <f>IF(I4149="","",I4149+6)</f>
        <v/>
      </c>
      <c r="K4149" s="6">
        <f>IF(OR(A4149="",B4149=""),"",DATE(YEAR(B4149),MONTH(B4149),1))</f>
        <v/>
      </c>
      <c r="L4149" s="7">
        <f>IF(COUNTA(A4149,B4149)=0,"",IF(OR(A4149="",B4149=""),"Preencher CPF e entrada",IF(COUNTIFS($A$12:$A$5011,A4149,$B$12:$B$5011,B4149)&gt;1,"CPF + dia duplicado",IF(OR(AND(E4149&lt;&gt;"",E4149&lt;B4149),AND(F4149&lt;&gt;"",F4149&lt;B4149)),"Evento anterior à entrada",IF(AND(F4149&lt;&gt;"",E4149=""),"Conversa sem agendamento",IF(OR(E4149&gt;TODAY(),F4149&gt;TODAY()),"Verificar evento futuro","OK"))))))</f>
        <v/>
      </c>
    </row>
    <row r="4150" spans="9:12">
      <c r="I4150" s="5">
        <f>IF(OR(A4150="",B4150=""),"",B4150-WEEKDAY(B4150,2)+1)</f>
        <v/>
      </c>
      <c r="J4150" s="5">
        <f>IF(I4150="","",I4150+6)</f>
        <v/>
      </c>
      <c r="K4150" s="6">
        <f>IF(OR(A4150="",B4150=""),"",DATE(YEAR(B4150),MONTH(B4150),1))</f>
        <v/>
      </c>
      <c r="L4150" s="7">
        <f>IF(COUNTA(A4150,B4150)=0,"",IF(OR(A4150="",B4150=""),"Preencher CPF e entrada",IF(COUNTIFS($A$12:$A$5011,A4150,$B$12:$B$5011,B4150)&gt;1,"CPF + dia duplicado",IF(OR(AND(E4150&lt;&gt;"",E4150&lt;B4150),AND(F4150&lt;&gt;"",F4150&lt;B4150)),"Evento anterior à entrada",IF(AND(F4150&lt;&gt;"",E4150=""),"Conversa sem agendamento",IF(OR(E4150&gt;TODAY(),F4150&gt;TODAY()),"Verificar evento futuro","OK"))))))</f>
        <v/>
      </c>
    </row>
    <row r="4151" spans="9:12">
      <c r="I4151" s="5">
        <f>IF(OR(A4151="",B4151=""),"",B4151-WEEKDAY(B4151,2)+1)</f>
        <v/>
      </c>
      <c r="J4151" s="5">
        <f>IF(I4151="","",I4151+6)</f>
        <v/>
      </c>
      <c r="K4151" s="6">
        <f>IF(OR(A4151="",B4151=""),"",DATE(YEAR(B4151),MONTH(B4151),1))</f>
        <v/>
      </c>
      <c r="L4151" s="7">
        <f>IF(COUNTA(A4151,B4151)=0,"",IF(OR(A4151="",B4151=""),"Preencher CPF e entrada",IF(COUNTIFS($A$12:$A$5011,A4151,$B$12:$B$5011,B4151)&gt;1,"CPF + dia duplicado",IF(OR(AND(E4151&lt;&gt;"",E4151&lt;B4151),AND(F4151&lt;&gt;"",F4151&lt;B4151)),"Evento anterior à entrada",IF(AND(F4151&lt;&gt;"",E4151=""),"Conversa sem agendamento",IF(OR(E4151&gt;TODAY(),F4151&gt;TODAY()),"Verificar evento futuro","OK"))))))</f>
        <v/>
      </c>
    </row>
    <row r="4152" spans="9:12">
      <c r="I4152" s="5">
        <f>IF(OR(A4152="",B4152=""),"",B4152-WEEKDAY(B4152,2)+1)</f>
        <v/>
      </c>
      <c r="J4152" s="5">
        <f>IF(I4152="","",I4152+6)</f>
        <v/>
      </c>
      <c r="K4152" s="6">
        <f>IF(OR(A4152="",B4152=""),"",DATE(YEAR(B4152),MONTH(B4152),1))</f>
        <v/>
      </c>
      <c r="L4152" s="7">
        <f>IF(COUNTA(A4152,B4152)=0,"",IF(OR(A4152="",B4152=""),"Preencher CPF e entrada",IF(COUNTIFS($A$12:$A$5011,A4152,$B$12:$B$5011,B4152)&gt;1,"CPF + dia duplicado",IF(OR(AND(E4152&lt;&gt;"",E4152&lt;B4152),AND(F4152&lt;&gt;"",F4152&lt;B4152)),"Evento anterior à entrada",IF(AND(F4152&lt;&gt;"",E4152=""),"Conversa sem agendamento",IF(OR(E4152&gt;TODAY(),F4152&gt;TODAY()),"Verificar evento futuro","OK"))))))</f>
        <v/>
      </c>
    </row>
    <row r="4153" spans="9:12">
      <c r="I4153" s="5">
        <f>IF(OR(A4153="",B4153=""),"",B4153-WEEKDAY(B4153,2)+1)</f>
        <v/>
      </c>
      <c r="J4153" s="5">
        <f>IF(I4153="","",I4153+6)</f>
        <v/>
      </c>
      <c r="K4153" s="6">
        <f>IF(OR(A4153="",B4153=""),"",DATE(YEAR(B4153),MONTH(B4153),1))</f>
        <v/>
      </c>
      <c r="L4153" s="7">
        <f>IF(COUNTA(A4153,B4153)=0,"",IF(OR(A4153="",B4153=""),"Preencher CPF e entrada",IF(COUNTIFS($A$12:$A$5011,A4153,$B$12:$B$5011,B4153)&gt;1,"CPF + dia duplicado",IF(OR(AND(E4153&lt;&gt;"",E4153&lt;B4153),AND(F4153&lt;&gt;"",F4153&lt;B4153)),"Evento anterior à entrada",IF(AND(F4153&lt;&gt;"",E4153=""),"Conversa sem agendamento",IF(OR(E4153&gt;TODAY(),F4153&gt;TODAY()),"Verificar evento futuro","OK"))))))</f>
        <v/>
      </c>
    </row>
    <row r="4154" spans="9:12">
      <c r="I4154" s="5">
        <f>IF(OR(A4154="",B4154=""),"",B4154-WEEKDAY(B4154,2)+1)</f>
        <v/>
      </c>
      <c r="J4154" s="5">
        <f>IF(I4154="","",I4154+6)</f>
        <v/>
      </c>
      <c r="K4154" s="6">
        <f>IF(OR(A4154="",B4154=""),"",DATE(YEAR(B4154),MONTH(B4154),1))</f>
        <v/>
      </c>
      <c r="L4154" s="7">
        <f>IF(COUNTA(A4154,B4154)=0,"",IF(OR(A4154="",B4154=""),"Preencher CPF e entrada",IF(COUNTIFS($A$12:$A$5011,A4154,$B$12:$B$5011,B4154)&gt;1,"CPF + dia duplicado",IF(OR(AND(E4154&lt;&gt;"",E4154&lt;B4154),AND(F4154&lt;&gt;"",F4154&lt;B4154)),"Evento anterior à entrada",IF(AND(F4154&lt;&gt;"",E4154=""),"Conversa sem agendamento",IF(OR(E4154&gt;TODAY(),F4154&gt;TODAY()),"Verificar evento futuro","OK"))))))</f>
        <v/>
      </c>
    </row>
    <row r="4155" spans="9:12">
      <c r="I4155" s="5">
        <f>IF(OR(A4155="",B4155=""),"",B4155-WEEKDAY(B4155,2)+1)</f>
        <v/>
      </c>
      <c r="J4155" s="5">
        <f>IF(I4155="","",I4155+6)</f>
        <v/>
      </c>
      <c r="K4155" s="6">
        <f>IF(OR(A4155="",B4155=""),"",DATE(YEAR(B4155),MONTH(B4155),1))</f>
        <v/>
      </c>
      <c r="L4155" s="7">
        <f>IF(COUNTA(A4155,B4155)=0,"",IF(OR(A4155="",B4155=""),"Preencher CPF e entrada",IF(COUNTIFS($A$12:$A$5011,A4155,$B$12:$B$5011,B4155)&gt;1,"CPF + dia duplicado",IF(OR(AND(E4155&lt;&gt;"",E4155&lt;B4155),AND(F4155&lt;&gt;"",F4155&lt;B4155)),"Evento anterior à entrada",IF(AND(F4155&lt;&gt;"",E4155=""),"Conversa sem agendamento",IF(OR(E4155&gt;TODAY(),F4155&gt;TODAY()),"Verificar evento futuro","OK"))))))</f>
        <v/>
      </c>
    </row>
    <row r="4156" spans="9:12">
      <c r="I4156" s="5">
        <f>IF(OR(A4156="",B4156=""),"",B4156-WEEKDAY(B4156,2)+1)</f>
        <v/>
      </c>
      <c r="J4156" s="5">
        <f>IF(I4156="","",I4156+6)</f>
        <v/>
      </c>
      <c r="K4156" s="6">
        <f>IF(OR(A4156="",B4156=""),"",DATE(YEAR(B4156),MONTH(B4156),1))</f>
        <v/>
      </c>
      <c r="L4156" s="7">
        <f>IF(COUNTA(A4156,B4156)=0,"",IF(OR(A4156="",B4156=""),"Preencher CPF e entrada",IF(COUNTIFS($A$12:$A$5011,A4156,$B$12:$B$5011,B4156)&gt;1,"CPF + dia duplicado",IF(OR(AND(E4156&lt;&gt;"",E4156&lt;B4156),AND(F4156&lt;&gt;"",F4156&lt;B4156)),"Evento anterior à entrada",IF(AND(F4156&lt;&gt;"",E4156=""),"Conversa sem agendamento",IF(OR(E4156&gt;TODAY(),F4156&gt;TODAY()),"Verificar evento futuro","OK"))))))</f>
        <v/>
      </c>
    </row>
    <row r="4157" spans="9:12">
      <c r="I4157" s="5">
        <f>IF(OR(A4157="",B4157=""),"",B4157-WEEKDAY(B4157,2)+1)</f>
        <v/>
      </c>
      <c r="J4157" s="5">
        <f>IF(I4157="","",I4157+6)</f>
        <v/>
      </c>
      <c r="K4157" s="6">
        <f>IF(OR(A4157="",B4157=""),"",DATE(YEAR(B4157),MONTH(B4157),1))</f>
        <v/>
      </c>
      <c r="L4157" s="7">
        <f>IF(COUNTA(A4157,B4157)=0,"",IF(OR(A4157="",B4157=""),"Preencher CPF e entrada",IF(COUNTIFS($A$12:$A$5011,A4157,$B$12:$B$5011,B4157)&gt;1,"CPF + dia duplicado",IF(OR(AND(E4157&lt;&gt;"",E4157&lt;B4157),AND(F4157&lt;&gt;"",F4157&lt;B4157)),"Evento anterior à entrada",IF(AND(F4157&lt;&gt;"",E4157=""),"Conversa sem agendamento",IF(OR(E4157&gt;TODAY(),F4157&gt;TODAY()),"Verificar evento futuro","OK"))))))</f>
        <v/>
      </c>
    </row>
    <row r="4158" spans="9:12">
      <c r="I4158" s="5">
        <f>IF(OR(A4158="",B4158=""),"",B4158-WEEKDAY(B4158,2)+1)</f>
        <v/>
      </c>
      <c r="J4158" s="5">
        <f>IF(I4158="","",I4158+6)</f>
        <v/>
      </c>
      <c r="K4158" s="6">
        <f>IF(OR(A4158="",B4158=""),"",DATE(YEAR(B4158),MONTH(B4158),1))</f>
        <v/>
      </c>
      <c r="L4158" s="7">
        <f>IF(COUNTA(A4158,B4158)=0,"",IF(OR(A4158="",B4158=""),"Preencher CPF e entrada",IF(COUNTIFS($A$12:$A$5011,A4158,$B$12:$B$5011,B4158)&gt;1,"CPF + dia duplicado",IF(OR(AND(E4158&lt;&gt;"",E4158&lt;B4158),AND(F4158&lt;&gt;"",F4158&lt;B4158)),"Evento anterior à entrada",IF(AND(F4158&lt;&gt;"",E4158=""),"Conversa sem agendamento",IF(OR(E4158&gt;TODAY(),F4158&gt;TODAY()),"Verificar evento futuro","OK"))))))</f>
        <v/>
      </c>
    </row>
    <row r="4159" spans="9:12">
      <c r="I4159" s="5">
        <f>IF(OR(A4159="",B4159=""),"",B4159-WEEKDAY(B4159,2)+1)</f>
        <v/>
      </c>
      <c r="J4159" s="5">
        <f>IF(I4159="","",I4159+6)</f>
        <v/>
      </c>
      <c r="K4159" s="6">
        <f>IF(OR(A4159="",B4159=""),"",DATE(YEAR(B4159),MONTH(B4159),1))</f>
        <v/>
      </c>
      <c r="L4159" s="7">
        <f>IF(COUNTA(A4159,B4159)=0,"",IF(OR(A4159="",B4159=""),"Preencher CPF e entrada",IF(COUNTIFS($A$12:$A$5011,A4159,$B$12:$B$5011,B4159)&gt;1,"CPF + dia duplicado",IF(OR(AND(E4159&lt;&gt;"",E4159&lt;B4159),AND(F4159&lt;&gt;"",F4159&lt;B4159)),"Evento anterior à entrada",IF(AND(F4159&lt;&gt;"",E4159=""),"Conversa sem agendamento",IF(OR(E4159&gt;TODAY(),F4159&gt;TODAY()),"Verificar evento futuro","OK"))))))</f>
        <v/>
      </c>
    </row>
    <row r="4160" spans="9:12">
      <c r="I4160" s="5">
        <f>IF(OR(A4160="",B4160=""),"",B4160-WEEKDAY(B4160,2)+1)</f>
        <v/>
      </c>
      <c r="J4160" s="5">
        <f>IF(I4160="","",I4160+6)</f>
        <v/>
      </c>
      <c r="K4160" s="6">
        <f>IF(OR(A4160="",B4160=""),"",DATE(YEAR(B4160),MONTH(B4160),1))</f>
        <v/>
      </c>
      <c r="L4160" s="7">
        <f>IF(COUNTA(A4160,B4160)=0,"",IF(OR(A4160="",B4160=""),"Preencher CPF e entrada",IF(COUNTIFS($A$12:$A$5011,A4160,$B$12:$B$5011,B4160)&gt;1,"CPF + dia duplicado",IF(OR(AND(E4160&lt;&gt;"",E4160&lt;B4160),AND(F4160&lt;&gt;"",F4160&lt;B4160)),"Evento anterior à entrada",IF(AND(F4160&lt;&gt;"",E4160=""),"Conversa sem agendamento",IF(OR(E4160&gt;TODAY(),F4160&gt;TODAY()),"Verificar evento futuro","OK"))))))</f>
        <v/>
      </c>
    </row>
    <row r="4161" spans="9:12">
      <c r="I4161" s="5">
        <f>IF(OR(A4161="",B4161=""),"",B4161-WEEKDAY(B4161,2)+1)</f>
        <v/>
      </c>
      <c r="J4161" s="5">
        <f>IF(I4161="","",I4161+6)</f>
        <v/>
      </c>
      <c r="K4161" s="6">
        <f>IF(OR(A4161="",B4161=""),"",DATE(YEAR(B4161),MONTH(B4161),1))</f>
        <v/>
      </c>
      <c r="L4161" s="7">
        <f>IF(COUNTA(A4161,B4161)=0,"",IF(OR(A4161="",B4161=""),"Preencher CPF e entrada",IF(COUNTIFS($A$12:$A$5011,A4161,$B$12:$B$5011,B4161)&gt;1,"CPF + dia duplicado",IF(OR(AND(E4161&lt;&gt;"",E4161&lt;B4161),AND(F4161&lt;&gt;"",F4161&lt;B4161)),"Evento anterior à entrada",IF(AND(F4161&lt;&gt;"",E4161=""),"Conversa sem agendamento",IF(OR(E4161&gt;TODAY(),F4161&gt;TODAY()),"Verificar evento futuro","OK"))))))</f>
        <v/>
      </c>
    </row>
    <row r="4162" spans="9:12">
      <c r="I4162" s="5">
        <f>IF(OR(A4162="",B4162=""),"",B4162-WEEKDAY(B4162,2)+1)</f>
        <v/>
      </c>
      <c r="J4162" s="5">
        <f>IF(I4162="","",I4162+6)</f>
        <v/>
      </c>
      <c r="K4162" s="6">
        <f>IF(OR(A4162="",B4162=""),"",DATE(YEAR(B4162),MONTH(B4162),1))</f>
        <v/>
      </c>
      <c r="L4162" s="7">
        <f>IF(COUNTA(A4162,B4162)=0,"",IF(OR(A4162="",B4162=""),"Preencher CPF e entrada",IF(COUNTIFS($A$12:$A$5011,A4162,$B$12:$B$5011,B4162)&gt;1,"CPF + dia duplicado",IF(OR(AND(E4162&lt;&gt;"",E4162&lt;B4162),AND(F4162&lt;&gt;"",F4162&lt;B4162)),"Evento anterior à entrada",IF(AND(F4162&lt;&gt;"",E4162=""),"Conversa sem agendamento",IF(OR(E4162&gt;TODAY(),F4162&gt;TODAY()),"Verificar evento futuro","OK"))))))</f>
        <v/>
      </c>
    </row>
    <row r="4163" spans="9:12">
      <c r="I4163" s="5">
        <f>IF(OR(A4163="",B4163=""),"",B4163-WEEKDAY(B4163,2)+1)</f>
        <v/>
      </c>
      <c r="J4163" s="5">
        <f>IF(I4163="","",I4163+6)</f>
        <v/>
      </c>
      <c r="K4163" s="6">
        <f>IF(OR(A4163="",B4163=""),"",DATE(YEAR(B4163),MONTH(B4163),1))</f>
        <v/>
      </c>
      <c r="L4163" s="7">
        <f>IF(COUNTA(A4163,B4163)=0,"",IF(OR(A4163="",B4163=""),"Preencher CPF e entrada",IF(COUNTIFS($A$12:$A$5011,A4163,$B$12:$B$5011,B4163)&gt;1,"CPF + dia duplicado",IF(OR(AND(E4163&lt;&gt;"",E4163&lt;B4163),AND(F4163&lt;&gt;"",F4163&lt;B4163)),"Evento anterior à entrada",IF(AND(F4163&lt;&gt;"",E4163=""),"Conversa sem agendamento",IF(OR(E4163&gt;TODAY(),F4163&gt;TODAY()),"Verificar evento futuro","OK"))))))</f>
        <v/>
      </c>
    </row>
    <row r="4164" spans="9:12">
      <c r="I4164" s="5">
        <f>IF(OR(A4164="",B4164=""),"",B4164-WEEKDAY(B4164,2)+1)</f>
        <v/>
      </c>
      <c r="J4164" s="5">
        <f>IF(I4164="","",I4164+6)</f>
        <v/>
      </c>
      <c r="K4164" s="6">
        <f>IF(OR(A4164="",B4164=""),"",DATE(YEAR(B4164),MONTH(B4164),1))</f>
        <v/>
      </c>
      <c r="L4164" s="7">
        <f>IF(COUNTA(A4164,B4164)=0,"",IF(OR(A4164="",B4164=""),"Preencher CPF e entrada",IF(COUNTIFS($A$12:$A$5011,A4164,$B$12:$B$5011,B4164)&gt;1,"CPF + dia duplicado",IF(OR(AND(E4164&lt;&gt;"",E4164&lt;B4164),AND(F4164&lt;&gt;"",F4164&lt;B4164)),"Evento anterior à entrada",IF(AND(F4164&lt;&gt;"",E4164=""),"Conversa sem agendamento",IF(OR(E4164&gt;TODAY(),F4164&gt;TODAY()),"Verificar evento futuro","OK"))))))</f>
        <v/>
      </c>
    </row>
    <row r="4165" spans="9:12">
      <c r="I4165" s="5">
        <f>IF(OR(A4165="",B4165=""),"",B4165-WEEKDAY(B4165,2)+1)</f>
        <v/>
      </c>
      <c r="J4165" s="5">
        <f>IF(I4165="","",I4165+6)</f>
        <v/>
      </c>
      <c r="K4165" s="6">
        <f>IF(OR(A4165="",B4165=""),"",DATE(YEAR(B4165),MONTH(B4165),1))</f>
        <v/>
      </c>
      <c r="L4165" s="7">
        <f>IF(COUNTA(A4165,B4165)=0,"",IF(OR(A4165="",B4165=""),"Preencher CPF e entrada",IF(COUNTIFS($A$12:$A$5011,A4165,$B$12:$B$5011,B4165)&gt;1,"CPF + dia duplicado",IF(OR(AND(E4165&lt;&gt;"",E4165&lt;B4165),AND(F4165&lt;&gt;"",F4165&lt;B4165)),"Evento anterior à entrada",IF(AND(F4165&lt;&gt;"",E4165=""),"Conversa sem agendamento",IF(OR(E4165&gt;TODAY(),F4165&gt;TODAY()),"Verificar evento futuro","OK"))))))</f>
        <v/>
      </c>
    </row>
    <row r="4166" spans="9:12">
      <c r="I4166" s="5">
        <f>IF(OR(A4166="",B4166=""),"",B4166-WEEKDAY(B4166,2)+1)</f>
        <v/>
      </c>
      <c r="J4166" s="5">
        <f>IF(I4166="","",I4166+6)</f>
        <v/>
      </c>
      <c r="K4166" s="6">
        <f>IF(OR(A4166="",B4166=""),"",DATE(YEAR(B4166),MONTH(B4166),1))</f>
        <v/>
      </c>
      <c r="L4166" s="7">
        <f>IF(COUNTA(A4166,B4166)=0,"",IF(OR(A4166="",B4166=""),"Preencher CPF e entrada",IF(COUNTIFS($A$12:$A$5011,A4166,$B$12:$B$5011,B4166)&gt;1,"CPF + dia duplicado",IF(OR(AND(E4166&lt;&gt;"",E4166&lt;B4166),AND(F4166&lt;&gt;"",F4166&lt;B4166)),"Evento anterior à entrada",IF(AND(F4166&lt;&gt;"",E4166=""),"Conversa sem agendamento",IF(OR(E4166&gt;TODAY(),F4166&gt;TODAY()),"Verificar evento futuro","OK"))))))</f>
        <v/>
      </c>
    </row>
    <row r="4167" spans="9:12">
      <c r="I4167" s="5">
        <f>IF(OR(A4167="",B4167=""),"",B4167-WEEKDAY(B4167,2)+1)</f>
        <v/>
      </c>
      <c r="J4167" s="5">
        <f>IF(I4167="","",I4167+6)</f>
        <v/>
      </c>
      <c r="K4167" s="6">
        <f>IF(OR(A4167="",B4167=""),"",DATE(YEAR(B4167),MONTH(B4167),1))</f>
        <v/>
      </c>
      <c r="L4167" s="7">
        <f>IF(COUNTA(A4167,B4167)=0,"",IF(OR(A4167="",B4167=""),"Preencher CPF e entrada",IF(COUNTIFS($A$12:$A$5011,A4167,$B$12:$B$5011,B4167)&gt;1,"CPF + dia duplicado",IF(OR(AND(E4167&lt;&gt;"",E4167&lt;B4167),AND(F4167&lt;&gt;"",F4167&lt;B4167)),"Evento anterior à entrada",IF(AND(F4167&lt;&gt;"",E4167=""),"Conversa sem agendamento",IF(OR(E4167&gt;TODAY(),F4167&gt;TODAY()),"Verificar evento futuro","OK"))))))</f>
        <v/>
      </c>
    </row>
    <row r="4168" spans="9:12">
      <c r="I4168" s="5">
        <f>IF(OR(A4168="",B4168=""),"",B4168-WEEKDAY(B4168,2)+1)</f>
        <v/>
      </c>
      <c r="J4168" s="5">
        <f>IF(I4168="","",I4168+6)</f>
        <v/>
      </c>
      <c r="K4168" s="6">
        <f>IF(OR(A4168="",B4168=""),"",DATE(YEAR(B4168),MONTH(B4168),1))</f>
        <v/>
      </c>
      <c r="L4168" s="7">
        <f>IF(COUNTA(A4168,B4168)=0,"",IF(OR(A4168="",B4168=""),"Preencher CPF e entrada",IF(COUNTIFS($A$12:$A$5011,A4168,$B$12:$B$5011,B4168)&gt;1,"CPF + dia duplicado",IF(OR(AND(E4168&lt;&gt;"",E4168&lt;B4168),AND(F4168&lt;&gt;"",F4168&lt;B4168)),"Evento anterior à entrada",IF(AND(F4168&lt;&gt;"",E4168=""),"Conversa sem agendamento",IF(OR(E4168&gt;TODAY(),F4168&gt;TODAY()),"Verificar evento futuro","OK"))))))</f>
        <v/>
      </c>
    </row>
    <row r="4169" spans="9:12">
      <c r="I4169" s="5">
        <f>IF(OR(A4169="",B4169=""),"",B4169-WEEKDAY(B4169,2)+1)</f>
        <v/>
      </c>
      <c r="J4169" s="5">
        <f>IF(I4169="","",I4169+6)</f>
        <v/>
      </c>
      <c r="K4169" s="6">
        <f>IF(OR(A4169="",B4169=""),"",DATE(YEAR(B4169),MONTH(B4169),1))</f>
        <v/>
      </c>
      <c r="L4169" s="7">
        <f>IF(COUNTA(A4169,B4169)=0,"",IF(OR(A4169="",B4169=""),"Preencher CPF e entrada",IF(COUNTIFS($A$12:$A$5011,A4169,$B$12:$B$5011,B4169)&gt;1,"CPF + dia duplicado",IF(OR(AND(E4169&lt;&gt;"",E4169&lt;B4169),AND(F4169&lt;&gt;"",F4169&lt;B4169)),"Evento anterior à entrada",IF(AND(F4169&lt;&gt;"",E4169=""),"Conversa sem agendamento",IF(OR(E4169&gt;TODAY(),F4169&gt;TODAY()),"Verificar evento futuro","OK"))))))</f>
        <v/>
      </c>
    </row>
    <row r="4170" spans="9:12">
      <c r="I4170" s="5">
        <f>IF(OR(A4170="",B4170=""),"",B4170-WEEKDAY(B4170,2)+1)</f>
        <v/>
      </c>
      <c r="J4170" s="5">
        <f>IF(I4170="","",I4170+6)</f>
        <v/>
      </c>
      <c r="K4170" s="6">
        <f>IF(OR(A4170="",B4170=""),"",DATE(YEAR(B4170),MONTH(B4170),1))</f>
        <v/>
      </c>
      <c r="L4170" s="7">
        <f>IF(COUNTA(A4170,B4170)=0,"",IF(OR(A4170="",B4170=""),"Preencher CPF e entrada",IF(COUNTIFS($A$12:$A$5011,A4170,$B$12:$B$5011,B4170)&gt;1,"CPF + dia duplicado",IF(OR(AND(E4170&lt;&gt;"",E4170&lt;B4170),AND(F4170&lt;&gt;"",F4170&lt;B4170)),"Evento anterior à entrada",IF(AND(F4170&lt;&gt;"",E4170=""),"Conversa sem agendamento",IF(OR(E4170&gt;TODAY(),F4170&gt;TODAY()),"Verificar evento futuro","OK"))))))</f>
        <v/>
      </c>
    </row>
    <row r="4171" spans="9:12">
      <c r="I4171" s="5">
        <f>IF(OR(A4171="",B4171=""),"",B4171-WEEKDAY(B4171,2)+1)</f>
        <v/>
      </c>
      <c r="J4171" s="5">
        <f>IF(I4171="","",I4171+6)</f>
        <v/>
      </c>
      <c r="K4171" s="6">
        <f>IF(OR(A4171="",B4171=""),"",DATE(YEAR(B4171),MONTH(B4171),1))</f>
        <v/>
      </c>
      <c r="L4171" s="7">
        <f>IF(COUNTA(A4171,B4171)=0,"",IF(OR(A4171="",B4171=""),"Preencher CPF e entrada",IF(COUNTIFS($A$12:$A$5011,A4171,$B$12:$B$5011,B4171)&gt;1,"CPF + dia duplicado",IF(OR(AND(E4171&lt;&gt;"",E4171&lt;B4171),AND(F4171&lt;&gt;"",F4171&lt;B4171)),"Evento anterior à entrada",IF(AND(F4171&lt;&gt;"",E4171=""),"Conversa sem agendamento",IF(OR(E4171&gt;TODAY(),F4171&gt;TODAY()),"Verificar evento futuro","OK"))))))</f>
        <v/>
      </c>
    </row>
    <row r="4172" spans="9:12">
      <c r="I4172" s="5">
        <f>IF(OR(A4172="",B4172=""),"",B4172-WEEKDAY(B4172,2)+1)</f>
        <v/>
      </c>
      <c r="J4172" s="5">
        <f>IF(I4172="","",I4172+6)</f>
        <v/>
      </c>
      <c r="K4172" s="6">
        <f>IF(OR(A4172="",B4172=""),"",DATE(YEAR(B4172),MONTH(B4172),1))</f>
        <v/>
      </c>
      <c r="L4172" s="7">
        <f>IF(COUNTA(A4172,B4172)=0,"",IF(OR(A4172="",B4172=""),"Preencher CPF e entrada",IF(COUNTIFS($A$12:$A$5011,A4172,$B$12:$B$5011,B4172)&gt;1,"CPF + dia duplicado",IF(OR(AND(E4172&lt;&gt;"",E4172&lt;B4172),AND(F4172&lt;&gt;"",F4172&lt;B4172)),"Evento anterior à entrada",IF(AND(F4172&lt;&gt;"",E4172=""),"Conversa sem agendamento",IF(OR(E4172&gt;TODAY(),F4172&gt;TODAY()),"Verificar evento futuro","OK"))))))</f>
        <v/>
      </c>
    </row>
    <row r="4173" spans="9:12">
      <c r="I4173" s="5">
        <f>IF(OR(A4173="",B4173=""),"",B4173-WEEKDAY(B4173,2)+1)</f>
        <v/>
      </c>
      <c r="J4173" s="5">
        <f>IF(I4173="","",I4173+6)</f>
        <v/>
      </c>
      <c r="K4173" s="6">
        <f>IF(OR(A4173="",B4173=""),"",DATE(YEAR(B4173),MONTH(B4173),1))</f>
        <v/>
      </c>
      <c r="L4173" s="7">
        <f>IF(COUNTA(A4173,B4173)=0,"",IF(OR(A4173="",B4173=""),"Preencher CPF e entrada",IF(COUNTIFS($A$12:$A$5011,A4173,$B$12:$B$5011,B4173)&gt;1,"CPF + dia duplicado",IF(OR(AND(E4173&lt;&gt;"",E4173&lt;B4173),AND(F4173&lt;&gt;"",F4173&lt;B4173)),"Evento anterior à entrada",IF(AND(F4173&lt;&gt;"",E4173=""),"Conversa sem agendamento",IF(OR(E4173&gt;TODAY(),F4173&gt;TODAY()),"Verificar evento futuro","OK"))))))</f>
        <v/>
      </c>
    </row>
    <row r="4174" spans="9:12">
      <c r="I4174" s="5">
        <f>IF(OR(A4174="",B4174=""),"",B4174-WEEKDAY(B4174,2)+1)</f>
        <v/>
      </c>
      <c r="J4174" s="5">
        <f>IF(I4174="","",I4174+6)</f>
        <v/>
      </c>
      <c r="K4174" s="6">
        <f>IF(OR(A4174="",B4174=""),"",DATE(YEAR(B4174),MONTH(B4174),1))</f>
        <v/>
      </c>
      <c r="L4174" s="7">
        <f>IF(COUNTA(A4174,B4174)=0,"",IF(OR(A4174="",B4174=""),"Preencher CPF e entrada",IF(COUNTIFS($A$12:$A$5011,A4174,$B$12:$B$5011,B4174)&gt;1,"CPF + dia duplicado",IF(OR(AND(E4174&lt;&gt;"",E4174&lt;B4174),AND(F4174&lt;&gt;"",F4174&lt;B4174)),"Evento anterior à entrada",IF(AND(F4174&lt;&gt;"",E4174=""),"Conversa sem agendamento",IF(OR(E4174&gt;TODAY(),F4174&gt;TODAY()),"Verificar evento futuro","OK"))))))</f>
        <v/>
      </c>
    </row>
    <row r="4175" spans="9:12">
      <c r="I4175" s="5">
        <f>IF(OR(A4175="",B4175=""),"",B4175-WEEKDAY(B4175,2)+1)</f>
        <v/>
      </c>
      <c r="J4175" s="5">
        <f>IF(I4175="","",I4175+6)</f>
        <v/>
      </c>
      <c r="K4175" s="6">
        <f>IF(OR(A4175="",B4175=""),"",DATE(YEAR(B4175),MONTH(B4175),1))</f>
        <v/>
      </c>
      <c r="L4175" s="7">
        <f>IF(COUNTA(A4175,B4175)=0,"",IF(OR(A4175="",B4175=""),"Preencher CPF e entrada",IF(COUNTIFS($A$12:$A$5011,A4175,$B$12:$B$5011,B4175)&gt;1,"CPF + dia duplicado",IF(OR(AND(E4175&lt;&gt;"",E4175&lt;B4175),AND(F4175&lt;&gt;"",F4175&lt;B4175)),"Evento anterior à entrada",IF(AND(F4175&lt;&gt;"",E4175=""),"Conversa sem agendamento",IF(OR(E4175&gt;TODAY(),F4175&gt;TODAY()),"Verificar evento futuro","OK"))))))</f>
        <v/>
      </c>
    </row>
    <row r="4176" spans="9:12">
      <c r="I4176" s="5">
        <f>IF(OR(A4176="",B4176=""),"",B4176-WEEKDAY(B4176,2)+1)</f>
        <v/>
      </c>
      <c r="J4176" s="5">
        <f>IF(I4176="","",I4176+6)</f>
        <v/>
      </c>
      <c r="K4176" s="6">
        <f>IF(OR(A4176="",B4176=""),"",DATE(YEAR(B4176),MONTH(B4176),1))</f>
        <v/>
      </c>
      <c r="L4176" s="7">
        <f>IF(COUNTA(A4176,B4176)=0,"",IF(OR(A4176="",B4176=""),"Preencher CPF e entrada",IF(COUNTIFS($A$12:$A$5011,A4176,$B$12:$B$5011,B4176)&gt;1,"CPF + dia duplicado",IF(OR(AND(E4176&lt;&gt;"",E4176&lt;B4176),AND(F4176&lt;&gt;"",F4176&lt;B4176)),"Evento anterior à entrada",IF(AND(F4176&lt;&gt;"",E4176=""),"Conversa sem agendamento",IF(OR(E4176&gt;TODAY(),F4176&gt;TODAY()),"Verificar evento futuro","OK"))))))</f>
        <v/>
      </c>
    </row>
    <row r="4177" spans="9:12">
      <c r="I4177" s="5">
        <f>IF(OR(A4177="",B4177=""),"",B4177-WEEKDAY(B4177,2)+1)</f>
        <v/>
      </c>
      <c r="J4177" s="5">
        <f>IF(I4177="","",I4177+6)</f>
        <v/>
      </c>
      <c r="K4177" s="6">
        <f>IF(OR(A4177="",B4177=""),"",DATE(YEAR(B4177),MONTH(B4177),1))</f>
        <v/>
      </c>
      <c r="L4177" s="7">
        <f>IF(COUNTA(A4177,B4177)=0,"",IF(OR(A4177="",B4177=""),"Preencher CPF e entrada",IF(COUNTIFS($A$12:$A$5011,A4177,$B$12:$B$5011,B4177)&gt;1,"CPF + dia duplicado",IF(OR(AND(E4177&lt;&gt;"",E4177&lt;B4177),AND(F4177&lt;&gt;"",F4177&lt;B4177)),"Evento anterior à entrada",IF(AND(F4177&lt;&gt;"",E4177=""),"Conversa sem agendamento",IF(OR(E4177&gt;TODAY(),F4177&gt;TODAY()),"Verificar evento futuro","OK"))))))</f>
        <v/>
      </c>
    </row>
    <row r="4178" spans="9:12">
      <c r="I4178" s="5">
        <f>IF(OR(A4178="",B4178=""),"",B4178-WEEKDAY(B4178,2)+1)</f>
        <v/>
      </c>
      <c r="J4178" s="5">
        <f>IF(I4178="","",I4178+6)</f>
        <v/>
      </c>
      <c r="K4178" s="6">
        <f>IF(OR(A4178="",B4178=""),"",DATE(YEAR(B4178),MONTH(B4178),1))</f>
        <v/>
      </c>
      <c r="L4178" s="7">
        <f>IF(COUNTA(A4178,B4178)=0,"",IF(OR(A4178="",B4178=""),"Preencher CPF e entrada",IF(COUNTIFS($A$12:$A$5011,A4178,$B$12:$B$5011,B4178)&gt;1,"CPF + dia duplicado",IF(OR(AND(E4178&lt;&gt;"",E4178&lt;B4178),AND(F4178&lt;&gt;"",F4178&lt;B4178)),"Evento anterior à entrada",IF(AND(F4178&lt;&gt;"",E4178=""),"Conversa sem agendamento",IF(OR(E4178&gt;TODAY(),F4178&gt;TODAY()),"Verificar evento futuro","OK"))))))</f>
        <v/>
      </c>
    </row>
    <row r="4179" spans="9:12">
      <c r="I4179" s="5">
        <f>IF(OR(A4179="",B4179=""),"",B4179-WEEKDAY(B4179,2)+1)</f>
        <v/>
      </c>
      <c r="J4179" s="5">
        <f>IF(I4179="","",I4179+6)</f>
        <v/>
      </c>
      <c r="K4179" s="6">
        <f>IF(OR(A4179="",B4179=""),"",DATE(YEAR(B4179),MONTH(B4179),1))</f>
        <v/>
      </c>
      <c r="L4179" s="7">
        <f>IF(COUNTA(A4179,B4179)=0,"",IF(OR(A4179="",B4179=""),"Preencher CPF e entrada",IF(COUNTIFS($A$12:$A$5011,A4179,$B$12:$B$5011,B4179)&gt;1,"CPF + dia duplicado",IF(OR(AND(E4179&lt;&gt;"",E4179&lt;B4179),AND(F4179&lt;&gt;"",F4179&lt;B4179)),"Evento anterior à entrada",IF(AND(F4179&lt;&gt;"",E4179=""),"Conversa sem agendamento",IF(OR(E4179&gt;TODAY(),F4179&gt;TODAY()),"Verificar evento futuro","OK"))))))</f>
        <v/>
      </c>
    </row>
    <row r="4180" spans="9:12">
      <c r="I4180" s="5">
        <f>IF(OR(A4180="",B4180=""),"",B4180-WEEKDAY(B4180,2)+1)</f>
        <v/>
      </c>
      <c r="J4180" s="5">
        <f>IF(I4180="","",I4180+6)</f>
        <v/>
      </c>
      <c r="K4180" s="6">
        <f>IF(OR(A4180="",B4180=""),"",DATE(YEAR(B4180),MONTH(B4180),1))</f>
        <v/>
      </c>
      <c r="L4180" s="7">
        <f>IF(COUNTA(A4180,B4180)=0,"",IF(OR(A4180="",B4180=""),"Preencher CPF e entrada",IF(COUNTIFS($A$12:$A$5011,A4180,$B$12:$B$5011,B4180)&gt;1,"CPF + dia duplicado",IF(OR(AND(E4180&lt;&gt;"",E4180&lt;B4180),AND(F4180&lt;&gt;"",F4180&lt;B4180)),"Evento anterior à entrada",IF(AND(F4180&lt;&gt;"",E4180=""),"Conversa sem agendamento",IF(OR(E4180&gt;TODAY(),F4180&gt;TODAY()),"Verificar evento futuro","OK"))))))</f>
        <v/>
      </c>
    </row>
    <row r="4181" spans="9:12">
      <c r="I4181" s="5">
        <f>IF(OR(A4181="",B4181=""),"",B4181-WEEKDAY(B4181,2)+1)</f>
        <v/>
      </c>
      <c r="J4181" s="5">
        <f>IF(I4181="","",I4181+6)</f>
        <v/>
      </c>
      <c r="K4181" s="6">
        <f>IF(OR(A4181="",B4181=""),"",DATE(YEAR(B4181),MONTH(B4181),1))</f>
        <v/>
      </c>
      <c r="L4181" s="7">
        <f>IF(COUNTA(A4181,B4181)=0,"",IF(OR(A4181="",B4181=""),"Preencher CPF e entrada",IF(COUNTIFS($A$12:$A$5011,A4181,$B$12:$B$5011,B4181)&gt;1,"CPF + dia duplicado",IF(OR(AND(E4181&lt;&gt;"",E4181&lt;B4181),AND(F4181&lt;&gt;"",F4181&lt;B4181)),"Evento anterior à entrada",IF(AND(F4181&lt;&gt;"",E4181=""),"Conversa sem agendamento",IF(OR(E4181&gt;TODAY(),F4181&gt;TODAY()),"Verificar evento futuro","OK"))))))</f>
        <v/>
      </c>
    </row>
    <row r="4182" spans="9:12">
      <c r="I4182" s="5">
        <f>IF(OR(A4182="",B4182=""),"",B4182-WEEKDAY(B4182,2)+1)</f>
        <v/>
      </c>
      <c r="J4182" s="5">
        <f>IF(I4182="","",I4182+6)</f>
        <v/>
      </c>
      <c r="K4182" s="6">
        <f>IF(OR(A4182="",B4182=""),"",DATE(YEAR(B4182),MONTH(B4182),1))</f>
        <v/>
      </c>
      <c r="L4182" s="7">
        <f>IF(COUNTA(A4182,B4182)=0,"",IF(OR(A4182="",B4182=""),"Preencher CPF e entrada",IF(COUNTIFS($A$12:$A$5011,A4182,$B$12:$B$5011,B4182)&gt;1,"CPF + dia duplicado",IF(OR(AND(E4182&lt;&gt;"",E4182&lt;B4182),AND(F4182&lt;&gt;"",F4182&lt;B4182)),"Evento anterior à entrada",IF(AND(F4182&lt;&gt;"",E4182=""),"Conversa sem agendamento",IF(OR(E4182&gt;TODAY(),F4182&gt;TODAY()),"Verificar evento futuro","OK"))))))</f>
        <v/>
      </c>
    </row>
    <row r="4183" spans="9:12">
      <c r="I4183" s="5">
        <f>IF(OR(A4183="",B4183=""),"",B4183-WEEKDAY(B4183,2)+1)</f>
        <v/>
      </c>
      <c r="J4183" s="5">
        <f>IF(I4183="","",I4183+6)</f>
        <v/>
      </c>
      <c r="K4183" s="6">
        <f>IF(OR(A4183="",B4183=""),"",DATE(YEAR(B4183),MONTH(B4183),1))</f>
        <v/>
      </c>
      <c r="L4183" s="7">
        <f>IF(COUNTA(A4183,B4183)=0,"",IF(OR(A4183="",B4183=""),"Preencher CPF e entrada",IF(COUNTIFS($A$12:$A$5011,A4183,$B$12:$B$5011,B4183)&gt;1,"CPF + dia duplicado",IF(OR(AND(E4183&lt;&gt;"",E4183&lt;B4183),AND(F4183&lt;&gt;"",F4183&lt;B4183)),"Evento anterior à entrada",IF(AND(F4183&lt;&gt;"",E4183=""),"Conversa sem agendamento",IF(OR(E4183&gt;TODAY(),F4183&gt;TODAY()),"Verificar evento futuro","OK"))))))</f>
        <v/>
      </c>
    </row>
    <row r="4184" spans="9:12">
      <c r="I4184" s="5">
        <f>IF(OR(A4184="",B4184=""),"",B4184-WEEKDAY(B4184,2)+1)</f>
        <v/>
      </c>
      <c r="J4184" s="5">
        <f>IF(I4184="","",I4184+6)</f>
        <v/>
      </c>
      <c r="K4184" s="6">
        <f>IF(OR(A4184="",B4184=""),"",DATE(YEAR(B4184),MONTH(B4184),1))</f>
        <v/>
      </c>
      <c r="L4184" s="7">
        <f>IF(COUNTA(A4184,B4184)=0,"",IF(OR(A4184="",B4184=""),"Preencher CPF e entrada",IF(COUNTIFS($A$12:$A$5011,A4184,$B$12:$B$5011,B4184)&gt;1,"CPF + dia duplicado",IF(OR(AND(E4184&lt;&gt;"",E4184&lt;B4184),AND(F4184&lt;&gt;"",F4184&lt;B4184)),"Evento anterior à entrada",IF(AND(F4184&lt;&gt;"",E4184=""),"Conversa sem agendamento",IF(OR(E4184&gt;TODAY(),F4184&gt;TODAY()),"Verificar evento futuro","OK"))))))</f>
        <v/>
      </c>
    </row>
    <row r="4185" spans="9:12">
      <c r="I4185" s="5">
        <f>IF(OR(A4185="",B4185=""),"",B4185-WEEKDAY(B4185,2)+1)</f>
        <v/>
      </c>
      <c r="J4185" s="5">
        <f>IF(I4185="","",I4185+6)</f>
        <v/>
      </c>
      <c r="K4185" s="6">
        <f>IF(OR(A4185="",B4185=""),"",DATE(YEAR(B4185),MONTH(B4185),1))</f>
        <v/>
      </c>
      <c r="L4185" s="7">
        <f>IF(COUNTA(A4185,B4185)=0,"",IF(OR(A4185="",B4185=""),"Preencher CPF e entrada",IF(COUNTIFS($A$12:$A$5011,A4185,$B$12:$B$5011,B4185)&gt;1,"CPF + dia duplicado",IF(OR(AND(E4185&lt;&gt;"",E4185&lt;B4185),AND(F4185&lt;&gt;"",F4185&lt;B4185)),"Evento anterior à entrada",IF(AND(F4185&lt;&gt;"",E4185=""),"Conversa sem agendamento",IF(OR(E4185&gt;TODAY(),F4185&gt;TODAY()),"Verificar evento futuro","OK"))))))</f>
        <v/>
      </c>
    </row>
    <row r="4186" spans="9:12">
      <c r="I4186" s="5">
        <f>IF(OR(A4186="",B4186=""),"",B4186-WEEKDAY(B4186,2)+1)</f>
        <v/>
      </c>
      <c r="J4186" s="5">
        <f>IF(I4186="","",I4186+6)</f>
        <v/>
      </c>
      <c r="K4186" s="6">
        <f>IF(OR(A4186="",B4186=""),"",DATE(YEAR(B4186),MONTH(B4186),1))</f>
        <v/>
      </c>
      <c r="L4186" s="7">
        <f>IF(COUNTA(A4186,B4186)=0,"",IF(OR(A4186="",B4186=""),"Preencher CPF e entrada",IF(COUNTIFS($A$12:$A$5011,A4186,$B$12:$B$5011,B4186)&gt;1,"CPF + dia duplicado",IF(OR(AND(E4186&lt;&gt;"",E4186&lt;B4186),AND(F4186&lt;&gt;"",F4186&lt;B4186)),"Evento anterior à entrada",IF(AND(F4186&lt;&gt;"",E4186=""),"Conversa sem agendamento",IF(OR(E4186&gt;TODAY(),F4186&gt;TODAY()),"Verificar evento futuro","OK"))))))</f>
        <v/>
      </c>
    </row>
    <row r="4187" spans="9:12">
      <c r="I4187" s="5">
        <f>IF(OR(A4187="",B4187=""),"",B4187-WEEKDAY(B4187,2)+1)</f>
        <v/>
      </c>
      <c r="J4187" s="5">
        <f>IF(I4187="","",I4187+6)</f>
        <v/>
      </c>
      <c r="K4187" s="6">
        <f>IF(OR(A4187="",B4187=""),"",DATE(YEAR(B4187),MONTH(B4187),1))</f>
        <v/>
      </c>
      <c r="L4187" s="7">
        <f>IF(COUNTA(A4187,B4187)=0,"",IF(OR(A4187="",B4187=""),"Preencher CPF e entrada",IF(COUNTIFS($A$12:$A$5011,A4187,$B$12:$B$5011,B4187)&gt;1,"CPF + dia duplicado",IF(OR(AND(E4187&lt;&gt;"",E4187&lt;B4187),AND(F4187&lt;&gt;"",F4187&lt;B4187)),"Evento anterior à entrada",IF(AND(F4187&lt;&gt;"",E4187=""),"Conversa sem agendamento",IF(OR(E4187&gt;TODAY(),F4187&gt;TODAY()),"Verificar evento futuro","OK"))))))</f>
        <v/>
      </c>
    </row>
    <row r="4188" spans="9:12">
      <c r="I4188" s="5">
        <f>IF(OR(A4188="",B4188=""),"",B4188-WEEKDAY(B4188,2)+1)</f>
        <v/>
      </c>
      <c r="J4188" s="5">
        <f>IF(I4188="","",I4188+6)</f>
        <v/>
      </c>
      <c r="K4188" s="6">
        <f>IF(OR(A4188="",B4188=""),"",DATE(YEAR(B4188),MONTH(B4188),1))</f>
        <v/>
      </c>
      <c r="L4188" s="7">
        <f>IF(COUNTA(A4188,B4188)=0,"",IF(OR(A4188="",B4188=""),"Preencher CPF e entrada",IF(COUNTIFS($A$12:$A$5011,A4188,$B$12:$B$5011,B4188)&gt;1,"CPF + dia duplicado",IF(OR(AND(E4188&lt;&gt;"",E4188&lt;B4188),AND(F4188&lt;&gt;"",F4188&lt;B4188)),"Evento anterior à entrada",IF(AND(F4188&lt;&gt;"",E4188=""),"Conversa sem agendamento",IF(OR(E4188&gt;TODAY(),F4188&gt;TODAY()),"Verificar evento futuro","OK"))))))</f>
        <v/>
      </c>
    </row>
    <row r="4189" spans="9:12">
      <c r="I4189" s="5">
        <f>IF(OR(A4189="",B4189=""),"",B4189-WEEKDAY(B4189,2)+1)</f>
        <v/>
      </c>
      <c r="J4189" s="5">
        <f>IF(I4189="","",I4189+6)</f>
        <v/>
      </c>
      <c r="K4189" s="6">
        <f>IF(OR(A4189="",B4189=""),"",DATE(YEAR(B4189),MONTH(B4189),1))</f>
        <v/>
      </c>
      <c r="L4189" s="7">
        <f>IF(COUNTA(A4189,B4189)=0,"",IF(OR(A4189="",B4189=""),"Preencher CPF e entrada",IF(COUNTIFS($A$12:$A$5011,A4189,$B$12:$B$5011,B4189)&gt;1,"CPF + dia duplicado",IF(OR(AND(E4189&lt;&gt;"",E4189&lt;B4189),AND(F4189&lt;&gt;"",F4189&lt;B4189)),"Evento anterior à entrada",IF(AND(F4189&lt;&gt;"",E4189=""),"Conversa sem agendamento",IF(OR(E4189&gt;TODAY(),F4189&gt;TODAY()),"Verificar evento futuro","OK"))))))</f>
        <v/>
      </c>
    </row>
    <row r="4190" spans="9:12">
      <c r="I4190" s="5">
        <f>IF(OR(A4190="",B4190=""),"",B4190-WEEKDAY(B4190,2)+1)</f>
        <v/>
      </c>
      <c r="J4190" s="5">
        <f>IF(I4190="","",I4190+6)</f>
        <v/>
      </c>
      <c r="K4190" s="6">
        <f>IF(OR(A4190="",B4190=""),"",DATE(YEAR(B4190),MONTH(B4190),1))</f>
        <v/>
      </c>
      <c r="L4190" s="7">
        <f>IF(COUNTA(A4190,B4190)=0,"",IF(OR(A4190="",B4190=""),"Preencher CPF e entrada",IF(COUNTIFS($A$12:$A$5011,A4190,$B$12:$B$5011,B4190)&gt;1,"CPF + dia duplicado",IF(OR(AND(E4190&lt;&gt;"",E4190&lt;B4190),AND(F4190&lt;&gt;"",F4190&lt;B4190)),"Evento anterior à entrada",IF(AND(F4190&lt;&gt;"",E4190=""),"Conversa sem agendamento",IF(OR(E4190&gt;TODAY(),F4190&gt;TODAY()),"Verificar evento futuro","OK"))))))</f>
        <v/>
      </c>
    </row>
    <row r="4191" spans="9:12">
      <c r="I4191" s="5">
        <f>IF(OR(A4191="",B4191=""),"",B4191-WEEKDAY(B4191,2)+1)</f>
        <v/>
      </c>
      <c r="J4191" s="5">
        <f>IF(I4191="","",I4191+6)</f>
        <v/>
      </c>
      <c r="K4191" s="6">
        <f>IF(OR(A4191="",B4191=""),"",DATE(YEAR(B4191),MONTH(B4191),1))</f>
        <v/>
      </c>
      <c r="L4191" s="7">
        <f>IF(COUNTA(A4191,B4191)=0,"",IF(OR(A4191="",B4191=""),"Preencher CPF e entrada",IF(COUNTIFS($A$12:$A$5011,A4191,$B$12:$B$5011,B4191)&gt;1,"CPF + dia duplicado",IF(OR(AND(E4191&lt;&gt;"",E4191&lt;B4191),AND(F4191&lt;&gt;"",F4191&lt;B4191)),"Evento anterior à entrada",IF(AND(F4191&lt;&gt;"",E4191=""),"Conversa sem agendamento",IF(OR(E4191&gt;TODAY(),F4191&gt;TODAY()),"Verificar evento futuro","OK"))))))</f>
        <v/>
      </c>
    </row>
    <row r="4192" spans="9:12">
      <c r="I4192" s="5">
        <f>IF(OR(A4192="",B4192=""),"",B4192-WEEKDAY(B4192,2)+1)</f>
        <v/>
      </c>
      <c r="J4192" s="5">
        <f>IF(I4192="","",I4192+6)</f>
        <v/>
      </c>
      <c r="K4192" s="6">
        <f>IF(OR(A4192="",B4192=""),"",DATE(YEAR(B4192),MONTH(B4192),1))</f>
        <v/>
      </c>
      <c r="L4192" s="7">
        <f>IF(COUNTA(A4192,B4192)=0,"",IF(OR(A4192="",B4192=""),"Preencher CPF e entrada",IF(COUNTIFS($A$12:$A$5011,A4192,$B$12:$B$5011,B4192)&gt;1,"CPF + dia duplicado",IF(OR(AND(E4192&lt;&gt;"",E4192&lt;B4192),AND(F4192&lt;&gt;"",F4192&lt;B4192)),"Evento anterior à entrada",IF(AND(F4192&lt;&gt;"",E4192=""),"Conversa sem agendamento",IF(OR(E4192&gt;TODAY(),F4192&gt;TODAY()),"Verificar evento futuro","OK"))))))</f>
        <v/>
      </c>
    </row>
    <row r="4193" spans="9:12">
      <c r="I4193" s="5">
        <f>IF(OR(A4193="",B4193=""),"",B4193-WEEKDAY(B4193,2)+1)</f>
        <v/>
      </c>
      <c r="J4193" s="5">
        <f>IF(I4193="","",I4193+6)</f>
        <v/>
      </c>
      <c r="K4193" s="6">
        <f>IF(OR(A4193="",B4193=""),"",DATE(YEAR(B4193),MONTH(B4193),1))</f>
        <v/>
      </c>
      <c r="L4193" s="7">
        <f>IF(COUNTA(A4193,B4193)=0,"",IF(OR(A4193="",B4193=""),"Preencher CPF e entrada",IF(COUNTIFS($A$12:$A$5011,A4193,$B$12:$B$5011,B4193)&gt;1,"CPF + dia duplicado",IF(OR(AND(E4193&lt;&gt;"",E4193&lt;B4193),AND(F4193&lt;&gt;"",F4193&lt;B4193)),"Evento anterior à entrada",IF(AND(F4193&lt;&gt;"",E4193=""),"Conversa sem agendamento",IF(OR(E4193&gt;TODAY(),F4193&gt;TODAY()),"Verificar evento futuro","OK"))))))</f>
        <v/>
      </c>
    </row>
    <row r="4194" spans="9:12">
      <c r="I4194" s="5">
        <f>IF(OR(A4194="",B4194=""),"",B4194-WEEKDAY(B4194,2)+1)</f>
        <v/>
      </c>
      <c r="J4194" s="5">
        <f>IF(I4194="","",I4194+6)</f>
        <v/>
      </c>
      <c r="K4194" s="6">
        <f>IF(OR(A4194="",B4194=""),"",DATE(YEAR(B4194),MONTH(B4194),1))</f>
        <v/>
      </c>
      <c r="L4194" s="7">
        <f>IF(COUNTA(A4194,B4194)=0,"",IF(OR(A4194="",B4194=""),"Preencher CPF e entrada",IF(COUNTIFS($A$12:$A$5011,A4194,$B$12:$B$5011,B4194)&gt;1,"CPF + dia duplicado",IF(OR(AND(E4194&lt;&gt;"",E4194&lt;B4194),AND(F4194&lt;&gt;"",F4194&lt;B4194)),"Evento anterior à entrada",IF(AND(F4194&lt;&gt;"",E4194=""),"Conversa sem agendamento",IF(OR(E4194&gt;TODAY(),F4194&gt;TODAY()),"Verificar evento futuro","OK"))))))</f>
        <v/>
      </c>
    </row>
    <row r="4195" spans="9:12">
      <c r="I4195" s="5">
        <f>IF(OR(A4195="",B4195=""),"",B4195-WEEKDAY(B4195,2)+1)</f>
        <v/>
      </c>
      <c r="J4195" s="5">
        <f>IF(I4195="","",I4195+6)</f>
        <v/>
      </c>
      <c r="K4195" s="6">
        <f>IF(OR(A4195="",B4195=""),"",DATE(YEAR(B4195),MONTH(B4195),1))</f>
        <v/>
      </c>
      <c r="L4195" s="7">
        <f>IF(COUNTA(A4195,B4195)=0,"",IF(OR(A4195="",B4195=""),"Preencher CPF e entrada",IF(COUNTIFS($A$12:$A$5011,A4195,$B$12:$B$5011,B4195)&gt;1,"CPF + dia duplicado",IF(OR(AND(E4195&lt;&gt;"",E4195&lt;B4195),AND(F4195&lt;&gt;"",F4195&lt;B4195)),"Evento anterior à entrada",IF(AND(F4195&lt;&gt;"",E4195=""),"Conversa sem agendamento",IF(OR(E4195&gt;TODAY(),F4195&gt;TODAY()),"Verificar evento futuro","OK"))))))</f>
        <v/>
      </c>
    </row>
    <row r="4196" spans="9:12">
      <c r="I4196" s="5">
        <f>IF(OR(A4196="",B4196=""),"",B4196-WEEKDAY(B4196,2)+1)</f>
        <v/>
      </c>
      <c r="J4196" s="5">
        <f>IF(I4196="","",I4196+6)</f>
        <v/>
      </c>
      <c r="K4196" s="6">
        <f>IF(OR(A4196="",B4196=""),"",DATE(YEAR(B4196),MONTH(B4196),1))</f>
        <v/>
      </c>
      <c r="L4196" s="7">
        <f>IF(COUNTA(A4196,B4196)=0,"",IF(OR(A4196="",B4196=""),"Preencher CPF e entrada",IF(COUNTIFS($A$12:$A$5011,A4196,$B$12:$B$5011,B4196)&gt;1,"CPF + dia duplicado",IF(OR(AND(E4196&lt;&gt;"",E4196&lt;B4196),AND(F4196&lt;&gt;"",F4196&lt;B4196)),"Evento anterior à entrada",IF(AND(F4196&lt;&gt;"",E4196=""),"Conversa sem agendamento",IF(OR(E4196&gt;TODAY(),F4196&gt;TODAY()),"Verificar evento futuro","OK"))))))</f>
        <v/>
      </c>
    </row>
    <row r="4197" spans="9:12">
      <c r="I4197" s="5">
        <f>IF(OR(A4197="",B4197=""),"",B4197-WEEKDAY(B4197,2)+1)</f>
        <v/>
      </c>
      <c r="J4197" s="5">
        <f>IF(I4197="","",I4197+6)</f>
        <v/>
      </c>
      <c r="K4197" s="6">
        <f>IF(OR(A4197="",B4197=""),"",DATE(YEAR(B4197),MONTH(B4197),1))</f>
        <v/>
      </c>
      <c r="L4197" s="7">
        <f>IF(COUNTA(A4197,B4197)=0,"",IF(OR(A4197="",B4197=""),"Preencher CPF e entrada",IF(COUNTIFS($A$12:$A$5011,A4197,$B$12:$B$5011,B4197)&gt;1,"CPF + dia duplicado",IF(OR(AND(E4197&lt;&gt;"",E4197&lt;B4197),AND(F4197&lt;&gt;"",F4197&lt;B4197)),"Evento anterior à entrada",IF(AND(F4197&lt;&gt;"",E4197=""),"Conversa sem agendamento",IF(OR(E4197&gt;TODAY(),F4197&gt;TODAY()),"Verificar evento futuro","OK"))))))</f>
        <v/>
      </c>
    </row>
    <row r="4198" spans="9:12">
      <c r="I4198" s="5">
        <f>IF(OR(A4198="",B4198=""),"",B4198-WEEKDAY(B4198,2)+1)</f>
        <v/>
      </c>
      <c r="J4198" s="5">
        <f>IF(I4198="","",I4198+6)</f>
        <v/>
      </c>
      <c r="K4198" s="6">
        <f>IF(OR(A4198="",B4198=""),"",DATE(YEAR(B4198),MONTH(B4198),1))</f>
        <v/>
      </c>
      <c r="L4198" s="7">
        <f>IF(COUNTA(A4198,B4198)=0,"",IF(OR(A4198="",B4198=""),"Preencher CPF e entrada",IF(COUNTIFS($A$12:$A$5011,A4198,$B$12:$B$5011,B4198)&gt;1,"CPF + dia duplicado",IF(OR(AND(E4198&lt;&gt;"",E4198&lt;B4198),AND(F4198&lt;&gt;"",F4198&lt;B4198)),"Evento anterior à entrada",IF(AND(F4198&lt;&gt;"",E4198=""),"Conversa sem agendamento",IF(OR(E4198&gt;TODAY(),F4198&gt;TODAY()),"Verificar evento futuro","OK"))))))</f>
        <v/>
      </c>
    </row>
    <row r="4199" spans="9:12">
      <c r="I4199" s="5">
        <f>IF(OR(A4199="",B4199=""),"",B4199-WEEKDAY(B4199,2)+1)</f>
        <v/>
      </c>
      <c r="J4199" s="5">
        <f>IF(I4199="","",I4199+6)</f>
        <v/>
      </c>
      <c r="K4199" s="6">
        <f>IF(OR(A4199="",B4199=""),"",DATE(YEAR(B4199),MONTH(B4199),1))</f>
        <v/>
      </c>
      <c r="L4199" s="7">
        <f>IF(COUNTA(A4199,B4199)=0,"",IF(OR(A4199="",B4199=""),"Preencher CPF e entrada",IF(COUNTIFS($A$12:$A$5011,A4199,$B$12:$B$5011,B4199)&gt;1,"CPF + dia duplicado",IF(OR(AND(E4199&lt;&gt;"",E4199&lt;B4199),AND(F4199&lt;&gt;"",F4199&lt;B4199)),"Evento anterior à entrada",IF(AND(F4199&lt;&gt;"",E4199=""),"Conversa sem agendamento",IF(OR(E4199&gt;TODAY(),F4199&gt;TODAY()),"Verificar evento futuro","OK"))))))</f>
        <v/>
      </c>
    </row>
    <row r="4200" spans="9:12">
      <c r="I4200" s="5">
        <f>IF(OR(A4200="",B4200=""),"",B4200-WEEKDAY(B4200,2)+1)</f>
        <v/>
      </c>
      <c r="J4200" s="5">
        <f>IF(I4200="","",I4200+6)</f>
        <v/>
      </c>
      <c r="K4200" s="6">
        <f>IF(OR(A4200="",B4200=""),"",DATE(YEAR(B4200),MONTH(B4200),1))</f>
        <v/>
      </c>
      <c r="L4200" s="7">
        <f>IF(COUNTA(A4200,B4200)=0,"",IF(OR(A4200="",B4200=""),"Preencher CPF e entrada",IF(COUNTIFS($A$12:$A$5011,A4200,$B$12:$B$5011,B4200)&gt;1,"CPF + dia duplicado",IF(OR(AND(E4200&lt;&gt;"",E4200&lt;B4200),AND(F4200&lt;&gt;"",F4200&lt;B4200)),"Evento anterior à entrada",IF(AND(F4200&lt;&gt;"",E4200=""),"Conversa sem agendamento",IF(OR(E4200&gt;TODAY(),F4200&gt;TODAY()),"Verificar evento futuro","OK"))))))</f>
        <v/>
      </c>
    </row>
    <row r="4201" spans="9:12">
      <c r="I4201" s="5">
        <f>IF(OR(A4201="",B4201=""),"",B4201-WEEKDAY(B4201,2)+1)</f>
        <v/>
      </c>
      <c r="J4201" s="5">
        <f>IF(I4201="","",I4201+6)</f>
        <v/>
      </c>
      <c r="K4201" s="6">
        <f>IF(OR(A4201="",B4201=""),"",DATE(YEAR(B4201),MONTH(B4201),1))</f>
        <v/>
      </c>
      <c r="L4201" s="7">
        <f>IF(COUNTA(A4201,B4201)=0,"",IF(OR(A4201="",B4201=""),"Preencher CPF e entrada",IF(COUNTIFS($A$12:$A$5011,A4201,$B$12:$B$5011,B4201)&gt;1,"CPF + dia duplicado",IF(OR(AND(E4201&lt;&gt;"",E4201&lt;B4201),AND(F4201&lt;&gt;"",F4201&lt;B4201)),"Evento anterior à entrada",IF(AND(F4201&lt;&gt;"",E4201=""),"Conversa sem agendamento",IF(OR(E4201&gt;TODAY(),F4201&gt;TODAY()),"Verificar evento futuro","OK"))))))</f>
        <v/>
      </c>
    </row>
    <row r="4202" spans="9:12">
      <c r="I4202" s="5">
        <f>IF(OR(A4202="",B4202=""),"",B4202-WEEKDAY(B4202,2)+1)</f>
        <v/>
      </c>
      <c r="J4202" s="5">
        <f>IF(I4202="","",I4202+6)</f>
        <v/>
      </c>
      <c r="K4202" s="6">
        <f>IF(OR(A4202="",B4202=""),"",DATE(YEAR(B4202),MONTH(B4202),1))</f>
        <v/>
      </c>
      <c r="L4202" s="7">
        <f>IF(COUNTA(A4202,B4202)=0,"",IF(OR(A4202="",B4202=""),"Preencher CPF e entrada",IF(COUNTIFS($A$12:$A$5011,A4202,$B$12:$B$5011,B4202)&gt;1,"CPF + dia duplicado",IF(OR(AND(E4202&lt;&gt;"",E4202&lt;B4202),AND(F4202&lt;&gt;"",F4202&lt;B4202)),"Evento anterior à entrada",IF(AND(F4202&lt;&gt;"",E4202=""),"Conversa sem agendamento",IF(OR(E4202&gt;TODAY(),F4202&gt;TODAY()),"Verificar evento futuro","OK"))))))</f>
        <v/>
      </c>
    </row>
    <row r="4203" spans="9:12">
      <c r="I4203" s="5">
        <f>IF(OR(A4203="",B4203=""),"",B4203-WEEKDAY(B4203,2)+1)</f>
        <v/>
      </c>
      <c r="J4203" s="5">
        <f>IF(I4203="","",I4203+6)</f>
        <v/>
      </c>
      <c r="K4203" s="6">
        <f>IF(OR(A4203="",B4203=""),"",DATE(YEAR(B4203),MONTH(B4203),1))</f>
        <v/>
      </c>
      <c r="L4203" s="7">
        <f>IF(COUNTA(A4203,B4203)=0,"",IF(OR(A4203="",B4203=""),"Preencher CPF e entrada",IF(COUNTIFS($A$12:$A$5011,A4203,$B$12:$B$5011,B4203)&gt;1,"CPF + dia duplicado",IF(OR(AND(E4203&lt;&gt;"",E4203&lt;B4203),AND(F4203&lt;&gt;"",F4203&lt;B4203)),"Evento anterior à entrada",IF(AND(F4203&lt;&gt;"",E4203=""),"Conversa sem agendamento",IF(OR(E4203&gt;TODAY(),F4203&gt;TODAY()),"Verificar evento futuro","OK"))))))</f>
        <v/>
      </c>
    </row>
    <row r="4204" spans="9:12">
      <c r="I4204" s="5">
        <f>IF(OR(A4204="",B4204=""),"",B4204-WEEKDAY(B4204,2)+1)</f>
        <v/>
      </c>
      <c r="J4204" s="5">
        <f>IF(I4204="","",I4204+6)</f>
        <v/>
      </c>
      <c r="K4204" s="6">
        <f>IF(OR(A4204="",B4204=""),"",DATE(YEAR(B4204),MONTH(B4204),1))</f>
        <v/>
      </c>
      <c r="L4204" s="7">
        <f>IF(COUNTA(A4204,B4204)=0,"",IF(OR(A4204="",B4204=""),"Preencher CPF e entrada",IF(COUNTIFS($A$12:$A$5011,A4204,$B$12:$B$5011,B4204)&gt;1,"CPF + dia duplicado",IF(OR(AND(E4204&lt;&gt;"",E4204&lt;B4204),AND(F4204&lt;&gt;"",F4204&lt;B4204)),"Evento anterior à entrada",IF(AND(F4204&lt;&gt;"",E4204=""),"Conversa sem agendamento",IF(OR(E4204&gt;TODAY(),F4204&gt;TODAY()),"Verificar evento futuro","OK"))))))</f>
        <v/>
      </c>
    </row>
    <row r="4205" spans="9:12">
      <c r="I4205" s="5">
        <f>IF(OR(A4205="",B4205=""),"",B4205-WEEKDAY(B4205,2)+1)</f>
        <v/>
      </c>
      <c r="J4205" s="5">
        <f>IF(I4205="","",I4205+6)</f>
        <v/>
      </c>
      <c r="K4205" s="6">
        <f>IF(OR(A4205="",B4205=""),"",DATE(YEAR(B4205),MONTH(B4205),1))</f>
        <v/>
      </c>
      <c r="L4205" s="7">
        <f>IF(COUNTA(A4205,B4205)=0,"",IF(OR(A4205="",B4205=""),"Preencher CPF e entrada",IF(COUNTIFS($A$12:$A$5011,A4205,$B$12:$B$5011,B4205)&gt;1,"CPF + dia duplicado",IF(OR(AND(E4205&lt;&gt;"",E4205&lt;B4205),AND(F4205&lt;&gt;"",F4205&lt;B4205)),"Evento anterior à entrada",IF(AND(F4205&lt;&gt;"",E4205=""),"Conversa sem agendamento",IF(OR(E4205&gt;TODAY(),F4205&gt;TODAY()),"Verificar evento futuro","OK"))))))</f>
        <v/>
      </c>
    </row>
    <row r="4206" spans="9:12">
      <c r="I4206" s="5">
        <f>IF(OR(A4206="",B4206=""),"",B4206-WEEKDAY(B4206,2)+1)</f>
        <v/>
      </c>
      <c r="J4206" s="5">
        <f>IF(I4206="","",I4206+6)</f>
        <v/>
      </c>
      <c r="K4206" s="6">
        <f>IF(OR(A4206="",B4206=""),"",DATE(YEAR(B4206),MONTH(B4206),1))</f>
        <v/>
      </c>
      <c r="L4206" s="7">
        <f>IF(COUNTA(A4206,B4206)=0,"",IF(OR(A4206="",B4206=""),"Preencher CPF e entrada",IF(COUNTIFS($A$12:$A$5011,A4206,$B$12:$B$5011,B4206)&gt;1,"CPF + dia duplicado",IF(OR(AND(E4206&lt;&gt;"",E4206&lt;B4206),AND(F4206&lt;&gt;"",F4206&lt;B4206)),"Evento anterior à entrada",IF(AND(F4206&lt;&gt;"",E4206=""),"Conversa sem agendamento",IF(OR(E4206&gt;TODAY(),F4206&gt;TODAY()),"Verificar evento futuro","OK"))))))</f>
        <v/>
      </c>
    </row>
    <row r="4207" spans="9:12">
      <c r="I4207" s="5">
        <f>IF(OR(A4207="",B4207=""),"",B4207-WEEKDAY(B4207,2)+1)</f>
        <v/>
      </c>
      <c r="J4207" s="5">
        <f>IF(I4207="","",I4207+6)</f>
        <v/>
      </c>
      <c r="K4207" s="6">
        <f>IF(OR(A4207="",B4207=""),"",DATE(YEAR(B4207),MONTH(B4207),1))</f>
        <v/>
      </c>
      <c r="L4207" s="7">
        <f>IF(COUNTA(A4207,B4207)=0,"",IF(OR(A4207="",B4207=""),"Preencher CPF e entrada",IF(COUNTIFS($A$12:$A$5011,A4207,$B$12:$B$5011,B4207)&gt;1,"CPF + dia duplicado",IF(OR(AND(E4207&lt;&gt;"",E4207&lt;B4207),AND(F4207&lt;&gt;"",F4207&lt;B4207)),"Evento anterior à entrada",IF(AND(F4207&lt;&gt;"",E4207=""),"Conversa sem agendamento",IF(OR(E4207&gt;TODAY(),F4207&gt;TODAY()),"Verificar evento futuro","OK"))))))</f>
        <v/>
      </c>
    </row>
    <row r="4208" spans="9:12">
      <c r="I4208" s="5">
        <f>IF(OR(A4208="",B4208=""),"",B4208-WEEKDAY(B4208,2)+1)</f>
        <v/>
      </c>
      <c r="J4208" s="5">
        <f>IF(I4208="","",I4208+6)</f>
        <v/>
      </c>
      <c r="K4208" s="6">
        <f>IF(OR(A4208="",B4208=""),"",DATE(YEAR(B4208),MONTH(B4208),1))</f>
        <v/>
      </c>
      <c r="L4208" s="7">
        <f>IF(COUNTA(A4208,B4208)=0,"",IF(OR(A4208="",B4208=""),"Preencher CPF e entrada",IF(COUNTIFS($A$12:$A$5011,A4208,$B$12:$B$5011,B4208)&gt;1,"CPF + dia duplicado",IF(OR(AND(E4208&lt;&gt;"",E4208&lt;B4208),AND(F4208&lt;&gt;"",F4208&lt;B4208)),"Evento anterior à entrada",IF(AND(F4208&lt;&gt;"",E4208=""),"Conversa sem agendamento",IF(OR(E4208&gt;TODAY(),F4208&gt;TODAY()),"Verificar evento futuro","OK"))))))</f>
        <v/>
      </c>
    </row>
    <row r="4209" spans="9:12">
      <c r="I4209" s="5">
        <f>IF(OR(A4209="",B4209=""),"",B4209-WEEKDAY(B4209,2)+1)</f>
        <v/>
      </c>
      <c r="J4209" s="5">
        <f>IF(I4209="","",I4209+6)</f>
        <v/>
      </c>
      <c r="K4209" s="6">
        <f>IF(OR(A4209="",B4209=""),"",DATE(YEAR(B4209),MONTH(B4209),1))</f>
        <v/>
      </c>
      <c r="L4209" s="7">
        <f>IF(COUNTA(A4209,B4209)=0,"",IF(OR(A4209="",B4209=""),"Preencher CPF e entrada",IF(COUNTIFS($A$12:$A$5011,A4209,$B$12:$B$5011,B4209)&gt;1,"CPF + dia duplicado",IF(OR(AND(E4209&lt;&gt;"",E4209&lt;B4209),AND(F4209&lt;&gt;"",F4209&lt;B4209)),"Evento anterior à entrada",IF(AND(F4209&lt;&gt;"",E4209=""),"Conversa sem agendamento",IF(OR(E4209&gt;TODAY(),F4209&gt;TODAY()),"Verificar evento futuro","OK"))))))</f>
        <v/>
      </c>
    </row>
    <row r="4210" spans="9:12">
      <c r="I4210" s="5">
        <f>IF(OR(A4210="",B4210=""),"",B4210-WEEKDAY(B4210,2)+1)</f>
        <v/>
      </c>
      <c r="J4210" s="5">
        <f>IF(I4210="","",I4210+6)</f>
        <v/>
      </c>
      <c r="K4210" s="6">
        <f>IF(OR(A4210="",B4210=""),"",DATE(YEAR(B4210),MONTH(B4210),1))</f>
        <v/>
      </c>
      <c r="L4210" s="7">
        <f>IF(COUNTA(A4210,B4210)=0,"",IF(OR(A4210="",B4210=""),"Preencher CPF e entrada",IF(COUNTIFS($A$12:$A$5011,A4210,$B$12:$B$5011,B4210)&gt;1,"CPF + dia duplicado",IF(OR(AND(E4210&lt;&gt;"",E4210&lt;B4210),AND(F4210&lt;&gt;"",F4210&lt;B4210)),"Evento anterior à entrada",IF(AND(F4210&lt;&gt;"",E4210=""),"Conversa sem agendamento",IF(OR(E4210&gt;TODAY(),F4210&gt;TODAY()),"Verificar evento futuro","OK"))))))</f>
        <v/>
      </c>
    </row>
    <row r="4211" spans="9:12">
      <c r="I4211" s="5">
        <f>IF(OR(A4211="",B4211=""),"",B4211-WEEKDAY(B4211,2)+1)</f>
        <v/>
      </c>
      <c r="J4211" s="5">
        <f>IF(I4211="","",I4211+6)</f>
        <v/>
      </c>
      <c r="K4211" s="6">
        <f>IF(OR(A4211="",B4211=""),"",DATE(YEAR(B4211),MONTH(B4211),1))</f>
        <v/>
      </c>
      <c r="L4211" s="7">
        <f>IF(COUNTA(A4211,B4211)=0,"",IF(OR(A4211="",B4211=""),"Preencher CPF e entrada",IF(COUNTIFS($A$12:$A$5011,A4211,$B$12:$B$5011,B4211)&gt;1,"CPF + dia duplicado",IF(OR(AND(E4211&lt;&gt;"",E4211&lt;B4211),AND(F4211&lt;&gt;"",F4211&lt;B4211)),"Evento anterior à entrada",IF(AND(F4211&lt;&gt;"",E4211=""),"Conversa sem agendamento",IF(OR(E4211&gt;TODAY(),F4211&gt;TODAY()),"Verificar evento futuro","OK"))))))</f>
        <v/>
      </c>
    </row>
    <row r="4212" spans="9:12">
      <c r="I4212" s="5">
        <f>IF(OR(A4212="",B4212=""),"",B4212-WEEKDAY(B4212,2)+1)</f>
        <v/>
      </c>
      <c r="J4212" s="5">
        <f>IF(I4212="","",I4212+6)</f>
        <v/>
      </c>
      <c r="K4212" s="6">
        <f>IF(OR(A4212="",B4212=""),"",DATE(YEAR(B4212),MONTH(B4212),1))</f>
        <v/>
      </c>
      <c r="L4212" s="7">
        <f>IF(COUNTA(A4212,B4212)=0,"",IF(OR(A4212="",B4212=""),"Preencher CPF e entrada",IF(COUNTIFS($A$12:$A$5011,A4212,$B$12:$B$5011,B4212)&gt;1,"CPF + dia duplicado",IF(OR(AND(E4212&lt;&gt;"",E4212&lt;B4212),AND(F4212&lt;&gt;"",F4212&lt;B4212)),"Evento anterior à entrada",IF(AND(F4212&lt;&gt;"",E4212=""),"Conversa sem agendamento",IF(OR(E4212&gt;TODAY(),F4212&gt;TODAY()),"Verificar evento futuro","OK"))))))</f>
        <v/>
      </c>
    </row>
    <row r="4213" spans="9:12">
      <c r="I4213" s="5">
        <f>IF(OR(A4213="",B4213=""),"",B4213-WEEKDAY(B4213,2)+1)</f>
        <v/>
      </c>
      <c r="J4213" s="5">
        <f>IF(I4213="","",I4213+6)</f>
        <v/>
      </c>
      <c r="K4213" s="6">
        <f>IF(OR(A4213="",B4213=""),"",DATE(YEAR(B4213),MONTH(B4213),1))</f>
        <v/>
      </c>
      <c r="L4213" s="7">
        <f>IF(COUNTA(A4213,B4213)=0,"",IF(OR(A4213="",B4213=""),"Preencher CPF e entrada",IF(COUNTIFS($A$12:$A$5011,A4213,$B$12:$B$5011,B4213)&gt;1,"CPF + dia duplicado",IF(OR(AND(E4213&lt;&gt;"",E4213&lt;B4213),AND(F4213&lt;&gt;"",F4213&lt;B4213)),"Evento anterior à entrada",IF(AND(F4213&lt;&gt;"",E4213=""),"Conversa sem agendamento",IF(OR(E4213&gt;TODAY(),F4213&gt;TODAY()),"Verificar evento futuro","OK"))))))</f>
        <v/>
      </c>
    </row>
    <row r="4214" spans="9:12">
      <c r="I4214" s="5">
        <f>IF(OR(A4214="",B4214=""),"",B4214-WEEKDAY(B4214,2)+1)</f>
        <v/>
      </c>
      <c r="J4214" s="5">
        <f>IF(I4214="","",I4214+6)</f>
        <v/>
      </c>
      <c r="K4214" s="6">
        <f>IF(OR(A4214="",B4214=""),"",DATE(YEAR(B4214),MONTH(B4214),1))</f>
        <v/>
      </c>
      <c r="L4214" s="7">
        <f>IF(COUNTA(A4214,B4214)=0,"",IF(OR(A4214="",B4214=""),"Preencher CPF e entrada",IF(COUNTIFS($A$12:$A$5011,A4214,$B$12:$B$5011,B4214)&gt;1,"CPF + dia duplicado",IF(OR(AND(E4214&lt;&gt;"",E4214&lt;B4214),AND(F4214&lt;&gt;"",F4214&lt;B4214)),"Evento anterior à entrada",IF(AND(F4214&lt;&gt;"",E4214=""),"Conversa sem agendamento",IF(OR(E4214&gt;TODAY(),F4214&gt;TODAY()),"Verificar evento futuro","OK"))))))</f>
        <v/>
      </c>
    </row>
    <row r="4215" spans="9:12">
      <c r="I4215" s="5">
        <f>IF(OR(A4215="",B4215=""),"",B4215-WEEKDAY(B4215,2)+1)</f>
        <v/>
      </c>
      <c r="J4215" s="5">
        <f>IF(I4215="","",I4215+6)</f>
        <v/>
      </c>
      <c r="K4215" s="6">
        <f>IF(OR(A4215="",B4215=""),"",DATE(YEAR(B4215),MONTH(B4215),1))</f>
        <v/>
      </c>
      <c r="L4215" s="7">
        <f>IF(COUNTA(A4215,B4215)=0,"",IF(OR(A4215="",B4215=""),"Preencher CPF e entrada",IF(COUNTIFS($A$12:$A$5011,A4215,$B$12:$B$5011,B4215)&gt;1,"CPF + dia duplicado",IF(OR(AND(E4215&lt;&gt;"",E4215&lt;B4215),AND(F4215&lt;&gt;"",F4215&lt;B4215)),"Evento anterior à entrada",IF(AND(F4215&lt;&gt;"",E4215=""),"Conversa sem agendamento",IF(OR(E4215&gt;TODAY(),F4215&gt;TODAY()),"Verificar evento futuro","OK"))))))</f>
        <v/>
      </c>
    </row>
    <row r="4216" spans="9:12">
      <c r="I4216" s="5">
        <f>IF(OR(A4216="",B4216=""),"",B4216-WEEKDAY(B4216,2)+1)</f>
        <v/>
      </c>
      <c r="J4216" s="5">
        <f>IF(I4216="","",I4216+6)</f>
        <v/>
      </c>
      <c r="K4216" s="6">
        <f>IF(OR(A4216="",B4216=""),"",DATE(YEAR(B4216),MONTH(B4216),1))</f>
        <v/>
      </c>
      <c r="L4216" s="7">
        <f>IF(COUNTA(A4216,B4216)=0,"",IF(OR(A4216="",B4216=""),"Preencher CPF e entrada",IF(COUNTIFS($A$12:$A$5011,A4216,$B$12:$B$5011,B4216)&gt;1,"CPF + dia duplicado",IF(OR(AND(E4216&lt;&gt;"",E4216&lt;B4216),AND(F4216&lt;&gt;"",F4216&lt;B4216)),"Evento anterior à entrada",IF(AND(F4216&lt;&gt;"",E4216=""),"Conversa sem agendamento",IF(OR(E4216&gt;TODAY(),F4216&gt;TODAY()),"Verificar evento futuro","OK"))))))</f>
        <v/>
      </c>
    </row>
    <row r="4217" spans="9:12">
      <c r="I4217" s="5">
        <f>IF(OR(A4217="",B4217=""),"",B4217-WEEKDAY(B4217,2)+1)</f>
        <v/>
      </c>
      <c r="J4217" s="5">
        <f>IF(I4217="","",I4217+6)</f>
        <v/>
      </c>
      <c r="K4217" s="6">
        <f>IF(OR(A4217="",B4217=""),"",DATE(YEAR(B4217),MONTH(B4217),1))</f>
        <v/>
      </c>
      <c r="L4217" s="7">
        <f>IF(COUNTA(A4217,B4217)=0,"",IF(OR(A4217="",B4217=""),"Preencher CPF e entrada",IF(COUNTIFS($A$12:$A$5011,A4217,$B$12:$B$5011,B4217)&gt;1,"CPF + dia duplicado",IF(OR(AND(E4217&lt;&gt;"",E4217&lt;B4217),AND(F4217&lt;&gt;"",F4217&lt;B4217)),"Evento anterior à entrada",IF(AND(F4217&lt;&gt;"",E4217=""),"Conversa sem agendamento",IF(OR(E4217&gt;TODAY(),F4217&gt;TODAY()),"Verificar evento futuro","OK"))))))</f>
        <v/>
      </c>
    </row>
    <row r="4218" spans="9:12">
      <c r="I4218" s="5">
        <f>IF(OR(A4218="",B4218=""),"",B4218-WEEKDAY(B4218,2)+1)</f>
        <v/>
      </c>
      <c r="J4218" s="5">
        <f>IF(I4218="","",I4218+6)</f>
        <v/>
      </c>
      <c r="K4218" s="6">
        <f>IF(OR(A4218="",B4218=""),"",DATE(YEAR(B4218),MONTH(B4218),1))</f>
        <v/>
      </c>
      <c r="L4218" s="7">
        <f>IF(COUNTA(A4218,B4218)=0,"",IF(OR(A4218="",B4218=""),"Preencher CPF e entrada",IF(COUNTIFS($A$12:$A$5011,A4218,$B$12:$B$5011,B4218)&gt;1,"CPF + dia duplicado",IF(OR(AND(E4218&lt;&gt;"",E4218&lt;B4218),AND(F4218&lt;&gt;"",F4218&lt;B4218)),"Evento anterior à entrada",IF(AND(F4218&lt;&gt;"",E4218=""),"Conversa sem agendamento",IF(OR(E4218&gt;TODAY(),F4218&gt;TODAY()),"Verificar evento futuro","OK"))))))</f>
        <v/>
      </c>
    </row>
    <row r="4219" spans="9:12">
      <c r="I4219" s="5">
        <f>IF(OR(A4219="",B4219=""),"",B4219-WEEKDAY(B4219,2)+1)</f>
        <v/>
      </c>
      <c r="J4219" s="5">
        <f>IF(I4219="","",I4219+6)</f>
        <v/>
      </c>
      <c r="K4219" s="6">
        <f>IF(OR(A4219="",B4219=""),"",DATE(YEAR(B4219),MONTH(B4219),1))</f>
        <v/>
      </c>
      <c r="L4219" s="7">
        <f>IF(COUNTA(A4219,B4219)=0,"",IF(OR(A4219="",B4219=""),"Preencher CPF e entrada",IF(COUNTIFS($A$12:$A$5011,A4219,$B$12:$B$5011,B4219)&gt;1,"CPF + dia duplicado",IF(OR(AND(E4219&lt;&gt;"",E4219&lt;B4219),AND(F4219&lt;&gt;"",F4219&lt;B4219)),"Evento anterior à entrada",IF(AND(F4219&lt;&gt;"",E4219=""),"Conversa sem agendamento",IF(OR(E4219&gt;TODAY(),F4219&gt;TODAY()),"Verificar evento futuro","OK"))))))</f>
        <v/>
      </c>
    </row>
    <row r="4220" spans="9:12">
      <c r="I4220" s="5">
        <f>IF(OR(A4220="",B4220=""),"",B4220-WEEKDAY(B4220,2)+1)</f>
        <v/>
      </c>
      <c r="J4220" s="5">
        <f>IF(I4220="","",I4220+6)</f>
        <v/>
      </c>
      <c r="K4220" s="6">
        <f>IF(OR(A4220="",B4220=""),"",DATE(YEAR(B4220),MONTH(B4220),1))</f>
        <v/>
      </c>
      <c r="L4220" s="7">
        <f>IF(COUNTA(A4220,B4220)=0,"",IF(OR(A4220="",B4220=""),"Preencher CPF e entrada",IF(COUNTIFS($A$12:$A$5011,A4220,$B$12:$B$5011,B4220)&gt;1,"CPF + dia duplicado",IF(OR(AND(E4220&lt;&gt;"",E4220&lt;B4220),AND(F4220&lt;&gt;"",F4220&lt;B4220)),"Evento anterior à entrada",IF(AND(F4220&lt;&gt;"",E4220=""),"Conversa sem agendamento",IF(OR(E4220&gt;TODAY(),F4220&gt;TODAY()),"Verificar evento futuro","OK"))))))</f>
        <v/>
      </c>
    </row>
    <row r="4221" spans="9:12">
      <c r="I4221" s="5">
        <f>IF(OR(A4221="",B4221=""),"",B4221-WEEKDAY(B4221,2)+1)</f>
        <v/>
      </c>
      <c r="J4221" s="5">
        <f>IF(I4221="","",I4221+6)</f>
        <v/>
      </c>
      <c r="K4221" s="6">
        <f>IF(OR(A4221="",B4221=""),"",DATE(YEAR(B4221),MONTH(B4221),1))</f>
        <v/>
      </c>
      <c r="L4221" s="7">
        <f>IF(COUNTA(A4221,B4221)=0,"",IF(OR(A4221="",B4221=""),"Preencher CPF e entrada",IF(COUNTIFS($A$12:$A$5011,A4221,$B$12:$B$5011,B4221)&gt;1,"CPF + dia duplicado",IF(OR(AND(E4221&lt;&gt;"",E4221&lt;B4221),AND(F4221&lt;&gt;"",F4221&lt;B4221)),"Evento anterior à entrada",IF(AND(F4221&lt;&gt;"",E4221=""),"Conversa sem agendamento",IF(OR(E4221&gt;TODAY(),F4221&gt;TODAY()),"Verificar evento futuro","OK"))))))</f>
        <v/>
      </c>
    </row>
    <row r="4222" spans="9:12">
      <c r="I4222" s="5">
        <f>IF(OR(A4222="",B4222=""),"",B4222-WEEKDAY(B4222,2)+1)</f>
        <v/>
      </c>
      <c r="J4222" s="5">
        <f>IF(I4222="","",I4222+6)</f>
        <v/>
      </c>
      <c r="K4222" s="6">
        <f>IF(OR(A4222="",B4222=""),"",DATE(YEAR(B4222),MONTH(B4222),1))</f>
        <v/>
      </c>
      <c r="L4222" s="7">
        <f>IF(COUNTA(A4222,B4222)=0,"",IF(OR(A4222="",B4222=""),"Preencher CPF e entrada",IF(COUNTIFS($A$12:$A$5011,A4222,$B$12:$B$5011,B4222)&gt;1,"CPF + dia duplicado",IF(OR(AND(E4222&lt;&gt;"",E4222&lt;B4222),AND(F4222&lt;&gt;"",F4222&lt;B4222)),"Evento anterior à entrada",IF(AND(F4222&lt;&gt;"",E4222=""),"Conversa sem agendamento",IF(OR(E4222&gt;TODAY(),F4222&gt;TODAY()),"Verificar evento futuro","OK"))))))</f>
        <v/>
      </c>
    </row>
    <row r="4223" spans="9:12">
      <c r="I4223" s="5">
        <f>IF(OR(A4223="",B4223=""),"",B4223-WEEKDAY(B4223,2)+1)</f>
        <v/>
      </c>
      <c r="J4223" s="5">
        <f>IF(I4223="","",I4223+6)</f>
        <v/>
      </c>
      <c r="K4223" s="6">
        <f>IF(OR(A4223="",B4223=""),"",DATE(YEAR(B4223),MONTH(B4223),1))</f>
        <v/>
      </c>
      <c r="L4223" s="7">
        <f>IF(COUNTA(A4223,B4223)=0,"",IF(OR(A4223="",B4223=""),"Preencher CPF e entrada",IF(COUNTIFS($A$12:$A$5011,A4223,$B$12:$B$5011,B4223)&gt;1,"CPF + dia duplicado",IF(OR(AND(E4223&lt;&gt;"",E4223&lt;B4223),AND(F4223&lt;&gt;"",F4223&lt;B4223)),"Evento anterior à entrada",IF(AND(F4223&lt;&gt;"",E4223=""),"Conversa sem agendamento",IF(OR(E4223&gt;TODAY(),F4223&gt;TODAY()),"Verificar evento futuro","OK"))))))</f>
        <v/>
      </c>
    </row>
    <row r="4224" spans="9:12">
      <c r="I4224" s="5">
        <f>IF(OR(A4224="",B4224=""),"",B4224-WEEKDAY(B4224,2)+1)</f>
        <v/>
      </c>
      <c r="J4224" s="5">
        <f>IF(I4224="","",I4224+6)</f>
        <v/>
      </c>
      <c r="K4224" s="6">
        <f>IF(OR(A4224="",B4224=""),"",DATE(YEAR(B4224),MONTH(B4224),1))</f>
        <v/>
      </c>
      <c r="L4224" s="7">
        <f>IF(COUNTA(A4224,B4224)=0,"",IF(OR(A4224="",B4224=""),"Preencher CPF e entrada",IF(COUNTIFS($A$12:$A$5011,A4224,$B$12:$B$5011,B4224)&gt;1,"CPF + dia duplicado",IF(OR(AND(E4224&lt;&gt;"",E4224&lt;B4224),AND(F4224&lt;&gt;"",F4224&lt;B4224)),"Evento anterior à entrada",IF(AND(F4224&lt;&gt;"",E4224=""),"Conversa sem agendamento",IF(OR(E4224&gt;TODAY(),F4224&gt;TODAY()),"Verificar evento futuro","OK"))))))</f>
        <v/>
      </c>
    </row>
    <row r="4225" spans="9:12">
      <c r="I4225" s="5">
        <f>IF(OR(A4225="",B4225=""),"",B4225-WEEKDAY(B4225,2)+1)</f>
        <v/>
      </c>
      <c r="J4225" s="5">
        <f>IF(I4225="","",I4225+6)</f>
        <v/>
      </c>
      <c r="K4225" s="6">
        <f>IF(OR(A4225="",B4225=""),"",DATE(YEAR(B4225),MONTH(B4225),1))</f>
        <v/>
      </c>
      <c r="L4225" s="7">
        <f>IF(COUNTA(A4225,B4225)=0,"",IF(OR(A4225="",B4225=""),"Preencher CPF e entrada",IF(COUNTIFS($A$12:$A$5011,A4225,$B$12:$B$5011,B4225)&gt;1,"CPF + dia duplicado",IF(OR(AND(E4225&lt;&gt;"",E4225&lt;B4225),AND(F4225&lt;&gt;"",F4225&lt;B4225)),"Evento anterior à entrada",IF(AND(F4225&lt;&gt;"",E4225=""),"Conversa sem agendamento",IF(OR(E4225&gt;TODAY(),F4225&gt;TODAY()),"Verificar evento futuro","OK"))))))</f>
        <v/>
      </c>
    </row>
    <row r="4226" spans="9:12">
      <c r="I4226" s="5">
        <f>IF(OR(A4226="",B4226=""),"",B4226-WEEKDAY(B4226,2)+1)</f>
        <v/>
      </c>
      <c r="J4226" s="5">
        <f>IF(I4226="","",I4226+6)</f>
        <v/>
      </c>
      <c r="K4226" s="6">
        <f>IF(OR(A4226="",B4226=""),"",DATE(YEAR(B4226),MONTH(B4226),1))</f>
        <v/>
      </c>
      <c r="L4226" s="7">
        <f>IF(COUNTA(A4226,B4226)=0,"",IF(OR(A4226="",B4226=""),"Preencher CPF e entrada",IF(COUNTIFS($A$12:$A$5011,A4226,$B$12:$B$5011,B4226)&gt;1,"CPF + dia duplicado",IF(OR(AND(E4226&lt;&gt;"",E4226&lt;B4226),AND(F4226&lt;&gt;"",F4226&lt;B4226)),"Evento anterior à entrada",IF(AND(F4226&lt;&gt;"",E4226=""),"Conversa sem agendamento",IF(OR(E4226&gt;TODAY(),F4226&gt;TODAY()),"Verificar evento futuro","OK"))))))</f>
        <v/>
      </c>
    </row>
    <row r="4227" spans="9:12">
      <c r="I4227" s="5">
        <f>IF(OR(A4227="",B4227=""),"",B4227-WEEKDAY(B4227,2)+1)</f>
        <v/>
      </c>
      <c r="J4227" s="5">
        <f>IF(I4227="","",I4227+6)</f>
        <v/>
      </c>
      <c r="K4227" s="6">
        <f>IF(OR(A4227="",B4227=""),"",DATE(YEAR(B4227),MONTH(B4227),1))</f>
        <v/>
      </c>
      <c r="L4227" s="7">
        <f>IF(COUNTA(A4227,B4227)=0,"",IF(OR(A4227="",B4227=""),"Preencher CPF e entrada",IF(COUNTIFS($A$12:$A$5011,A4227,$B$12:$B$5011,B4227)&gt;1,"CPF + dia duplicado",IF(OR(AND(E4227&lt;&gt;"",E4227&lt;B4227),AND(F4227&lt;&gt;"",F4227&lt;B4227)),"Evento anterior à entrada",IF(AND(F4227&lt;&gt;"",E4227=""),"Conversa sem agendamento",IF(OR(E4227&gt;TODAY(),F4227&gt;TODAY()),"Verificar evento futuro","OK"))))))</f>
        <v/>
      </c>
    </row>
    <row r="4228" spans="9:12">
      <c r="I4228" s="5">
        <f>IF(OR(A4228="",B4228=""),"",B4228-WEEKDAY(B4228,2)+1)</f>
        <v/>
      </c>
      <c r="J4228" s="5">
        <f>IF(I4228="","",I4228+6)</f>
        <v/>
      </c>
      <c r="K4228" s="6">
        <f>IF(OR(A4228="",B4228=""),"",DATE(YEAR(B4228),MONTH(B4228),1))</f>
        <v/>
      </c>
      <c r="L4228" s="7">
        <f>IF(COUNTA(A4228,B4228)=0,"",IF(OR(A4228="",B4228=""),"Preencher CPF e entrada",IF(COUNTIFS($A$12:$A$5011,A4228,$B$12:$B$5011,B4228)&gt;1,"CPF + dia duplicado",IF(OR(AND(E4228&lt;&gt;"",E4228&lt;B4228),AND(F4228&lt;&gt;"",F4228&lt;B4228)),"Evento anterior à entrada",IF(AND(F4228&lt;&gt;"",E4228=""),"Conversa sem agendamento",IF(OR(E4228&gt;TODAY(),F4228&gt;TODAY()),"Verificar evento futuro","OK"))))))</f>
        <v/>
      </c>
    </row>
    <row r="4229" spans="9:12">
      <c r="I4229" s="5">
        <f>IF(OR(A4229="",B4229=""),"",B4229-WEEKDAY(B4229,2)+1)</f>
        <v/>
      </c>
      <c r="J4229" s="5">
        <f>IF(I4229="","",I4229+6)</f>
        <v/>
      </c>
      <c r="K4229" s="6">
        <f>IF(OR(A4229="",B4229=""),"",DATE(YEAR(B4229),MONTH(B4229),1))</f>
        <v/>
      </c>
      <c r="L4229" s="7">
        <f>IF(COUNTA(A4229,B4229)=0,"",IF(OR(A4229="",B4229=""),"Preencher CPF e entrada",IF(COUNTIFS($A$12:$A$5011,A4229,$B$12:$B$5011,B4229)&gt;1,"CPF + dia duplicado",IF(OR(AND(E4229&lt;&gt;"",E4229&lt;B4229),AND(F4229&lt;&gt;"",F4229&lt;B4229)),"Evento anterior à entrada",IF(AND(F4229&lt;&gt;"",E4229=""),"Conversa sem agendamento",IF(OR(E4229&gt;TODAY(),F4229&gt;TODAY()),"Verificar evento futuro","OK"))))))</f>
        <v/>
      </c>
    </row>
    <row r="4230" spans="9:12">
      <c r="I4230" s="5">
        <f>IF(OR(A4230="",B4230=""),"",B4230-WEEKDAY(B4230,2)+1)</f>
        <v/>
      </c>
      <c r="J4230" s="5">
        <f>IF(I4230="","",I4230+6)</f>
        <v/>
      </c>
      <c r="K4230" s="6">
        <f>IF(OR(A4230="",B4230=""),"",DATE(YEAR(B4230),MONTH(B4230),1))</f>
        <v/>
      </c>
      <c r="L4230" s="7">
        <f>IF(COUNTA(A4230,B4230)=0,"",IF(OR(A4230="",B4230=""),"Preencher CPF e entrada",IF(COUNTIFS($A$12:$A$5011,A4230,$B$12:$B$5011,B4230)&gt;1,"CPF + dia duplicado",IF(OR(AND(E4230&lt;&gt;"",E4230&lt;B4230),AND(F4230&lt;&gt;"",F4230&lt;B4230)),"Evento anterior à entrada",IF(AND(F4230&lt;&gt;"",E4230=""),"Conversa sem agendamento",IF(OR(E4230&gt;TODAY(),F4230&gt;TODAY()),"Verificar evento futuro","OK"))))))</f>
        <v/>
      </c>
    </row>
    <row r="4231" spans="9:12">
      <c r="I4231" s="5">
        <f>IF(OR(A4231="",B4231=""),"",B4231-WEEKDAY(B4231,2)+1)</f>
        <v/>
      </c>
      <c r="J4231" s="5">
        <f>IF(I4231="","",I4231+6)</f>
        <v/>
      </c>
      <c r="K4231" s="6">
        <f>IF(OR(A4231="",B4231=""),"",DATE(YEAR(B4231),MONTH(B4231),1))</f>
        <v/>
      </c>
      <c r="L4231" s="7">
        <f>IF(COUNTA(A4231,B4231)=0,"",IF(OR(A4231="",B4231=""),"Preencher CPF e entrada",IF(COUNTIFS($A$12:$A$5011,A4231,$B$12:$B$5011,B4231)&gt;1,"CPF + dia duplicado",IF(OR(AND(E4231&lt;&gt;"",E4231&lt;B4231),AND(F4231&lt;&gt;"",F4231&lt;B4231)),"Evento anterior à entrada",IF(AND(F4231&lt;&gt;"",E4231=""),"Conversa sem agendamento",IF(OR(E4231&gt;TODAY(),F4231&gt;TODAY()),"Verificar evento futuro","OK"))))))</f>
        <v/>
      </c>
    </row>
    <row r="4232" spans="9:12">
      <c r="I4232" s="5">
        <f>IF(OR(A4232="",B4232=""),"",B4232-WEEKDAY(B4232,2)+1)</f>
        <v/>
      </c>
      <c r="J4232" s="5">
        <f>IF(I4232="","",I4232+6)</f>
        <v/>
      </c>
      <c r="K4232" s="6">
        <f>IF(OR(A4232="",B4232=""),"",DATE(YEAR(B4232),MONTH(B4232),1))</f>
        <v/>
      </c>
      <c r="L4232" s="7">
        <f>IF(COUNTA(A4232,B4232)=0,"",IF(OR(A4232="",B4232=""),"Preencher CPF e entrada",IF(COUNTIFS($A$12:$A$5011,A4232,$B$12:$B$5011,B4232)&gt;1,"CPF + dia duplicado",IF(OR(AND(E4232&lt;&gt;"",E4232&lt;B4232),AND(F4232&lt;&gt;"",F4232&lt;B4232)),"Evento anterior à entrada",IF(AND(F4232&lt;&gt;"",E4232=""),"Conversa sem agendamento",IF(OR(E4232&gt;TODAY(),F4232&gt;TODAY()),"Verificar evento futuro","OK"))))))</f>
        <v/>
      </c>
    </row>
    <row r="4233" spans="9:12">
      <c r="I4233" s="5">
        <f>IF(OR(A4233="",B4233=""),"",B4233-WEEKDAY(B4233,2)+1)</f>
        <v/>
      </c>
      <c r="J4233" s="5">
        <f>IF(I4233="","",I4233+6)</f>
        <v/>
      </c>
      <c r="K4233" s="6">
        <f>IF(OR(A4233="",B4233=""),"",DATE(YEAR(B4233),MONTH(B4233),1))</f>
        <v/>
      </c>
      <c r="L4233" s="7">
        <f>IF(COUNTA(A4233,B4233)=0,"",IF(OR(A4233="",B4233=""),"Preencher CPF e entrada",IF(COUNTIFS($A$12:$A$5011,A4233,$B$12:$B$5011,B4233)&gt;1,"CPF + dia duplicado",IF(OR(AND(E4233&lt;&gt;"",E4233&lt;B4233),AND(F4233&lt;&gt;"",F4233&lt;B4233)),"Evento anterior à entrada",IF(AND(F4233&lt;&gt;"",E4233=""),"Conversa sem agendamento",IF(OR(E4233&gt;TODAY(),F4233&gt;TODAY()),"Verificar evento futuro","OK"))))))</f>
        <v/>
      </c>
    </row>
    <row r="4234" spans="9:12">
      <c r="I4234" s="5">
        <f>IF(OR(A4234="",B4234=""),"",B4234-WEEKDAY(B4234,2)+1)</f>
        <v/>
      </c>
      <c r="J4234" s="5">
        <f>IF(I4234="","",I4234+6)</f>
        <v/>
      </c>
      <c r="K4234" s="6">
        <f>IF(OR(A4234="",B4234=""),"",DATE(YEAR(B4234),MONTH(B4234),1))</f>
        <v/>
      </c>
      <c r="L4234" s="7">
        <f>IF(COUNTA(A4234,B4234)=0,"",IF(OR(A4234="",B4234=""),"Preencher CPF e entrada",IF(COUNTIFS($A$12:$A$5011,A4234,$B$12:$B$5011,B4234)&gt;1,"CPF + dia duplicado",IF(OR(AND(E4234&lt;&gt;"",E4234&lt;B4234),AND(F4234&lt;&gt;"",F4234&lt;B4234)),"Evento anterior à entrada",IF(AND(F4234&lt;&gt;"",E4234=""),"Conversa sem agendamento",IF(OR(E4234&gt;TODAY(),F4234&gt;TODAY()),"Verificar evento futuro","OK"))))))</f>
        <v/>
      </c>
    </row>
    <row r="4235" spans="9:12">
      <c r="I4235" s="5">
        <f>IF(OR(A4235="",B4235=""),"",B4235-WEEKDAY(B4235,2)+1)</f>
        <v/>
      </c>
      <c r="J4235" s="5">
        <f>IF(I4235="","",I4235+6)</f>
        <v/>
      </c>
      <c r="K4235" s="6">
        <f>IF(OR(A4235="",B4235=""),"",DATE(YEAR(B4235),MONTH(B4235),1))</f>
        <v/>
      </c>
      <c r="L4235" s="7">
        <f>IF(COUNTA(A4235,B4235)=0,"",IF(OR(A4235="",B4235=""),"Preencher CPF e entrada",IF(COUNTIFS($A$12:$A$5011,A4235,$B$12:$B$5011,B4235)&gt;1,"CPF + dia duplicado",IF(OR(AND(E4235&lt;&gt;"",E4235&lt;B4235),AND(F4235&lt;&gt;"",F4235&lt;B4235)),"Evento anterior à entrada",IF(AND(F4235&lt;&gt;"",E4235=""),"Conversa sem agendamento",IF(OR(E4235&gt;TODAY(),F4235&gt;TODAY()),"Verificar evento futuro","OK"))))))</f>
        <v/>
      </c>
    </row>
    <row r="4236" spans="9:12">
      <c r="I4236" s="5">
        <f>IF(OR(A4236="",B4236=""),"",B4236-WEEKDAY(B4236,2)+1)</f>
        <v/>
      </c>
      <c r="J4236" s="5">
        <f>IF(I4236="","",I4236+6)</f>
        <v/>
      </c>
      <c r="K4236" s="6">
        <f>IF(OR(A4236="",B4236=""),"",DATE(YEAR(B4236),MONTH(B4236),1))</f>
        <v/>
      </c>
      <c r="L4236" s="7">
        <f>IF(COUNTA(A4236,B4236)=0,"",IF(OR(A4236="",B4236=""),"Preencher CPF e entrada",IF(COUNTIFS($A$12:$A$5011,A4236,$B$12:$B$5011,B4236)&gt;1,"CPF + dia duplicado",IF(OR(AND(E4236&lt;&gt;"",E4236&lt;B4236),AND(F4236&lt;&gt;"",F4236&lt;B4236)),"Evento anterior à entrada",IF(AND(F4236&lt;&gt;"",E4236=""),"Conversa sem agendamento",IF(OR(E4236&gt;TODAY(),F4236&gt;TODAY()),"Verificar evento futuro","OK"))))))</f>
        <v/>
      </c>
    </row>
    <row r="4237" spans="9:12">
      <c r="I4237" s="5">
        <f>IF(OR(A4237="",B4237=""),"",B4237-WEEKDAY(B4237,2)+1)</f>
        <v/>
      </c>
      <c r="J4237" s="5">
        <f>IF(I4237="","",I4237+6)</f>
        <v/>
      </c>
      <c r="K4237" s="6">
        <f>IF(OR(A4237="",B4237=""),"",DATE(YEAR(B4237),MONTH(B4237),1))</f>
        <v/>
      </c>
      <c r="L4237" s="7">
        <f>IF(COUNTA(A4237,B4237)=0,"",IF(OR(A4237="",B4237=""),"Preencher CPF e entrada",IF(COUNTIFS($A$12:$A$5011,A4237,$B$12:$B$5011,B4237)&gt;1,"CPF + dia duplicado",IF(OR(AND(E4237&lt;&gt;"",E4237&lt;B4237),AND(F4237&lt;&gt;"",F4237&lt;B4237)),"Evento anterior à entrada",IF(AND(F4237&lt;&gt;"",E4237=""),"Conversa sem agendamento",IF(OR(E4237&gt;TODAY(),F4237&gt;TODAY()),"Verificar evento futuro","OK"))))))</f>
        <v/>
      </c>
    </row>
    <row r="4238" spans="9:12">
      <c r="I4238" s="5">
        <f>IF(OR(A4238="",B4238=""),"",B4238-WEEKDAY(B4238,2)+1)</f>
        <v/>
      </c>
      <c r="J4238" s="5">
        <f>IF(I4238="","",I4238+6)</f>
        <v/>
      </c>
      <c r="K4238" s="6">
        <f>IF(OR(A4238="",B4238=""),"",DATE(YEAR(B4238),MONTH(B4238),1))</f>
        <v/>
      </c>
      <c r="L4238" s="7">
        <f>IF(COUNTA(A4238,B4238)=0,"",IF(OR(A4238="",B4238=""),"Preencher CPF e entrada",IF(COUNTIFS($A$12:$A$5011,A4238,$B$12:$B$5011,B4238)&gt;1,"CPF + dia duplicado",IF(OR(AND(E4238&lt;&gt;"",E4238&lt;B4238),AND(F4238&lt;&gt;"",F4238&lt;B4238)),"Evento anterior à entrada",IF(AND(F4238&lt;&gt;"",E4238=""),"Conversa sem agendamento",IF(OR(E4238&gt;TODAY(),F4238&gt;TODAY()),"Verificar evento futuro","OK"))))))</f>
        <v/>
      </c>
    </row>
    <row r="4239" spans="9:12">
      <c r="I4239" s="5">
        <f>IF(OR(A4239="",B4239=""),"",B4239-WEEKDAY(B4239,2)+1)</f>
        <v/>
      </c>
      <c r="J4239" s="5">
        <f>IF(I4239="","",I4239+6)</f>
        <v/>
      </c>
      <c r="K4239" s="6">
        <f>IF(OR(A4239="",B4239=""),"",DATE(YEAR(B4239),MONTH(B4239),1))</f>
        <v/>
      </c>
      <c r="L4239" s="7">
        <f>IF(COUNTA(A4239,B4239)=0,"",IF(OR(A4239="",B4239=""),"Preencher CPF e entrada",IF(COUNTIFS($A$12:$A$5011,A4239,$B$12:$B$5011,B4239)&gt;1,"CPF + dia duplicado",IF(OR(AND(E4239&lt;&gt;"",E4239&lt;B4239),AND(F4239&lt;&gt;"",F4239&lt;B4239)),"Evento anterior à entrada",IF(AND(F4239&lt;&gt;"",E4239=""),"Conversa sem agendamento",IF(OR(E4239&gt;TODAY(),F4239&gt;TODAY()),"Verificar evento futuro","OK"))))))</f>
        <v/>
      </c>
    </row>
    <row r="4240" spans="9:12">
      <c r="I4240" s="5">
        <f>IF(OR(A4240="",B4240=""),"",B4240-WEEKDAY(B4240,2)+1)</f>
        <v/>
      </c>
      <c r="J4240" s="5">
        <f>IF(I4240="","",I4240+6)</f>
        <v/>
      </c>
      <c r="K4240" s="6">
        <f>IF(OR(A4240="",B4240=""),"",DATE(YEAR(B4240),MONTH(B4240),1))</f>
        <v/>
      </c>
      <c r="L4240" s="7">
        <f>IF(COUNTA(A4240,B4240)=0,"",IF(OR(A4240="",B4240=""),"Preencher CPF e entrada",IF(COUNTIFS($A$12:$A$5011,A4240,$B$12:$B$5011,B4240)&gt;1,"CPF + dia duplicado",IF(OR(AND(E4240&lt;&gt;"",E4240&lt;B4240),AND(F4240&lt;&gt;"",F4240&lt;B4240)),"Evento anterior à entrada",IF(AND(F4240&lt;&gt;"",E4240=""),"Conversa sem agendamento",IF(OR(E4240&gt;TODAY(),F4240&gt;TODAY()),"Verificar evento futuro","OK"))))))</f>
        <v/>
      </c>
    </row>
    <row r="4241" spans="9:12">
      <c r="I4241" s="5">
        <f>IF(OR(A4241="",B4241=""),"",B4241-WEEKDAY(B4241,2)+1)</f>
        <v/>
      </c>
      <c r="J4241" s="5">
        <f>IF(I4241="","",I4241+6)</f>
        <v/>
      </c>
      <c r="K4241" s="6">
        <f>IF(OR(A4241="",B4241=""),"",DATE(YEAR(B4241),MONTH(B4241),1))</f>
        <v/>
      </c>
      <c r="L4241" s="7">
        <f>IF(COUNTA(A4241,B4241)=0,"",IF(OR(A4241="",B4241=""),"Preencher CPF e entrada",IF(COUNTIFS($A$12:$A$5011,A4241,$B$12:$B$5011,B4241)&gt;1,"CPF + dia duplicado",IF(OR(AND(E4241&lt;&gt;"",E4241&lt;B4241),AND(F4241&lt;&gt;"",F4241&lt;B4241)),"Evento anterior à entrada",IF(AND(F4241&lt;&gt;"",E4241=""),"Conversa sem agendamento",IF(OR(E4241&gt;TODAY(),F4241&gt;TODAY()),"Verificar evento futuro","OK"))))))</f>
        <v/>
      </c>
    </row>
    <row r="4242" spans="9:12">
      <c r="I4242" s="5">
        <f>IF(OR(A4242="",B4242=""),"",B4242-WEEKDAY(B4242,2)+1)</f>
        <v/>
      </c>
      <c r="J4242" s="5">
        <f>IF(I4242="","",I4242+6)</f>
        <v/>
      </c>
      <c r="K4242" s="6">
        <f>IF(OR(A4242="",B4242=""),"",DATE(YEAR(B4242),MONTH(B4242),1))</f>
        <v/>
      </c>
      <c r="L4242" s="7">
        <f>IF(COUNTA(A4242,B4242)=0,"",IF(OR(A4242="",B4242=""),"Preencher CPF e entrada",IF(COUNTIFS($A$12:$A$5011,A4242,$B$12:$B$5011,B4242)&gt;1,"CPF + dia duplicado",IF(OR(AND(E4242&lt;&gt;"",E4242&lt;B4242),AND(F4242&lt;&gt;"",F4242&lt;B4242)),"Evento anterior à entrada",IF(AND(F4242&lt;&gt;"",E4242=""),"Conversa sem agendamento",IF(OR(E4242&gt;TODAY(),F4242&gt;TODAY()),"Verificar evento futuro","OK"))))))</f>
        <v/>
      </c>
    </row>
    <row r="4243" spans="9:12">
      <c r="I4243" s="5">
        <f>IF(OR(A4243="",B4243=""),"",B4243-WEEKDAY(B4243,2)+1)</f>
        <v/>
      </c>
      <c r="J4243" s="5">
        <f>IF(I4243="","",I4243+6)</f>
        <v/>
      </c>
      <c r="K4243" s="6">
        <f>IF(OR(A4243="",B4243=""),"",DATE(YEAR(B4243),MONTH(B4243),1))</f>
        <v/>
      </c>
      <c r="L4243" s="7">
        <f>IF(COUNTA(A4243,B4243)=0,"",IF(OR(A4243="",B4243=""),"Preencher CPF e entrada",IF(COUNTIFS($A$12:$A$5011,A4243,$B$12:$B$5011,B4243)&gt;1,"CPF + dia duplicado",IF(OR(AND(E4243&lt;&gt;"",E4243&lt;B4243),AND(F4243&lt;&gt;"",F4243&lt;B4243)),"Evento anterior à entrada",IF(AND(F4243&lt;&gt;"",E4243=""),"Conversa sem agendamento",IF(OR(E4243&gt;TODAY(),F4243&gt;TODAY()),"Verificar evento futuro","OK"))))))</f>
        <v/>
      </c>
    </row>
    <row r="4244" spans="9:12">
      <c r="I4244" s="5">
        <f>IF(OR(A4244="",B4244=""),"",B4244-WEEKDAY(B4244,2)+1)</f>
        <v/>
      </c>
      <c r="J4244" s="5">
        <f>IF(I4244="","",I4244+6)</f>
        <v/>
      </c>
      <c r="K4244" s="6">
        <f>IF(OR(A4244="",B4244=""),"",DATE(YEAR(B4244),MONTH(B4244),1))</f>
        <v/>
      </c>
      <c r="L4244" s="7">
        <f>IF(COUNTA(A4244,B4244)=0,"",IF(OR(A4244="",B4244=""),"Preencher CPF e entrada",IF(COUNTIFS($A$12:$A$5011,A4244,$B$12:$B$5011,B4244)&gt;1,"CPF + dia duplicado",IF(OR(AND(E4244&lt;&gt;"",E4244&lt;B4244),AND(F4244&lt;&gt;"",F4244&lt;B4244)),"Evento anterior à entrada",IF(AND(F4244&lt;&gt;"",E4244=""),"Conversa sem agendamento",IF(OR(E4244&gt;TODAY(),F4244&gt;TODAY()),"Verificar evento futuro","OK"))))))</f>
        <v/>
      </c>
    </row>
    <row r="4245" spans="9:12">
      <c r="I4245" s="5">
        <f>IF(OR(A4245="",B4245=""),"",B4245-WEEKDAY(B4245,2)+1)</f>
        <v/>
      </c>
      <c r="J4245" s="5">
        <f>IF(I4245="","",I4245+6)</f>
        <v/>
      </c>
      <c r="K4245" s="6">
        <f>IF(OR(A4245="",B4245=""),"",DATE(YEAR(B4245),MONTH(B4245),1))</f>
        <v/>
      </c>
      <c r="L4245" s="7">
        <f>IF(COUNTA(A4245,B4245)=0,"",IF(OR(A4245="",B4245=""),"Preencher CPF e entrada",IF(COUNTIFS($A$12:$A$5011,A4245,$B$12:$B$5011,B4245)&gt;1,"CPF + dia duplicado",IF(OR(AND(E4245&lt;&gt;"",E4245&lt;B4245),AND(F4245&lt;&gt;"",F4245&lt;B4245)),"Evento anterior à entrada",IF(AND(F4245&lt;&gt;"",E4245=""),"Conversa sem agendamento",IF(OR(E4245&gt;TODAY(),F4245&gt;TODAY()),"Verificar evento futuro","OK"))))))</f>
        <v/>
      </c>
    </row>
    <row r="4246" spans="9:12">
      <c r="I4246" s="5">
        <f>IF(OR(A4246="",B4246=""),"",B4246-WEEKDAY(B4246,2)+1)</f>
        <v/>
      </c>
      <c r="J4246" s="5">
        <f>IF(I4246="","",I4246+6)</f>
        <v/>
      </c>
      <c r="K4246" s="6">
        <f>IF(OR(A4246="",B4246=""),"",DATE(YEAR(B4246),MONTH(B4246),1))</f>
        <v/>
      </c>
      <c r="L4246" s="7">
        <f>IF(COUNTA(A4246,B4246)=0,"",IF(OR(A4246="",B4246=""),"Preencher CPF e entrada",IF(COUNTIFS($A$12:$A$5011,A4246,$B$12:$B$5011,B4246)&gt;1,"CPF + dia duplicado",IF(OR(AND(E4246&lt;&gt;"",E4246&lt;B4246),AND(F4246&lt;&gt;"",F4246&lt;B4246)),"Evento anterior à entrada",IF(AND(F4246&lt;&gt;"",E4246=""),"Conversa sem agendamento",IF(OR(E4246&gt;TODAY(),F4246&gt;TODAY()),"Verificar evento futuro","OK"))))))</f>
        <v/>
      </c>
    </row>
    <row r="4247" spans="9:12">
      <c r="I4247" s="5">
        <f>IF(OR(A4247="",B4247=""),"",B4247-WEEKDAY(B4247,2)+1)</f>
        <v/>
      </c>
      <c r="J4247" s="5">
        <f>IF(I4247="","",I4247+6)</f>
        <v/>
      </c>
      <c r="K4247" s="6">
        <f>IF(OR(A4247="",B4247=""),"",DATE(YEAR(B4247),MONTH(B4247),1))</f>
        <v/>
      </c>
      <c r="L4247" s="7">
        <f>IF(COUNTA(A4247,B4247)=0,"",IF(OR(A4247="",B4247=""),"Preencher CPF e entrada",IF(COUNTIFS($A$12:$A$5011,A4247,$B$12:$B$5011,B4247)&gt;1,"CPF + dia duplicado",IF(OR(AND(E4247&lt;&gt;"",E4247&lt;B4247),AND(F4247&lt;&gt;"",F4247&lt;B4247)),"Evento anterior à entrada",IF(AND(F4247&lt;&gt;"",E4247=""),"Conversa sem agendamento",IF(OR(E4247&gt;TODAY(),F4247&gt;TODAY()),"Verificar evento futuro","OK"))))))</f>
        <v/>
      </c>
    </row>
    <row r="4248" spans="9:12">
      <c r="I4248" s="5">
        <f>IF(OR(A4248="",B4248=""),"",B4248-WEEKDAY(B4248,2)+1)</f>
        <v/>
      </c>
      <c r="J4248" s="5">
        <f>IF(I4248="","",I4248+6)</f>
        <v/>
      </c>
      <c r="K4248" s="6">
        <f>IF(OR(A4248="",B4248=""),"",DATE(YEAR(B4248),MONTH(B4248),1))</f>
        <v/>
      </c>
      <c r="L4248" s="7">
        <f>IF(COUNTA(A4248,B4248)=0,"",IF(OR(A4248="",B4248=""),"Preencher CPF e entrada",IF(COUNTIFS($A$12:$A$5011,A4248,$B$12:$B$5011,B4248)&gt;1,"CPF + dia duplicado",IF(OR(AND(E4248&lt;&gt;"",E4248&lt;B4248),AND(F4248&lt;&gt;"",F4248&lt;B4248)),"Evento anterior à entrada",IF(AND(F4248&lt;&gt;"",E4248=""),"Conversa sem agendamento",IF(OR(E4248&gt;TODAY(),F4248&gt;TODAY()),"Verificar evento futuro","OK"))))))</f>
        <v/>
      </c>
    </row>
    <row r="4249" spans="9:12">
      <c r="I4249" s="5">
        <f>IF(OR(A4249="",B4249=""),"",B4249-WEEKDAY(B4249,2)+1)</f>
        <v/>
      </c>
      <c r="J4249" s="5">
        <f>IF(I4249="","",I4249+6)</f>
        <v/>
      </c>
      <c r="K4249" s="6">
        <f>IF(OR(A4249="",B4249=""),"",DATE(YEAR(B4249),MONTH(B4249),1))</f>
        <v/>
      </c>
      <c r="L4249" s="7">
        <f>IF(COUNTA(A4249,B4249)=0,"",IF(OR(A4249="",B4249=""),"Preencher CPF e entrada",IF(COUNTIFS($A$12:$A$5011,A4249,$B$12:$B$5011,B4249)&gt;1,"CPF + dia duplicado",IF(OR(AND(E4249&lt;&gt;"",E4249&lt;B4249),AND(F4249&lt;&gt;"",F4249&lt;B4249)),"Evento anterior à entrada",IF(AND(F4249&lt;&gt;"",E4249=""),"Conversa sem agendamento",IF(OR(E4249&gt;TODAY(),F4249&gt;TODAY()),"Verificar evento futuro","OK"))))))</f>
        <v/>
      </c>
    </row>
    <row r="4250" spans="9:12">
      <c r="I4250" s="5">
        <f>IF(OR(A4250="",B4250=""),"",B4250-WEEKDAY(B4250,2)+1)</f>
        <v/>
      </c>
      <c r="J4250" s="5">
        <f>IF(I4250="","",I4250+6)</f>
        <v/>
      </c>
      <c r="K4250" s="6">
        <f>IF(OR(A4250="",B4250=""),"",DATE(YEAR(B4250),MONTH(B4250),1))</f>
        <v/>
      </c>
      <c r="L4250" s="7">
        <f>IF(COUNTA(A4250,B4250)=0,"",IF(OR(A4250="",B4250=""),"Preencher CPF e entrada",IF(COUNTIFS($A$12:$A$5011,A4250,$B$12:$B$5011,B4250)&gt;1,"CPF + dia duplicado",IF(OR(AND(E4250&lt;&gt;"",E4250&lt;B4250),AND(F4250&lt;&gt;"",F4250&lt;B4250)),"Evento anterior à entrada",IF(AND(F4250&lt;&gt;"",E4250=""),"Conversa sem agendamento",IF(OR(E4250&gt;TODAY(),F4250&gt;TODAY()),"Verificar evento futuro","OK"))))))</f>
        <v/>
      </c>
    </row>
    <row r="4251" spans="9:12">
      <c r="I4251" s="5">
        <f>IF(OR(A4251="",B4251=""),"",B4251-WEEKDAY(B4251,2)+1)</f>
        <v/>
      </c>
      <c r="J4251" s="5">
        <f>IF(I4251="","",I4251+6)</f>
        <v/>
      </c>
      <c r="K4251" s="6">
        <f>IF(OR(A4251="",B4251=""),"",DATE(YEAR(B4251),MONTH(B4251),1))</f>
        <v/>
      </c>
      <c r="L4251" s="7">
        <f>IF(COUNTA(A4251,B4251)=0,"",IF(OR(A4251="",B4251=""),"Preencher CPF e entrada",IF(COUNTIFS($A$12:$A$5011,A4251,$B$12:$B$5011,B4251)&gt;1,"CPF + dia duplicado",IF(OR(AND(E4251&lt;&gt;"",E4251&lt;B4251),AND(F4251&lt;&gt;"",F4251&lt;B4251)),"Evento anterior à entrada",IF(AND(F4251&lt;&gt;"",E4251=""),"Conversa sem agendamento",IF(OR(E4251&gt;TODAY(),F4251&gt;TODAY()),"Verificar evento futuro","OK"))))))</f>
        <v/>
      </c>
    </row>
    <row r="4252" spans="9:12">
      <c r="I4252" s="5">
        <f>IF(OR(A4252="",B4252=""),"",B4252-WEEKDAY(B4252,2)+1)</f>
        <v/>
      </c>
      <c r="J4252" s="5">
        <f>IF(I4252="","",I4252+6)</f>
        <v/>
      </c>
      <c r="K4252" s="6">
        <f>IF(OR(A4252="",B4252=""),"",DATE(YEAR(B4252),MONTH(B4252),1))</f>
        <v/>
      </c>
      <c r="L4252" s="7">
        <f>IF(COUNTA(A4252,B4252)=0,"",IF(OR(A4252="",B4252=""),"Preencher CPF e entrada",IF(COUNTIFS($A$12:$A$5011,A4252,$B$12:$B$5011,B4252)&gt;1,"CPF + dia duplicado",IF(OR(AND(E4252&lt;&gt;"",E4252&lt;B4252),AND(F4252&lt;&gt;"",F4252&lt;B4252)),"Evento anterior à entrada",IF(AND(F4252&lt;&gt;"",E4252=""),"Conversa sem agendamento",IF(OR(E4252&gt;TODAY(),F4252&gt;TODAY()),"Verificar evento futuro","OK"))))))</f>
        <v/>
      </c>
    </row>
    <row r="4253" spans="9:12">
      <c r="I4253" s="5">
        <f>IF(OR(A4253="",B4253=""),"",B4253-WEEKDAY(B4253,2)+1)</f>
        <v/>
      </c>
      <c r="J4253" s="5">
        <f>IF(I4253="","",I4253+6)</f>
        <v/>
      </c>
      <c r="K4253" s="6">
        <f>IF(OR(A4253="",B4253=""),"",DATE(YEAR(B4253),MONTH(B4253),1))</f>
        <v/>
      </c>
      <c r="L4253" s="7">
        <f>IF(COUNTA(A4253,B4253)=0,"",IF(OR(A4253="",B4253=""),"Preencher CPF e entrada",IF(COUNTIFS($A$12:$A$5011,A4253,$B$12:$B$5011,B4253)&gt;1,"CPF + dia duplicado",IF(OR(AND(E4253&lt;&gt;"",E4253&lt;B4253),AND(F4253&lt;&gt;"",F4253&lt;B4253)),"Evento anterior à entrada",IF(AND(F4253&lt;&gt;"",E4253=""),"Conversa sem agendamento",IF(OR(E4253&gt;TODAY(),F4253&gt;TODAY()),"Verificar evento futuro","OK"))))))</f>
        <v/>
      </c>
    </row>
    <row r="4254" spans="9:12">
      <c r="I4254" s="5">
        <f>IF(OR(A4254="",B4254=""),"",B4254-WEEKDAY(B4254,2)+1)</f>
        <v/>
      </c>
      <c r="J4254" s="5">
        <f>IF(I4254="","",I4254+6)</f>
        <v/>
      </c>
      <c r="K4254" s="6">
        <f>IF(OR(A4254="",B4254=""),"",DATE(YEAR(B4254),MONTH(B4254),1))</f>
        <v/>
      </c>
      <c r="L4254" s="7">
        <f>IF(COUNTA(A4254,B4254)=0,"",IF(OR(A4254="",B4254=""),"Preencher CPF e entrada",IF(COUNTIFS($A$12:$A$5011,A4254,$B$12:$B$5011,B4254)&gt;1,"CPF + dia duplicado",IF(OR(AND(E4254&lt;&gt;"",E4254&lt;B4254),AND(F4254&lt;&gt;"",F4254&lt;B4254)),"Evento anterior à entrada",IF(AND(F4254&lt;&gt;"",E4254=""),"Conversa sem agendamento",IF(OR(E4254&gt;TODAY(),F4254&gt;TODAY()),"Verificar evento futuro","OK"))))))</f>
        <v/>
      </c>
    </row>
    <row r="4255" spans="9:12">
      <c r="I4255" s="5">
        <f>IF(OR(A4255="",B4255=""),"",B4255-WEEKDAY(B4255,2)+1)</f>
        <v/>
      </c>
      <c r="J4255" s="5">
        <f>IF(I4255="","",I4255+6)</f>
        <v/>
      </c>
      <c r="K4255" s="6">
        <f>IF(OR(A4255="",B4255=""),"",DATE(YEAR(B4255),MONTH(B4255),1))</f>
        <v/>
      </c>
      <c r="L4255" s="7">
        <f>IF(COUNTA(A4255,B4255)=0,"",IF(OR(A4255="",B4255=""),"Preencher CPF e entrada",IF(COUNTIFS($A$12:$A$5011,A4255,$B$12:$B$5011,B4255)&gt;1,"CPF + dia duplicado",IF(OR(AND(E4255&lt;&gt;"",E4255&lt;B4255),AND(F4255&lt;&gt;"",F4255&lt;B4255)),"Evento anterior à entrada",IF(AND(F4255&lt;&gt;"",E4255=""),"Conversa sem agendamento",IF(OR(E4255&gt;TODAY(),F4255&gt;TODAY()),"Verificar evento futuro","OK"))))))</f>
        <v/>
      </c>
    </row>
    <row r="4256" spans="9:12">
      <c r="I4256" s="5">
        <f>IF(OR(A4256="",B4256=""),"",B4256-WEEKDAY(B4256,2)+1)</f>
        <v/>
      </c>
      <c r="J4256" s="5">
        <f>IF(I4256="","",I4256+6)</f>
        <v/>
      </c>
      <c r="K4256" s="6">
        <f>IF(OR(A4256="",B4256=""),"",DATE(YEAR(B4256),MONTH(B4256),1))</f>
        <v/>
      </c>
      <c r="L4256" s="7">
        <f>IF(COUNTA(A4256,B4256)=0,"",IF(OR(A4256="",B4256=""),"Preencher CPF e entrada",IF(COUNTIFS($A$12:$A$5011,A4256,$B$12:$B$5011,B4256)&gt;1,"CPF + dia duplicado",IF(OR(AND(E4256&lt;&gt;"",E4256&lt;B4256),AND(F4256&lt;&gt;"",F4256&lt;B4256)),"Evento anterior à entrada",IF(AND(F4256&lt;&gt;"",E4256=""),"Conversa sem agendamento",IF(OR(E4256&gt;TODAY(),F4256&gt;TODAY()),"Verificar evento futuro","OK"))))))</f>
        <v/>
      </c>
    </row>
    <row r="4257" spans="9:12">
      <c r="I4257" s="5">
        <f>IF(OR(A4257="",B4257=""),"",B4257-WEEKDAY(B4257,2)+1)</f>
        <v/>
      </c>
      <c r="J4257" s="5">
        <f>IF(I4257="","",I4257+6)</f>
        <v/>
      </c>
      <c r="K4257" s="6">
        <f>IF(OR(A4257="",B4257=""),"",DATE(YEAR(B4257),MONTH(B4257),1))</f>
        <v/>
      </c>
      <c r="L4257" s="7">
        <f>IF(COUNTA(A4257,B4257)=0,"",IF(OR(A4257="",B4257=""),"Preencher CPF e entrada",IF(COUNTIFS($A$12:$A$5011,A4257,$B$12:$B$5011,B4257)&gt;1,"CPF + dia duplicado",IF(OR(AND(E4257&lt;&gt;"",E4257&lt;B4257),AND(F4257&lt;&gt;"",F4257&lt;B4257)),"Evento anterior à entrada",IF(AND(F4257&lt;&gt;"",E4257=""),"Conversa sem agendamento",IF(OR(E4257&gt;TODAY(),F4257&gt;TODAY()),"Verificar evento futuro","OK"))))))</f>
        <v/>
      </c>
    </row>
    <row r="4258" spans="9:12">
      <c r="I4258" s="5">
        <f>IF(OR(A4258="",B4258=""),"",B4258-WEEKDAY(B4258,2)+1)</f>
        <v/>
      </c>
      <c r="J4258" s="5">
        <f>IF(I4258="","",I4258+6)</f>
        <v/>
      </c>
      <c r="K4258" s="6">
        <f>IF(OR(A4258="",B4258=""),"",DATE(YEAR(B4258),MONTH(B4258),1))</f>
        <v/>
      </c>
      <c r="L4258" s="7">
        <f>IF(COUNTA(A4258,B4258)=0,"",IF(OR(A4258="",B4258=""),"Preencher CPF e entrada",IF(COUNTIFS($A$12:$A$5011,A4258,$B$12:$B$5011,B4258)&gt;1,"CPF + dia duplicado",IF(OR(AND(E4258&lt;&gt;"",E4258&lt;B4258),AND(F4258&lt;&gt;"",F4258&lt;B4258)),"Evento anterior à entrada",IF(AND(F4258&lt;&gt;"",E4258=""),"Conversa sem agendamento",IF(OR(E4258&gt;TODAY(),F4258&gt;TODAY()),"Verificar evento futuro","OK"))))))</f>
        <v/>
      </c>
    </row>
    <row r="4259" spans="9:12">
      <c r="I4259" s="5">
        <f>IF(OR(A4259="",B4259=""),"",B4259-WEEKDAY(B4259,2)+1)</f>
        <v/>
      </c>
      <c r="J4259" s="5">
        <f>IF(I4259="","",I4259+6)</f>
        <v/>
      </c>
      <c r="K4259" s="6">
        <f>IF(OR(A4259="",B4259=""),"",DATE(YEAR(B4259),MONTH(B4259),1))</f>
        <v/>
      </c>
      <c r="L4259" s="7">
        <f>IF(COUNTA(A4259,B4259)=0,"",IF(OR(A4259="",B4259=""),"Preencher CPF e entrada",IF(COUNTIFS($A$12:$A$5011,A4259,$B$12:$B$5011,B4259)&gt;1,"CPF + dia duplicado",IF(OR(AND(E4259&lt;&gt;"",E4259&lt;B4259),AND(F4259&lt;&gt;"",F4259&lt;B4259)),"Evento anterior à entrada",IF(AND(F4259&lt;&gt;"",E4259=""),"Conversa sem agendamento",IF(OR(E4259&gt;TODAY(),F4259&gt;TODAY()),"Verificar evento futuro","OK"))))))</f>
        <v/>
      </c>
    </row>
    <row r="4260" spans="9:12">
      <c r="I4260" s="5">
        <f>IF(OR(A4260="",B4260=""),"",B4260-WEEKDAY(B4260,2)+1)</f>
        <v/>
      </c>
      <c r="J4260" s="5">
        <f>IF(I4260="","",I4260+6)</f>
        <v/>
      </c>
      <c r="K4260" s="6">
        <f>IF(OR(A4260="",B4260=""),"",DATE(YEAR(B4260),MONTH(B4260),1))</f>
        <v/>
      </c>
      <c r="L4260" s="7">
        <f>IF(COUNTA(A4260,B4260)=0,"",IF(OR(A4260="",B4260=""),"Preencher CPF e entrada",IF(COUNTIFS($A$12:$A$5011,A4260,$B$12:$B$5011,B4260)&gt;1,"CPF + dia duplicado",IF(OR(AND(E4260&lt;&gt;"",E4260&lt;B4260),AND(F4260&lt;&gt;"",F4260&lt;B4260)),"Evento anterior à entrada",IF(AND(F4260&lt;&gt;"",E4260=""),"Conversa sem agendamento",IF(OR(E4260&gt;TODAY(),F4260&gt;TODAY()),"Verificar evento futuro","OK"))))))</f>
        <v/>
      </c>
    </row>
    <row r="4261" spans="9:12">
      <c r="I4261" s="5">
        <f>IF(OR(A4261="",B4261=""),"",B4261-WEEKDAY(B4261,2)+1)</f>
        <v/>
      </c>
      <c r="J4261" s="5">
        <f>IF(I4261="","",I4261+6)</f>
        <v/>
      </c>
      <c r="K4261" s="6">
        <f>IF(OR(A4261="",B4261=""),"",DATE(YEAR(B4261),MONTH(B4261),1))</f>
        <v/>
      </c>
      <c r="L4261" s="7">
        <f>IF(COUNTA(A4261,B4261)=0,"",IF(OR(A4261="",B4261=""),"Preencher CPF e entrada",IF(COUNTIFS($A$12:$A$5011,A4261,$B$12:$B$5011,B4261)&gt;1,"CPF + dia duplicado",IF(OR(AND(E4261&lt;&gt;"",E4261&lt;B4261),AND(F4261&lt;&gt;"",F4261&lt;B4261)),"Evento anterior à entrada",IF(AND(F4261&lt;&gt;"",E4261=""),"Conversa sem agendamento",IF(OR(E4261&gt;TODAY(),F4261&gt;TODAY()),"Verificar evento futuro","OK"))))))</f>
        <v/>
      </c>
    </row>
    <row r="4262" spans="9:12">
      <c r="I4262" s="5">
        <f>IF(OR(A4262="",B4262=""),"",B4262-WEEKDAY(B4262,2)+1)</f>
        <v/>
      </c>
      <c r="J4262" s="5">
        <f>IF(I4262="","",I4262+6)</f>
        <v/>
      </c>
      <c r="K4262" s="6">
        <f>IF(OR(A4262="",B4262=""),"",DATE(YEAR(B4262),MONTH(B4262),1))</f>
        <v/>
      </c>
      <c r="L4262" s="7">
        <f>IF(COUNTA(A4262,B4262)=0,"",IF(OR(A4262="",B4262=""),"Preencher CPF e entrada",IF(COUNTIFS($A$12:$A$5011,A4262,$B$12:$B$5011,B4262)&gt;1,"CPF + dia duplicado",IF(OR(AND(E4262&lt;&gt;"",E4262&lt;B4262),AND(F4262&lt;&gt;"",F4262&lt;B4262)),"Evento anterior à entrada",IF(AND(F4262&lt;&gt;"",E4262=""),"Conversa sem agendamento",IF(OR(E4262&gt;TODAY(),F4262&gt;TODAY()),"Verificar evento futuro","OK"))))))</f>
        <v/>
      </c>
    </row>
    <row r="4263" spans="9:12">
      <c r="I4263" s="5">
        <f>IF(OR(A4263="",B4263=""),"",B4263-WEEKDAY(B4263,2)+1)</f>
        <v/>
      </c>
      <c r="J4263" s="5">
        <f>IF(I4263="","",I4263+6)</f>
        <v/>
      </c>
      <c r="K4263" s="6">
        <f>IF(OR(A4263="",B4263=""),"",DATE(YEAR(B4263),MONTH(B4263),1))</f>
        <v/>
      </c>
      <c r="L4263" s="7">
        <f>IF(COUNTA(A4263,B4263)=0,"",IF(OR(A4263="",B4263=""),"Preencher CPF e entrada",IF(COUNTIFS($A$12:$A$5011,A4263,$B$12:$B$5011,B4263)&gt;1,"CPF + dia duplicado",IF(OR(AND(E4263&lt;&gt;"",E4263&lt;B4263),AND(F4263&lt;&gt;"",F4263&lt;B4263)),"Evento anterior à entrada",IF(AND(F4263&lt;&gt;"",E4263=""),"Conversa sem agendamento",IF(OR(E4263&gt;TODAY(),F4263&gt;TODAY()),"Verificar evento futuro","OK"))))))</f>
        <v/>
      </c>
    </row>
    <row r="4264" spans="9:12">
      <c r="I4264" s="5">
        <f>IF(OR(A4264="",B4264=""),"",B4264-WEEKDAY(B4264,2)+1)</f>
        <v/>
      </c>
      <c r="J4264" s="5">
        <f>IF(I4264="","",I4264+6)</f>
        <v/>
      </c>
      <c r="K4264" s="6">
        <f>IF(OR(A4264="",B4264=""),"",DATE(YEAR(B4264),MONTH(B4264),1))</f>
        <v/>
      </c>
      <c r="L4264" s="7">
        <f>IF(COUNTA(A4264,B4264)=0,"",IF(OR(A4264="",B4264=""),"Preencher CPF e entrada",IF(COUNTIFS($A$12:$A$5011,A4264,$B$12:$B$5011,B4264)&gt;1,"CPF + dia duplicado",IF(OR(AND(E4264&lt;&gt;"",E4264&lt;B4264),AND(F4264&lt;&gt;"",F4264&lt;B4264)),"Evento anterior à entrada",IF(AND(F4264&lt;&gt;"",E4264=""),"Conversa sem agendamento",IF(OR(E4264&gt;TODAY(),F4264&gt;TODAY()),"Verificar evento futuro","OK"))))))</f>
        <v/>
      </c>
    </row>
    <row r="4265" spans="9:12">
      <c r="I4265" s="5">
        <f>IF(OR(A4265="",B4265=""),"",B4265-WEEKDAY(B4265,2)+1)</f>
        <v/>
      </c>
      <c r="J4265" s="5">
        <f>IF(I4265="","",I4265+6)</f>
        <v/>
      </c>
      <c r="K4265" s="6">
        <f>IF(OR(A4265="",B4265=""),"",DATE(YEAR(B4265),MONTH(B4265),1))</f>
        <v/>
      </c>
      <c r="L4265" s="7">
        <f>IF(COUNTA(A4265,B4265)=0,"",IF(OR(A4265="",B4265=""),"Preencher CPF e entrada",IF(COUNTIFS($A$12:$A$5011,A4265,$B$12:$B$5011,B4265)&gt;1,"CPF + dia duplicado",IF(OR(AND(E4265&lt;&gt;"",E4265&lt;B4265),AND(F4265&lt;&gt;"",F4265&lt;B4265)),"Evento anterior à entrada",IF(AND(F4265&lt;&gt;"",E4265=""),"Conversa sem agendamento",IF(OR(E4265&gt;TODAY(),F4265&gt;TODAY()),"Verificar evento futuro","OK"))))))</f>
        <v/>
      </c>
    </row>
    <row r="4266" spans="9:12">
      <c r="I4266" s="5">
        <f>IF(OR(A4266="",B4266=""),"",B4266-WEEKDAY(B4266,2)+1)</f>
        <v/>
      </c>
      <c r="J4266" s="5">
        <f>IF(I4266="","",I4266+6)</f>
        <v/>
      </c>
      <c r="K4266" s="6">
        <f>IF(OR(A4266="",B4266=""),"",DATE(YEAR(B4266),MONTH(B4266),1))</f>
        <v/>
      </c>
      <c r="L4266" s="7">
        <f>IF(COUNTA(A4266,B4266)=0,"",IF(OR(A4266="",B4266=""),"Preencher CPF e entrada",IF(COUNTIFS($A$12:$A$5011,A4266,$B$12:$B$5011,B4266)&gt;1,"CPF + dia duplicado",IF(OR(AND(E4266&lt;&gt;"",E4266&lt;B4266),AND(F4266&lt;&gt;"",F4266&lt;B4266)),"Evento anterior à entrada",IF(AND(F4266&lt;&gt;"",E4266=""),"Conversa sem agendamento",IF(OR(E4266&gt;TODAY(),F4266&gt;TODAY()),"Verificar evento futuro","OK"))))))</f>
        <v/>
      </c>
    </row>
    <row r="4267" spans="9:12">
      <c r="I4267" s="5">
        <f>IF(OR(A4267="",B4267=""),"",B4267-WEEKDAY(B4267,2)+1)</f>
        <v/>
      </c>
      <c r="J4267" s="5">
        <f>IF(I4267="","",I4267+6)</f>
        <v/>
      </c>
      <c r="K4267" s="6">
        <f>IF(OR(A4267="",B4267=""),"",DATE(YEAR(B4267),MONTH(B4267),1))</f>
        <v/>
      </c>
      <c r="L4267" s="7">
        <f>IF(COUNTA(A4267,B4267)=0,"",IF(OR(A4267="",B4267=""),"Preencher CPF e entrada",IF(COUNTIFS($A$12:$A$5011,A4267,$B$12:$B$5011,B4267)&gt;1,"CPF + dia duplicado",IF(OR(AND(E4267&lt;&gt;"",E4267&lt;B4267),AND(F4267&lt;&gt;"",F4267&lt;B4267)),"Evento anterior à entrada",IF(AND(F4267&lt;&gt;"",E4267=""),"Conversa sem agendamento",IF(OR(E4267&gt;TODAY(),F4267&gt;TODAY()),"Verificar evento futuro","OK"))))))</f>
        <v/>
      </c>
    </row>
    <row r="4268" spans="9:12">
      <c r="I4268" s="5">
        <f>IF(OR(A4268="",B4268=""),"",B4268-WEEKDAY(B4268,2)+1)</f>
        <v/>
      </c>
      <c r="J4268" s="5">
        <f>IF(I4268="","",I4268+6)</f>
        <v/>
      </c>
      <c r="K4268" s="6">
        <f>IF(OR(A4268="",B4268=""),"",DATE(YEAR(B4268),MONTH(B4268),1))</f>
        <v/>
      </c>
      <c r="L4268" s="7">
        <f>IF(COUNTA(A4268,B4268)=0,"",IF(OR(A4268="",B4268=""),"Preencher CPF e entrada",IF(COUNTIFS($A$12:$A$5011,A4268,$B$12:$B$5011,B4268)&gt;1,"CPF + dia duplicado",IF(OR(AND(E4268&lt;&gt;"",E4268&lt;B4268),AND(F4268&lt;&gt;"",F4268&lt;B4268)),"Evento anterior à entrada",IF(AND(F4268&lt;&gt;"",E4268=""),"Conversa sem agendamento",IF(OR(E4268&gt;TODAY(),F4268&gt;TODAY()),"Verificar evento futuro","OK"))))))</f>
        <v/>
      </c>
    </row>
    <row r="4269" spans="9:12">
      <c r="I4269" s="5">
        <f>IF(OR(A4269="",B4269=""),"",B4269-WEEKDAY(B4269,2)+1)</f>
        <v/>
      </c>
      <c r="J4269" s="5">
        <f>IF(I4269="","",I4269+6)</f>
        <v/>
      </c>
      <c r="K4269" s="6">
        <f>IF(OR(A4269="",B4269=""),"",DATE(YEAR(B4269),MONTH(B4269),1))</f>
        <v/>
      </c>
      <c r="L4269" s="7">
        <f>IF(COUNTA(A4269,B4269)=0,"",IF(OR(A4269="",B4269=""),"Preencher CPF e entrada",IF(COUNTIFS($A$12:$A$5011,A4269,$B$12:$B$5011,B4269)&gt;1,"CPF + dia duplicado",IF(OR(AND(E4269&lt;&gt;"",E4269&lt;B4269),AND(F4269&lt;&gt;"",F4269&lt;B4269)),"Evento anterior à entrada",IF(AND(F4269&lt;&gt;"",E4269=""),"Conversa sem agendamento",IF(OR(E4269&gt;TODAY(),F4269&gt;TODAY()),"Verificar evento futuro","OK"))))))</f>
        <v/>
      </c>
    </row>
    <row r="4270" spans="9:12">
      <c r="I4270" s="5">
        <f>IF(OR(A4270="",B4270=""),"",B4270-WEEKDAY(B4270,2)+1)</f>
        <v/>
      </c>
      <c r="J4270" s="5">
        <f>IF(I4270="","",I4270+6)</f>
        <v/>
      </c>
      <c r="K4270" s="6">
        <f>IF(OR(A4270="",B4270=""),"",DATE(YEAR(B4270),MONTH(B4270),1))</f>
        <v/>
      </c>
      <c r="L4270" s="7">
        <f>IF(COUNTA(A4270,B4270)=0,"",IF(OR(A4270="",B4270=""),"Preencher CPF e entrada",IF(COUNTIFS($A$12:$A$5011,A4270,$B$12:$B$5011,B4270)&gt;1,"CPF + dia duplicado",IF(OR(AND(E4270&lt;&gt;"",E4270&lt;B4270),AND(F4270&lt;&gt;"",F4270&lt;B4270)),"Evento anterior à entrada",IF(AND(F4270&lt;&gt;"",E4270=""),"Conversa sem agendamento",IF(OR(E4270&gt;TODAY(),F4270&gt;TODAY()),"Verificar evento futuro","OK"))))))</f>
        <v/>
      </c>
    </row>
    <row r="4271" spans="9:12">
      <c r="I4271" s="5">
        <f>IF(OR(A4271="",B4271=""),"",B4271-WEEKDAY(B4271,2)+1)</f>
        <v/>
      </c>
      <c r="J4271" s="5">
        <f>IF(I4271="","",I4271+6)</f>
        <v/>
      </c>
      <c r="K4271" s="6">
        <f>IF(OR(A4271="",B4271=""),"",DATE(YEAR(B4271),MONTH(B4271),1))</f>
        <v/>
      </c>
      <c r="L4271" s="7">
        <f>IF(COUNTA(A4271,B4271)=0,"",IF(OR(A4271="",B4271=""),"Preencher CPF e entrada",IF(COUNTIFS($A$12:$A$5011,A4271,$B$12:$B$5011,B4271)&gt;1,"CPF + dia duplicado",IF(OR(AND(E4271&lt;&gt;"",E4271&lt;B4271),AND(F4271&lt;&gt;"",F4271&lt;B4271)),"Evento anterior à entrada",IF(AND(F4271&lt;&gt;"",E4271=""),"Conversa sem agendamento",IF(OR(E4271&gt;TODAY(),F4271&gt;TODAY()),"Verificar evento futuro","OK"))))))</f>
        <v/>
      </c>
    </row>
    <row r="4272" spans="9:12">
      <c r="I4272" s="5">
        <f>IF(OR(A4272="",B4272=""),"",B4272-WEEKDAY(B4272,2)+1)</f>
        <v/>
      </c>
      <c r="J4272" s="5">
        <f>IF(I4272="","",I4272+6)</f>
        <v/>
      </c>
      <c r="K4272" s="6">
        <f>IF(OR(A4272="",B4272=""),"",DATE(YEAR(B4272),MONTH(B4272),1))</f>
        <v/>
      </c>
      <c r="L4272" s="7">
        <f>IF(COUNTA(A4272,B4272)=0,"",IF(OR(A4272="",B4272=""),"Preencher CPF e entrada",IF(COUNTIFS($A$12:$A$5011,A4272,$B$12:$B$5011,B4272)&gt;1,"CPF + dia duplicado",IF(OR(AND(E4272&lt;&gt;"",E4272&lt;B4272),AND(F4272&lt;&gt;"",F4272&lt;B4272)),"Evento anterior à entrada",IF(AND(F4272&lt;&gt;"",E4272=""),"Conversa sem agendamento",IF(OR(E4272&gt;TODAY(),F4272&gt;TODAY()),"Verificar evento futuro","OK"))))))</f>
        <v/>
      </c>
    </row>
    <row r="4273" spans="9:12">
      <c r="I4273" s="5">
        <f>IF(OR(A4273="",B4273=""),"",B4273-WEEKDAY(B4273,2)+1)</f>
        <v/>
      </c>
      <c r="J4273" s="5">
        <f>IF(I4273="","",I4273+6)</f>
        <v/>
      </c>
      <c r="K4273" s="6">
        <f>IF(OR(A4273="",B4273=""),"",DATE(YEAR(B4273),MONTH(B4273),1))</f>
        <v/>
      </c>
      <c r="L4273" s="7">
        <f>IF(COUNTA(A4273,B4273)=0,"",IF(OR(A4273="",B4273=""),"Preencher CPF e entrada",IF(COUNTIFS($A$12:$A$5011,A4273,$B$12:$B$5011,B4273)&gt;1,"CPF + dia duplicado",IF(OR(AND(E4273&lt;&gt;"",E4273&lt;B4273),AND(F4273&lt;&gt;"",F4273&lt;B4273)),"Evento anterior à entrada",IF(AND(F4273&lt;&gt;"",E4273=""),"Conversa sem agendamento",IF(OR(E4273&gt;TODAY(),F4273&gt;TODAY()),"Verificar evento futuro","OK"))))))</f>
        <v/>
      </c>
    </row>
    <row r="4274" spans="9:12">
      <c r="I4274" s="5">
        <f>IF(OR(A4274="",B4274=""),"",B4274-WEEKDAY(B4274,2)+1)</f>
        <v/>
      </c>
      <c r="J4274" s="5">
        <f>IF(I4274="","",I4274+6)</f>
        <v/>
      </c>
      <c r="K4274" s="6">
        <f>IF(OR(A4274="",B4274=""),"",DATE(YEAR(B4274),MONTH(B4274),1))</f>
        <v/>
      </c>
      <c r="L4274" s="7">
        <f>IF(COUNTA(A4274,B4274)=0,"",IF(OR(A4274="",B4274=""),"Preencher CPF e entrada",IF(COUNTIFS($A$12:$A$5011,A4274,$B$12:$B$5011,B4274)&gt;1,"CPF + dia duplicado",IF(OR(AND(E4274&lt;&gt;"",E4274&lt;B4274),AND(F4274&lt;&gt;"",F4274&lt;B4274)),"Evento anterior à entrada",IF(AND(F4274&lt;&gt;"",E4274=""),"Conversa sem agendamento",IF(OR(E4274&gt;TODAY(),F4274&gt;TODAY()),"Verificar evento futuro","OK"))))))</f>
        <v/>
      </c>
    </row>
    <row r="4275" spans="9:12">
      <c r="I4275" s="5">
        <f>IF(OR(A4275="",B4275=""),"",B4275-WEEKDAY(B4275,2)+1)</f>
        <v/>
      </c>
      <c r="J4275" s="5">
        <f>IF(I4275="","",I4275+6)</f>
        <v/>
      </c>
      <c r="K4275" s="6">
        <f>IF(OR(A4275="",B4275=""),"",DATE(YEAR(B4275),MONTH(B4275),1))</f>
        <v/>
      </c>
      <c r="L4275" s="7">
        <f>IF(COUNTA(A4275,B4275)=0,"",IF(OR(A4275="",B4275=""),"Preencher CPF e entrada",IF(COUNTIFS($A$12:$A$5011,A4275,$B$12:$B$5011,B4275)&gt;1,"CPF + dia duplicado",IF(OR(AND(E4275&lt;&gt;"",E4275&lt;B4275),AND(F4275&lt;&gt;"",F4275&lt;B4275)),"Evento anterior à entrada",IF(AND(F4275&lt;&gt;"",E4275=""),"Conversa sem agendamento",IF(OR(E4275&gt;TODAY(),F4275&gt;TODAY()),"Verificar evento futuro","OK"))))))</f>
        <v/>
      </c>
    </row>
    <row r="4276" spans="9:12">
      <c r="I4276" s="5">
        <f>IF(OR(A4276="",B4276=""),"",B4276-WEEKDAY(B4276,2)+1)</f>
        <v/>
      </c>
      <c r="J4276" s="5">
        <f>IF(I4276="","",I4276+6)</f>
        <v/>
      </c>
      <c r="K4276" s="6">
        <f>IF(OR(A4276="",B4276=""),"",DATE(YEAR(B4276),MONTH(B4276),1))</f>
        <v/>
      </c>
      <c r="L4276" s="7">
        <f>IF(COUNTA(A4276,B4276)=0,"",IF(OR(A4276="",B4276=""),"Preencher CPF e entrada",IF(COUNTIFS($A$12:$A$5011,A4276,$B$12:$B$5011,B4276)&gt;1,"CPF + dia duplicado",IF(OR(AND(E4276&lt;&gt;"",E4276&lt;B4276),AND(F4276&lt;&gt;"",F4276&lt;B4276)),"Evento anterior à entrada",IF(AND(F4276&lt;&gt;"",E4276=""),"Conversa sem agendamento",IF(OR(E4276&gt;TODAY(),F4276&gt;TODAY()),"Verificar evento futuro","OK"))))))</f>
        <v/>
      </c>
    </row>
    <row r="4277" spans="9:12">
      <c r="I4277" s="5">
        <f>IF(OR(A4277="",B4277=""),"",B4277-WEEKDAY(B4277,2)+1)</f>
        <v/>
      </c>
      <c r="J4277" s="5">
        <f>IF(I4277="","",I4277+6)</f>
        <v/>
      </c>
      <c r="K4277" s="6">
        <f>IF(OR(A4277="",B4277=""),"",DATE(YEAR(B4277),MONTH(B4277),1))</f>
        <v/>
      </c>
      <c r="L4277" s="7">
        <f>IF(COUNTA(A4277,B4277)=0,"",IF(OR(A4277="",B4277=""),"Preencher CPF e entrada",IF(COUNTIFS($A$12:$A$5011,A4277,$B$12:$B$5011,B4277)&gt;1,"CPF + dia duplicado",IF(OR(AND(E4277&lt;&gt;"",E4277&lt;B4277),AND(F4277&lt;&gt;"",F4277&lt;B4277)),"Evento anterior à entrada",IF(AND(F4277&lt;&gt;"",E4277=""),"Conversa sem agendamento",IF(OR(E4277&gt;TODAY(),F4277&gt;TODAY()),"Verificar evento futuro","OK"))))))</f>
        <v/>
      </c>
    </row>
    <row r="4278" spans="9:12">
      <c r="I4278" s="5">
        <f>IF(OR(A4278="",B4278=""),"",B4278-WEEKDAY(B4278,2)+1)</f>
        <v/>
      </c>
      <c r="J4278" s="5">
        <f>IF(I4278="","",I4278+6)</f>
        <v/>
      </c>
      <c r="K4278" s="6">
        <f>IF(OR(A4278="",B4278=""),"",DATE(YEAR(B4278),MONTH(B4278),1))</f>
        <v/>
      </c>
      <c r="L4278" s="7">
        <f>IF(COUNTA(A4278,B4278)=0,"",IF(OR(A4278="",B4278=""),"Preencher CPF e entrada",IF(COUNTIFS($A$12:$A$5011,A4278,$B$12:$B$5011,B4278)&gt;1,"CPF + dia duplicado",IF(OR(AND(E4278&lt;&gt;"",E4278&lt;B4278),AND(F4278&lt;&gt;"",F4278&lt;B4278)),"Evento anterior à entrada",IF(AND(F4278&lt;&gt;"",E4278=""),"Conversa sem agendamento",IF(OR(E4278&gt;TODAY(),F4278&gt;TODAY()),"Verificar evento futuro","OK"))))))</f>
        <v/>
      </c>
    </row>
    <row r="4279" spans="9:12">
      <c r="I4279" s="5">
        <f>IF(OR(A4279="",B4279=""),"",B4279-WEEKDAY(B4279,2)+1)</f>
        <v/>
      </c>
      <c r="J4279" s="5">
        <f>IF(I4279="","",I4279+6)</f>
        <v/>
      </c>
      <c r="K4279" s="6">
        <f>IF(OR(A4279="",B4279=""),"",DATE(YEAR(B4279),MONTH(B4279),1))</f>
        <v/>
      </c>
      <c r="L4279" s="7">
        <f>IF(COUNTA(A4279,B4279)=0,"",IF(OR(A4279="",B4279=""),"Preencher CPF e entrada",IF(COUNTIFS($A$12:$A$5011,A4279,$B$12:$B$5011,B4279)&gt;1,"CPF + dia duplicado",IF(OR(AND(E4279&lt;&gt;"",E4279&lt;B4279),AND(F4279&lt;&gt;"",F4279&lt;B4279)),"Evento anterior à entrada",IF(AND(F4279&lt;&gt;"",E4279=""),"Conversa sem agendamento",IF(OR(E4279&gt;TODAY(),F4279&gt;TODAY()),"Verificar evento futuro","OK"))))))</f>
        <v/>
      </c>
    </row>
    <row r="4280" spans="9:12">
      <c r="I4280" s="5">
        <f>IF(OR(A4280="",B4280=""),"",B4280-WEEKDAY(B4280,2)+1)</f>
        <v/>
      </c>
      <c r="J4280" s="5">
        <f>IF(I4280="","",I4280+6)</f>
        <v/>
      </c>
      <c r="K4280" s="6">
        <f>IF(OR(A4280="",B4280=""),"",DATE(YEAR(B4280),MONTH(B4280),1))</f>
        <v/>
      </c>
      <c r="L4280" s="7">
        <f>IF(COUNTA(A4280,B4280)=0,"",IF(OR(A4280="",B4280=""),"Preencher CPF e entrada",IF(COUNTIFS($A$12:$A$5011,A4280,$B$12:$B$5011,B4280)&gt;1,"CPF + dia duplicado",IF(OR(AND(E4280&lt;&gt;"",E4280&lt;B4280),AND(F4280&lt;&gt;"",F4280&lt;B4280)),"Evento anterior à entrada",IF(AND(F4280&lt;&gt;"",E4280=""),"Conversa sem agendamento",IF(OR(E4280&gt;TODAY(),F4280&gt;TODAY()),"Verificar evento futuro","OK"))))))</f>
        <v/>
      </c>
    </row>
    <row r="4281" spans="9:12">
      <c r="I4281" s="5">
        <f>IF(OR(A4281="",B4281=""),"",B4281-WEEKDAY(B4281,2)+1)</f>
        <v/>
      </c>
      <c r="J4281" s="5">
        <f>IF(I4281="","",I4281+6)</f>
        <v/>
      </c>
      <c r="K4281" s="6">
        <f>IF(OR(A4281="",B4281=""),"",DATE(YEAR(B4281),MONTH(B4281),1))</f>
        <v/>
      </c>
      <c r="L4281" s="7">
        <f>IF(COUNTA(A4281,B4281)=0,"",IF(OR(A4281="",B4281=""),"Preencher CPF e entrada",IF(COUNTIFS($A$12:$A$5011,A4281,$B$12:$B$5011,B4281)&gt;1,"CPF + dia duplicado",IF(OR(AND(E4281&lt;&gt;"",E4281&lt;B4281),AND(F4281&lt;&gt;"",F4281&lt;B4281)),"Evento anterior à entrada",IF(AND(F4281&lt;&gt;"",E4281=""),"Conversa sem agendamento",IF(OR(E4281&gt;TODAY(),F4281&gt;TODAY()),"Verificar evento futuro","OK"))))))</f>
        <v/>
      </c>
    </row>
    <row r="4282" spans="9:12">
      <c r="I4282" s="5">
        <f>IF(OR(A4282="",B4282=""),"",B4282-WEEKDAY(B4282,2)+1)</f>
        <v/>
      </c>
      <c r="J4282" s="5">
        <f>IF(I4282="","",I4282+6)</f>
        <v/>
      </c>
      <c r="K4282" s="6">
        <f>IF(OR(A4282="",B4282=""),"",DATE(YEAR(B4282),MONTH(B4282),1))</f>
        <v/>
      </c>
      <c r="L4282" s="7">
        <f>IF(COUNTA(A4282,B4282)=0,"",IF(OR(A4282="",B4282=""),"Preencher CPF e entrada",IF(COUNTIFS($A$12:$A$5011,A4282,$B$12:$B$5011,B4282)&gt;1,"CPF + dia duplicado",IF(OR(AND(E4282&lt;&gt;"",E4282&lt;B4282),AND(F4282&lt;&gt;"",F4282&lt;B4282)),"Evento anterior à entrada",IF(AND(F4282&lt;&gt;"",E4282=""),"Conversa sem agendamento",IF(OR(E4282&gt;TODAY(),F4282&gt;TODAY()),"Verificar evento futuro","OK"))))))</f>
        <v/>
      </c>
    </row>
    <row r="4283" spans="9:12">
      <c r="I4283" s="5">
        <f>IF(OR(A4283="",B4283=""),"",B4283-WEEKDAY(B4283,2)+1)</f>
        <v/>
      </c>
      <c r="J4283" s="5">
        <f>IF(I4283="","",I4283+6)</f>
        <v/>
      </c>
      <c r="K4283" s="6">
        <f>IF(OR(A4283="",B4283=""),"",DATE(YEAR(B4283),MONTH(B4283),1))</f>
        <v/>
      </c>
      <c r="L4283" s="7">
        <f>IF(COUNTA(A4283,B4283)=0,"",IF(OR(A4283="",B4283=""),"Preencher CPF e entrada",IF(COUNTIFS($A$12:$A$5011,A4283,$B$12:$B$5011,B4283)&gt;1,"CPF + dia duplicado",IF(OR(AND(E4283&lt;&gt;"",E4283&lt;B4283),AND(F4283&lt;&gt;"",F4283&lt;B4283)),"Evento anterior à entrada",IF(AND(F4283&lt;&gt;"",E4283=""),"Conversa sem agendamento",IF(OR(E4283&gt;TODAY(),F4283&gt;TODAY()),"Verificar evento futuro","OK"))))))</f>
        <v/>
      </c>
    </row>
    <row r="4284" spans="9:12">
      <c r="I4284" s="5">
        <f>IF(OR(A4284="",B4284=""),"",B4284-WEEKDAY(B4284,2)+1)</f>
        <v/>
      </c>
      <c r="J4284" s="5">
        <f>IF(I4284="","",I4284+6)</f>
        <v/>
      </c>
      <c r="K4284" s="6">
        <f>IF(OR(A4284="",B4284=""),"",DATE(YEAR(B4284),MONTH(B4284),1))</f>
        <v/>
      </c>
      <c r="L4284" s="7">
        <f>IF(COUNTA(A4284,B4284)=0,"",IF(OR(A4284="",B4284=""),"Preencher CPF e entrada",IF(COUNTIFS($A$12:$A$5011,A4284,$B$12:$B$5011,B4284)&gt;1,"CPF + dia duplicado",IF(OR(AND(E4284&lt;&gt;"",E4284&lt;B4284),AND(F4284&lt;&gt;"",F4284&lt;B4284)),"Evento anterior à entrada",IF(AND(F4284&lt;&gt;"",E4284=""),"Conversa sem agendamento",IF(OR(E4284&gt;TODAY(),F4284&gt;TODAY()),"Verificar evento futuro","OK"))))))</f>
        <v/>
      </c>
    </row>
    <row r="4285" spans="9:12">
      <c r="I4285" s="5">
        <f>IF(OR(A4285="",B4285=""),"",B4285-WEEKDAY(B4285,2)+1)</f>
        <v/>
      </c>
      <c r="J4285" s="5">
        <f>IF(I4285="","",I4285+6)</f>
        <v/>
      </c>
      <c r="K4285" s="6">
        <f>IF(OR(A4285="",B4285=""),"",DATE(YEAR(B4285),MONTH(B4285),1))</f>
        <v/>
      </c>
      <c r="L4285" s="7">
        <f>IF(COUNTA(A4285,B4285)=0,"",IF(OR(A4285="",B4285=""),"Preencher CPF e entrada",IF(COUNTIFS($A$12:$A$5011,A4285,$B$12:$B$5011,B4285)&gt;1,"CPF + dia duplicado",IF(OR(AND(E4285&lt;&gt;"",E4285&lt;B4285),AND(F4285&lt;&gt;"",F4285&lt;B4285)),"Evento anterior à entrada",IF(AND(F4285&lt;&gt;"",E4285=""),"Conversa sem agendamento",IF(OR(E4285&gt;TODAY(),F4285&gt;TODAY()),"Verificar evento futuro","OK"))))))</f>
        <v/>
      </c>
    </row>
    <row r="4286" spans="9:12">
      <c r="I4286" s="5">
        <f>IF(OR(A4286="",B4286=""),"",B4286-WEEKDAY(B4286,2)+1)</f>
        <v/>
      </c>
      <c r="J4286" s="5">
        <f>IF(I4286="","",I4286+6)</f>
        <v/>
      </c>
      <c r="K4286" s="6">
        <f>IF(OR(A4286="",B4286=""),"",DATE(YEAR(B4286),MONTH(B4286),1))</f>
        <v/>
      </c>
      <c r="L4286" s="7">
        <f>IF(COUNTA(A4286,B4286)=0,"",IF(OR(A4286="",B4286=""),"Preencher CPF e entrada",IF(COUNTIFS($A$12:$A$5011,A4286,$B$12:$B$5011,B4286)&gt;1,"CPF + dia duplicado",IF(OR(AND(E4286&lt;&gt;"",E4286&lt;B4286),AND(F4286&lt;&gt;"",F4286&lt;B4286)),"Evento anterior à entrada",IF(AND(F4286&lt;&gt;"",E4286=""),"Conversa sem agendamento",IF(OR(E4286&gt;TODAY(),F4286&gt;TODAY()),"Verificar evento futuro","OK"))))))</f>
        <v/>
      </c>
    </row>
    <row r="4287" spans="9:12">
      <c r="I4287" s="5">
        <f>IF(OR(A4287="",B4287=""),"",B4287-WEEKDAY(B4287,2)+1)</f>
        <v/>
      </c>
      <c r="J4287" s="5">
        <f>IF(I4287="","",I4287+6)</f>
        <v/>
      </c>
      <c r="K4287" s="6">
        <f>IF(OR(A4287="",B4287=""),"",DATE(YEAR(B4287),MONTH(B4287),1))</f>
        <v/>
      </c>
      <c r="L4287" s="7">
        <f>IF(COUNTA(A4287,B4287)=0,"",IF(OR(A4287="",B4287=""),"Preencher CPF e entrada",IF(COUNTIFS($A$12:$A$5011,A4287,$B$12:$B$5011,B4287)&gt;1,"CPF + dia duplicado",IF(OR(AND(E4287&lt;&gt;"",E4287&lt;B4287),AND(F4287&lt;&gt;"",F4287&lt;B4287)),"Evento anterior à entrada",IF(AND(F4287&lt;&gt;"",E4287=""),"Conversa sem agendamento",IF(OR(E4287&gt;TODAY(),F4287&gt;TODAY()),"Verificar evento futuro","OK"))))))</f>
        <v/>
      </c>
    </row>
    <row r="4288" spans="9:12">
      <c r="I4288" s="5">
        <f>IF(OR(A4288="",B4288=""),"",B4288-WEEKDAY(B4288,2)+1)</f>
        <v/>
      </c>
      <c r="J4288" s="5">
        <f>IF(I4288="","",I4288+6)</f>
        <v/>
      </c>
      <c r="K4288" s="6">
        <f>IF(OR(A4288="",B4288=""),"",DATE(YEAR(B4288),MONTH(B4288),1))</f>
        <v/>
      </c>
      <c r="L4288" s="7">
        <f>IF(COUNTA(A4288,B4288)=0,"",IF(OR(A4288="",B4288=""),"Preencher CPF e entrada",IF(COUNTIFS($A$12:$A$5011,A4288,$B$12:$B$5011,B4288)&gt;1,"CPF + dia duplicado",IF(OR(AND(E4288&lt;&gt;"",E4288&lt;B4288),AND(F4288&lt;&gt;"",F4288&lt;B4288)),"Evento anterior à entrada",IF(AND(F4288&lt;&gt;"",E4288=""),"Conversa sem agendamento",IF(OR(E4288&gt;TODAY(),F4288&gt;TODAY()),"Verificar evento futuro","OK"))))))</f>
        <v/>
      </c>
    </row>
    <row r="4289" spans="9:12">
      <c r="I4289" s="5">
        <f>IF(OR(A4289="",B4289=""),"",B4289-WEEKDAY(B4289,2)+1)</f>
        <v/>
      </c>
      <c r="J4289" s="5">
        <f>IF(I4289="","",I4289+6)</f>
        <v/>
      </c>
      <c r="K4289" s="6">
        <f>IF(OR(A4289="",B4289=""),"",DATE(YEAR(B4289),MONTH(B4289),1))</f>
        <v/>
      </c>
      <c r="L4289" s="7">
        <f>IF(COUNTA(A4289,B4289)=0,"",IF(OR(A4289="",B4289=""),"Preencher CPF e entrada",IF(COUNTIFS($A$12:$A$5011,A4289,$B$12:$B$5011,B4289)&gt;1,"CPF + dia duplicado",IF(OR(AND(E4289&lt;&gt;"",E4289&lt;B4289),AND(F4289&lt;&gt;"",F4289&lt;B4289)),"Evento anterior à entrada",IF(AND(F4289&lt;&gt;"",E4289=""),"Conversa sem agendamento",IF(OR(E4289&gt;TODAY(),F4289&gt;TODAY()),"Verificar evento futuro","OK"))))))</f>
        <v/>
      </c>
    </row>
    <row r="4290" spans="9:12">
      <c r="I4290" s="5">
        <f>IF(OR(A4290="",B4290=""),"",B4290-WEEKDAY(B4290,2)+1)</f>
        <v/>
      </c>
      <c r="J4290" s="5">
        <f>IF(I4290="","",I4290+6)</f>
        <v/>
      </c>
      <c r="K4290" s="6">
        <f>IF(OR(A4290="",B4290=""),"",DATE(YEAR(B4290),MONTH(B4290),1))</f>
        <v/>
      </c>
      <c r="L4290" s="7">
        <f>IF(COUNTA(A4290,B4290)=0,"",IF(OR(A4290="",B4290=""),"Preencher CPF e entrada",IF(COUNTIFS($A$12:$A$5011,A4290,$B$12:$B$5011,B4290)&gt;1,"CPF + dia duplicado",IF(OR(AND(E4290&lt;&gt;"",E4290&lt;B4290),AND(F4290&lt;&gt;"",F4290&lt;B4290)),"Evento anterior à entrada",IF(AND(F4290&lt;&gt;"",E4290=""),"Conversa sem agendamento",IF(OR(E4290&gt;TODAY(),F4290&gt;TODAY()),"Verificar evento futuro","OK"))))))</f>
        <v/>
      </c>
    </row>
    <row r="4291" spans="9:12">
      <c r="I4291" s="5">
        <f>IF(OR(A4291="",B4291=""),"",B4291-WEEKDAY(B4291,2)+1)</f>
        <v/>
      </c>
      <c r="J4291" s="5">
        <f>IF(I4291="","",I4291+6)</f>
        <v/>
      </c>
      <c r="K4291" s="6">
        <f>IF(OR(A4291="",B4291=""),"",DATE(YEAR(B4291),MONTH(B4291),1))</f>
        <v/>
      </c>
      <c r="L4291" s="7">
        <f>IF(COUNTA(A4291,B4291)=0,"",IF(OR(A4291="",B4291=""),"Preencher CPF e entrada",IF(COUNTIFS($A$12:$A$5011,A4291,$B$12:$B$5011,B4291)&gt;1,"CPF + dia duplicado",IF(OR(AND(E4291&lt;&gt;"",E4291&lt;B4291),AND(F4291&lt;&gt;"",F4291&lt;B4291)),"Evento anterior à entrada",IF(AND(F4291&lt;&gt;"",E4291=""),"Conversa sem agendamento",IF(OR(E4291&gt;TODAY(),F4291&gt;TODAY()),"Verificar evento futuro","OK"))))))</f>
        <v/>
      </c>
    </row>
    <row r="4292" spans="9:12">
      <c r="I4292" s="5">
        <f>IF(OR(A4292="",B4292=""),"",B4292-WEEKDAY(B4292,2)+1)</f>
        <v/>
      </c>
      <c r="J4292" s="5">
        <f>IF(I4292="","",I4292+6)</f>
        <v/>
      </c>
      <c r="K4292" s="6">
        <f>IF(OR(A4292="",B4292=""),"",DATE(YEAR(B4292),MONTH(B4292),1))</f>
        <v/>
      </c>
      <c r="L4292" s="7">
        <f>IF(COUNTA(A4292,B4292)=0,"",IF(OR(A4292="",B4292=""),"Preencher CPF e entrada",IF(COUNTIFS($A$12:$A$5011,A4292,$B$12:$B$5011,B4292)&gt;1,"CPF + dia duplicado",IF(OR(AND(E4292&lt;&gt;"",E4292&lt;B4292),AND(F4292&lt;&gt;"",F4292&lt;B4292)),"Evento anterior à entrada",IF(AND(F4292&lt;&gt;"",E4292=""),"Conversa sem agendamento",IF(OR(E4292&gt;TODAY(),F4292&gt;TODAY()),"Verificar evento futuro","OK"))))))</f>
        <v/>
      </c>
    </row>
    <row r="4293" spans="9:12">
      <c r="I4293" s="5">
        <f>IF(OR(A4293="",B4293=""),"",B4293-WEEKDAY(B4293,2)+1)</f>
        <v/>
      </c>
      <c r="J4293" s="5">
        <f>IF(I4293="","",I4293+6)</f>
        <v/>
      </c>
      <c r="K4293" s="6">
        <f>IF(OR(A4293="",B4293=""),"",DATE(YEAR(B4293),MONTH(B4293),1))</f>
        <v/>
      </c>
      <c r="L4293" s="7">
        <f>IF(COUNTA(A4293,B4293)=0,"",IF(OR(A4293="",B4293=""),"Preencher CPF e entrada",IF(COUNTIFS($A$12:$A$5011,A4293,$B$12:$B$5011,B4293)&gt;1,"CPF + dia duplicado",IF(OR(AND(E4293&lt;&gt;"",E4293&lt;B4293),AND(F4293&lt;&gt;"",F4293&lt;B4293)),"Evento anterior à entrada",IF(AND(F4293&lt;&gt;"",E4293=""),"Conversa sem agendamento",IF(OR(E4293&gt;TODAY(),F4293&gt;TODAY()),"Verificar evento futuro","OK"))))))</f>
        <v/>
      </c>
    </row>
    <row r="4294" spans="9:12">
      <c r="I4294" s="5">
        <f>IF(OR(A4294="",B4294=""),"",B4294-WEEKDAY(B4294,2)+1)</f>
        <v/>
      </c>
      <c r="J4294" s="5">
        <f>IF(I4294="","",I4294+6)</f>
        <v/>
      </c>
      <c r="K4294" s="6">
        <f>IF(OR(A4294="",B4294=""),"",DATE(YEAR(B4294),MONTH(B4294),1))</f>
        <v/>
      </c>
      <c r="L4294" s="7">
        <f>IF(COUNTA(A4294,B4294)=0,"",IF(OR(A4294="",B4294=""),"Preencher CPF e entrada",IF(COUNTIFS($A$12:$A$5011,A4294,$B$12:$B$5011,B4294)&gt;1,"CPF + dia duplicado",IF(OR(AND(E4294&lt;&gt;"",E4294&lt;B4294),AND(F4294&lt;&gt;"",F4294&lt;B4294)),"Evento anterior à entrada",IF(AND(F4294&lt;&gt;"",E4294=""),"Conversa sem agendamento",IF(OR(E4294&gt;TODAY(),F4294&gt;TODAY()),"Verificar evento futuro","OK"))))))</f>
        <v/>
      </c>
    </row>
    <row r="4295" spans="9:12">
      <c r="I4295" s="5">
        <f>IF(OR(A4295="",B4295=""),"",B4295-WEEKDAY(B4295,2)+1)</f>
        <v/>
      </c>
      <c r="J4295" s="5">
        <f>IF(I4295="","",I4295+6)</f>
        <v/>
      </c>
      <c r="K4295" s="6">
        <f>IF(OR(A4295="",B4295=""),"",DATE(YEAR(B4295),MONTH(B4295),1))</f>
        <v/>
      </c>
      <c r="L4295" s="7">
        <f>IF(COUNTA(A4295,B4295)=0,"",IF(OR(A4295="",B4295=""),"Preencher CPF e entrada",IF(COUNTIFS($A$12:$A$5011,A4295,$B$12:$B$5011,B4295)&gt;1,"CPF + dia duplicado",IF(OR(AND(E4295&lt;&gt;"",E4295&lt;B4295),AND(F4295&lt;&gt;"",F4295&lt;B4295)),"Evento anterior à entrada",IF(AND(F4295&lt;&gt;"",E4295=""),"Conversa sem agendamento",IF(OR(E4295&gt;TODAY(),F4295&gt;TODAY()),"Verificar evento futuro","OK"))))))</f>
        <v/>
      </c>
    </row>
    <row r="4296" spans="9:12">
      <c r="I4296" s="5">
        <f>IF(OR(A4296="",B4296=""),"",B4296-WEEKDAY(B4296,2)+1)</f>
        <v/>
      </c>
      <c r="J4296" s="5">
        <f>IF(I4296="","",I4296+6)</f>
        <v/>
      </c>
      <c r="K4296" s="6">
        <f>IF(OR(A4296="",B4296=""),"",DATE(YEAR(B4296),MONTH(B4296),1))</f>
        <v/>
      </c>
      <c r="L4296" s="7">
        <f>IF(COUNTA(A4296,B4296)=0,"",IF(OR(A4296="",B4296=""),"Preencher CPF e entrada",IF(COUNTIFS($A$12:$A$5011,A4296,$B$12:$B$5011,B4296)&gt;1,"CPF + dia duplicado",IF(OR(AND(E4296&lt;&gt;"",E4296&lt;B4296),AND(F4296&lt;&gt;"",F4296&lt;B4296)),"Evento anterior à entrada",IF(AND(F4296&lt;&gt;"",E4296=""),"Conversa sem agendamento",IF(OR(E4296&gt;TODAY(),F4296&gt;TODAY()),"Verificar evento futuro","OK"))))))</f>
        <v/>
      </c>
    </row>
    <row r="4297" spans="9:12">
      <c r="I4297" s="5">
        <f>IF(OR(A4297="",B4297=""),"",B4297-WEEKDAY(B4297,2)+1)</f>
        <v/>
      </c>
      <c r="J4297" s="5">
        <f>IF(I4297="","",I4297+6)</f>
        <v/>
      </c>
      <c r="K4297" s="6">
        <f>IF(OR(A4297="",B4297=""),"",DATE(YEAR(B4297),MONTH(B4297),1))</f>
        <v/>
      </c>
      <c r="L4297" s="7">
        <f>IF(COUNTA(A4297,B4297)=0,"",IF(OR(A4297="",B4297=""),"Preencher CPF e entrada",IF(COUNTIFS($A$12:$A$5011,A4297,$B$12:$B$5011,B4297)&gt;1,"CPF + dia duplicado",IF(OR(AND(E4297&lt;&gt;"",E4297&lt;B4297),AND(F4297&lt;&gt;"",F4297&lt;B4297)),"Evento anterior à entrada",IF(AND(F4297&lt;&gt;"",E4297=""),"Conversa sem agendamento",IF(OR(E4297&gt;TODAY(),F4297&gt;TODAY()),"Verificar evento futuro","OK"))))))</f>
        <v/>
      </c>
    </row>
    <row r="4298" spans="9:12">
      <c r="I4298" s="5">
        <f>IF(OR(A4298="",B4298=""),"",B4298-WEEKDAY(B4298,2)+1)</f>
        <v/>
      </c>
      <c r="J4298" s="5">
        <f>IF(I4298="","",I4298+6)</f>
        <v/>
      </c>
      <c r="K4298" s="6">
        <f>IF(OR(A4298="",B4298=""),"",DATE(YEAR(B4298),MONTH(B4298),1))</f>
        <v/>
      </c>
      <c r="L4298" s="7">
        <f>IF(COUNTA(A4298,B4298)=0,"",IF(OR(A4298="",B4298=""),"Preencher CPF e entrada",IF(COUNTIFS($A$12:$A$5011,A4298,$B$12:$B$5011,B4298)&gt;1,"CPF + dia duplicado",IF(OR(AND(E4298&lt;&gt;"",E4298&lt;B4298),AND(F4298&lt;&gt;"",F4298&lt;B4298)),"Evento anterior à entrada",IF(AND(F4298&lt;&gt;"",E4298=""),"Conversa sem agendamento",IF(OR(E4298&gt;TODAY(),F4298&gt;TODAY()),"Verificar evento futuro","OK"))))))</f>
        <v/>
      </c>
    </row>
    <row r="4299" spans="9:12">
      <c r="I4299" s="5">
        <f>IF(OR(A4299="",B4299=""),"",B4299-WEEKDAY(B4299,2)+1)</f>
        <v/>
      </c>
      <c r="J4299" s="5">
        <f>IF(I4299="","",I4299+6)</f>
        <v/>
      </c>
      <c r="K4299" s="6">
        <f>IF(OR(A4299="",B4299=""),"",DATE(YEAR(B4299),MONTH(B4299),1))</f>
        <v/>
      </c>
      <c r="L4299" s="7">
        <f>IF(COUNTA(A4299,B4299)=0,"",IF(OR(A4299="",B4299=""),"Preencher CPF e entrada",IF(COUNTIFS($A$12:$A$5011,A4299,$B$12:$B$5011,B4299)&gt;1,"CPF + dia duplicado",IF(OR(AND(E4299&lt;&gt;"",E4299&lt;B4299),AND(F4299&lt;&gt;"",F4299&lt;B4299)),"Evento anterior à entrada",IF(AND(F4299&lt;&gt;"",E4299=""),"Conversa sem agendamento",IF(OR(E4299&gt;TODAY(),F4299&gt;TODAY()),"Verificar evento futuro","OK"))))))</f>
        <v/>
      </c>
    </row>
    <row r="4300" spans="9:12">
      <c r="I4300" s="5">
        <f>IF(OR(A4300="",B4300=""),"",B4300-WEEKDAY(B4300,2)+1)</f>
        <v/>
      </c>
      <c r="J4300" s="5">
        <f>IF(I4300="","",I4300+6)</f>
        <v/>
      </c>
      <c r="K4300" s="6">
        <f>IF(OR(A4300="",B4300=""),"",DATE(YEAR(B4300),MONTH(B4300),1))</f>
        <v/>
      </c>
      <c r="L4300" s="7">
        <f>IF(COUNTA(A4300,B4300)=0,"",IF(OR(A4300="",B4300=""),"Preencher CPF e entrada",IF(COUNTIFS($A$12:$A$5011,A4300,$B$12:$B$5011,B4300)&gt;1,"CPF + dia duplicado",IF(OR(AND(E4300&lt;&gt;"",E4300&lt;B4300),AND(F4300&lt;&gt;"",F4300&lt;B4300)),"Evento anterior à entrada",IF(AND(F4300&lt;&gt;"",E4300=""),"Conversa sem agendamento",IF(OR(E4300&gt;TODAY(),F4300&gt;TODAY()),"Verificar evento futuro","OK"))))))</f>
        <v/>
      </c>
    </row>
    <row r="4301" spans="9:12">
      <c r="I4301" s="5">
        <f>IF(OR(A4301="",B4301=""),"",B4301-WEEKDAY(B4301,2)+1)</f>
        <v/>
      </c>
      <c r="J4301" s="5">
        <f>IF(I4301="","",I4301+6)</f>
        <v/>
      </c>
      <c r="K4301" s="6">
        <f>IF(OR(A4301="",B4301=""),"",DATE(YEAR(B4301),MONTH(B4301),1))</f>
        <v/>
      </c>
      <c r="L4301" s="7">
        <f>IF(COUNTA(A4301,B4301)=0,"",IF(OR(A4301="",B4301=""),"Preencher CPF e entrada",IF(COUNTIFS($A$12:$A$5011,A4301,$B$12:$B$5011,B4301)&gt;1,"CPF + dia duplicado",IF(OR(AND(E4301&lt;&gt;"",E4301&lt;B4301),AND(F4301&lt;&gt;"",F4301&lt;B4301)),"Evento anterior à entrada",IF(AND(F4301&lt;&gt;"",E4301=""),"Conversa sem agendamento",IF(OR(E4301&gt;TODAY(),F4301&gt;TODAY()),"Verificar evento futuro","OK"))))))</f>
        <v/>
      </c>
    </row>
    <row r="4302" spans="9:12">
      <c r="I4302" s="5">
        <f>IF(OR(A4302="",B4302=""),"",B4302-WEEKDAY(B4302,2)+1)</f>
        <v/>
      </c>
      <c r="J4302" s="5">
        <f>IF(I4302="","",I4302+6)</f>
        <v/>
      </c>
      <c r="K4302" s="6">
        <f>IF(OR(A4302="",B4302=""),"",DATE(YEAR(B4302),MONTH(B4302),1))</f>
        <v/>
      </c>
      <c r="L4302" s="7">
        <f>IF(COUNTA(A4302,B4302)=0,"",IF(OR(A4302="",B4302=""),"Preencher CPF e entrada",IF(COUNTIFS($A$12:$A$5011,A4302,$B$12:$B$5011,B4302)&gt;1,"CPF + dia duplicado",IF(OR(AND(E4302&lt;&gt;"",E4302&lt;B4302),AND(F4302&lt;&gt;"",F4302&lt;B4302)),"Evento anterior à entrada",IF(AND(F4302&lt;&gt;"",E4302=""),"Conversa sem agendamento",IF(OR(E4302&gt;TODAY(),F4302&gt;TODAY()),"Verificar evento futuro","OK"))))))</f>
        <v/>
      </c>
    </row>
    <row r="4303" spans="9:12">
      <c r="I4303" s="5">
        <f>IF(OR(A4303="",B4303=""),"",B4303-WEEKDAY(B4303,2)+1)</f>
        <v/>
      </c>
      <c r="J4303" s="5">
        <f>IF(I4303="","",I4303+6)</f>
        <v/>
      </c>
      <c r="K4303" s="6">
        <f>IF(OR(A4303="",B4303=""),"",DATE(YEAR(B4303),MONTH(B4303),1))</f>
        <v/>
      </c>
      <c r="L4303" s="7">
        <f>IF(COUNTA(A4303,B4303)=0,"",IF(OR(A4303="",B4303=""),"Preencher CPF e entrada",IF(COUNTIFS($A$12:$A$5011,A4303,$B$12:$B$5011,B4303)&gt;1,"CPF + dia duplicado",IF(OR(AND(E4303&lt;&gt;"",E4303&lt;B4303),AND(F4303&lt;&gt;"",F4303&lt;B4303)),"Evento anterior à entrada",IF(AND(F4303&lt;&gt;"",E4303=""),"Conversa sem agendamento",IF(OR(E4303&gt;TODAY(),F4303&gt;TODAY()),"Verificar evento futuro","OK"))))))</f>
        <v/>
      </c>
    </row>
    <row r="4304" spans="9:12">
      <c r="I4304" s="5">
        <f>IF(OR(A4304="",B4304=""),"",B4304-WEEKDAY(B4304,2)+1)</f>
        <v/>
      </c>
      <c r="J4304" s="5">
        <f>IF(I4304="","",I4304+6)</f>
        <v/>
      </c>
      <c r="K4304" s="6">
        <f>IF(OR(A4304="",B4304=""),"",DATE(YEAR(B4304),MONTH(B4304),1))</f>
        <v/>
      </c>
      <c r="L4304" s="7">
        <f>IF(COUNTA(A4304,B4304)=0,"",IF(OR(A4304="",B4304=""),"Preencher CPF e entrada",IF(COUNTIFS($A$12:$A$5011,A4304,$B$12:$B$5011,B4304)&gt;1,"CPF + dia duplicado",IF(OR(AND(E4304&lt;&gt;"",E4304&lt;B4304),AND(F4304&lt;&gt;"",F4304&lt;B4304)),"Evento anterior à entrada",IF(AND(F4304&lt;&gt;"",E4304=""),"Conversa sem agendamento",IF(OR(E4304&gt;TODAY(),F4304&gt;TODAY()),"Verificar evento futuro","OK"))))))</f>
        <v/>
      </c>
    </row>
    <row r="4305" spans="9:12">
      <c r="I4305" s="5">
        <f>IF(OR(A4305="",B4305=""),"",B4305-WEEKDAY(B4305,2)+1)</f>
        <v/>
      </c>
      <c r="J4305" s="5">
        <f>IF(I4305="","",I4305+6)</f>
        <v/>
      </c>
      <c r="K4305" s="6">
        <f>IF(OR(A4305="",B4305=""),"",DATE(YEAR(B4305),MONTH(B4305),1))</f>
        <v/>
      </c>
      <c r="L4305" s="7">
        <f>IF(COUNTA(A4305,B4305)=0,"",IF(OR(A4305="",B4305=""),"Preencher CPF e entrada",IF(COUNTIFS($A$12:$A$5011,A4305,$B$12:$B$5011,B4305)&gt;1,"CPF + dia duplicado",IF(OR(AND(E4305&lt;&gt;"",E4305&lt;B4305),AND(F4305&lt;&gt;"",F4305&lt;B4305)),"Evento anterior à entrada",IF(AND(F4305&lt;&gt;"",E4305=""),"Conversa sem agendamento",IF(OR(E4305&gt;TODAY(),F4305&gt;TODAY()),"Verificar evento futuro","OK"))))))</f>
        <v/>
      </c>
    </row>
    <row r="4306" spans="9:12">
      <c r="I4306" s="5">
        <f>IF(OR(A4306="",B4306=""),"",B4306-WEEKDAY(B4306,2)+1)</f>
        <v/>
      </c>
      <c r="J4306" s="5">
        <f>IF(I4306="","",I4306+6)</f>
        <v/>
      </c>
      <c r="K4306" s="6">
        <f>IF(OR(A4306="",B4306=""),"",DATE(YEAR(B4306),MONTH(B4306),1))</f>
        <v/>
      </c>
      <c r="L4306" s="7">
        <f>IF(COUNTA(A4306,B4306)=0,"",IF(OR(A4306="",B4306=""),"Preencher CPF e entrada",IF(COUNTIFS($A$12:$A$5011,A4306,$B$12:$B$5011,B4306)&gt;1,"CPF + dia duplicado",IF(OR(AND(E4306&lt;&gt;"",E4306&lt;B4306),AND(F4306&lt;&gt;"",F4306&lt;B4306)),"Evento anterior à entrada",IF(AND(F4306&lt;&gt;"",E4306=""),"Conversa sem agendamento",IF(OR(E4306&gt;TODAY(),F4306&gt;TODAY()),"Verificar evento futuro","OK"))))))</f>
        <v/>
      </c>
    </row>
    <row r="4307" spans="9:12">
      <c r="I4307" s="5">
        <f>IF(OR(A4307="",B4307=""),"",B4307-WEEKDAY(B4307,2)+1)</f>
        <v/>
      </c>
      <c r="J4307" s="5">
        <f>IF(I4307="","",I4307+6)</f>
        <v/>
      </c>
      <c r="K4307" s="6">
        <f>IF(OR(A4307="",B4307=""),"",DATE(YEAR(B4307),MONTH(B4307),1))</f>
        <v/>
      </c>
      <c r="L4307" s="7">
        <f>IF(COUNTA(A4307,B4307)=0,"",IF(OR(A4307="",B4307=""),"Preencher CPF e entrada",IF(COUNTIFS($A$12:$A$5011,A4307,$B$12:$B$5011,B4307)&gt;1,"CPF + dia duplicado",IF(OR(AND(E4307&lt;&gt;"",E4307&lt;B4307),AND(F4307&lt;&gt;"",F4307&lt;B4307)),"Evento anterior à entrada",IF(AND(F4307&lt;&gt;"",E4307=""),"Conversa sem agendamento",IF(OR(E4307&gt;TODAY(),F4307&gt;TODAY()),"Verificar evento futuro","OK"))))))</f>
        <v/>
      </c>
    </row>
    <row r="4308" spans="9:12">
      <c r="I4308" s="5">
        <f>IF(OR(A4308="",B4308=""),"",B4308-WEEKDAY(B4308,2)+1)</f>
        <v/>
      </c>
      <c r="J4308" s="5">
        <f>IF(I4308="","",I4308+6)</f>
        <v/>
      </c>
      <c r="K4308" s="6">
        <f>IF(OR(A4308="",B4308=""),"",DATE(YEAR(B4308),MONTH(B4308),1))</f>
        <v/>
      </c>
      <c r="L4308" s="7">
        <f>IF(COUNTA(A4308,B4308)=0,"",IF(OR(A4308="",B4308=""),"Preencher CPF e entrada",IF(COUNTIFS($A$12:$A$5011,A4308,$B$12:$B$5011,B4308)&gt;1,"CPF + dia duplicado",IF(OR(AND(E4308&lt;&gt;"",E4308&lt;B4308),AND(F4308&lt;&gt;"",F4308&lt;B4308)),"Evento anterior à entrada",IF(AND(F4308&lt;&gt;"",E4308=""),"Conversa sem agendamento",IF(OR(E4308&gt;TODAY(),F4308&gt;TODAY()),"Verificar evento futuro","OK"))))))</f>
        <v/>
      </c>
    </row>
    <row r="4309" spans="9:12">
      <c r="I4309" s="5">
        <f>IF(OR(A4309="",B4309=""),"",B4309-WEEKDAY(B4309,2)+1)</f>
        <v/>
      </c>
      <c r="J4309" s="5">
        <f>IF(I4309="","",I4309+6)</f>
        <v/>
      </c>
      <c r="K4309" s="6">
        <f>IF(OR(A4309="",B4309=""),"",DATE(YEAR(B4309),MONTH(B4309),1))</f>
        <v/>
      </c>
      <c r="L4309" s="7">
        <f>IF(COUNTA(A4309,B4309)=0,"",IF(OR(A4309="",B4309=""),"Preencher CPF e entrada",IF(COUNTIFS($A$12:$A$5011,A4309,$B$12:$B$5011,B4309)&gt;1,"CPF + dia duplicado",IF(OR(AND(E4309&lt;&gt;"",E4309&lt;B4309),AND(F4309&lt;&gt;"",F4309&lt;B4309)),"Evento anterior à entrada",IF(AND(F4309&lt;&gt;"",E4309=""),"Conversa sem agendamento",IF(OR(E4309&gt;TODAY(),F4309&gt;TODAY()),"Verificar evento futuro","OK"))))))</f>
        <v/>
      </c>
    </row>
    <row r="4310" spans="9:12">
      <c r="I4310" s="5">
        <f>IF(OR(A4310="",B4310=""),"",B4310-WEEKDAY(B4310,2)+1)</f>
        <v/>
      </c>
      <c r="J4310" s="5">
        <f>IF(I4310="","",I4310+6)</f>
        <v/>
      </c>
      <c r="K4310" s="6">
        <f>IF(OR(A4310="",B4310=""),"",DATE(YEAR(B4310),MONTH(B4310),1))</f>
        <v/>
      </c>
      <c r="L4310" s="7">
        <f>IF(COUNTA(A4310,B4310)=0,"",IF(OR(A4310="",B4310=""),"Preencher CPF e entrada",IF(COUNTIFS($A$12:$A$5011,A4310,$B$12:$B$5011,B4310)&gt;1,"CPF + dia duplicado",IF(OR(AND(E4310&lt;&gt;"",E4310&lt;B4310),AND(F4310&lt;&gt;"",F4310&lt;B4310)),"Evento anterior à entrada",IF(AND(F4310&lt;&gt;"",E4310=""),"Conversa sem agendamento",IF(OR(E4310&gt;TODAY(),F4310&gt;TODAY()),"Verificar evento futuro","OK"))))))</f>
        <v/>
      </c>
    </row>
    <row r="4311" spans="9:12">
      <c r="I4311" s="5">
        <f>IF(OR(A4311="",B4311=""),"",B4311-WEEKDAY(B4311,2)+1)</f>
        <v/>
      </c>
      <c r="J4311" s="5">
        <f>IF(I4311="","",I4311+6)</f>
        <v/>
      </c>
      <c r="K4311" s="6">
        <f>IF(OR(A4311="",B4311=""),"",DATE(YEAR(B4311),MONTH(B4311),1))</f>
        <v/>
      </c>
      <c r="L4311" s="7">
        <f>IF(COUNTA(A4311,B4311)=0,"",IF(OR(A4311="",B4311=""),"Preencher CPF e entrada",IF(COUNTIFS($A$12:$A$5011,A4311,$B$12:$B$5011,B4311)&gt;1,"CPF + dia duplicado",IF(OR(AND(E4311&lt;&gt;"",E4311&lt;B4311),AND(F4311&lt;&gt;"",F4311&lt;B4311)),"Evento anterior à entrada",IF(AND(F4311&lt;&gt;"",E4311=""),"Conversa sem agendamento",IF(OR(E4311&gt;TODAY(),F4311&gt;TODAY()),"Verificar evento futuro","OK"))))))</f>
        <v/>
      </c>
    </row>
    <row r="4312" spans="9:12">
      <c r="I4312" s="5">
        <f>IF(OR(A4312="",B4312=""),"",B4312-WEEKDAY(B4312,2)+1)</f>
        <v/>
      </c>
      <c r="J4312" s="5">
        <f>IF(I4312="","",I4312+6)</f>
        <v/>
      </c>
      <c r="K4312" s="6">
        <f>IF(OR(A4312="",B4312=""),"",DATE(YEAR(B4312),MONTH(B4312),1))</f>
        <v/>
      </c>
      <c r="L4312" s="7">
        <f>IF(COUNTA(A4312,B4312)=0,"",IF(OR(A4312="",B4312=""),"Preencher CPF e entrada",IF(COUNTIFS($A$12:$A$5011,A4312,$B$12:$B$5011,B4312)&gt;1,"CPF + dia duplicado",IF(OR(AND(E4312&lt;&gt;"",E4312&lt;B4312),AND(F4312&lt;&gt;"",F4312&lt;B4312)),"Evento anterior à entrada",IF(AND(F4312&lt;&gt;"",E4312=""),"Conversa sem agendamento",IF(OR(E4312&gt;TODAY(),F4312&gt;TODAY()),"Verificar evento futuro","OK"))))))</f>
        <v/>
      </c>
    </row>
    <row r="4313" spans="9:12">
      <c r="I4313" s="5">
        <f>IF(OR(A4313="",B4313=""),"",B4313-WEEKDAY(B4313,2)+1)</f>
        <v/>
      </c>
      <c r="J4313" s="5">
        <f>IF(I4313="","",I4313+6)</f>
        <v/>
      </c>
      <c r="K4313" s="6">
        <f>IF(OR(A4313="",B4313=""),"",DATE(YEAR(B4313),MONTH(B4313),1))</f>
        <v/>
      </c>
      <c r="L4313" s="7">
        <f>IF(COUNTA(A4313,B4313)=0,"",IF(OR(A4313="",B4313=""),"Preencher CPF e entrada",IF(COUNTIFS($A$12:$A$5011,A4313,$B$12:$B$5011,B4313)&gt;1,"CPF + dia duplicado",IF(OR(AND(E4313&lt;&gt;"",E4313&lt;B4313),AND(F4313&lt;&gt;"",F4313&lt;B4313)),"Evento anterior à entrada",IF(AND(F4313&lt;&gt;"",E4313=""),"Conversa sem agendamento",IF(OR(E4313&gt;TODAY(),F4313&gt;TODAY()),"Verificar evento futuro","OK"))))))</f>
        <v/>
      </c>
    </row>
    <row r="4314" spans="9:12">
      <c r="I4314" s="5">
        <f>IF(OR(A4314="",B4314=""),"",B4314-WEEKDAY(B4314,2)+1)</f>
        <v/>
      </c>
      <c r="J4314" s="5">
        <f>IF(I4314="","",I4314+6)</f>
        <v/>
      </c>
      <c r="K4314" s="6">
        <f>IF(OR(A4314="",B4314=""),"",DATE(YEAR(B4314),MONTH(B4314),1))</f>
        <v/>
      </c>
      <c r="L4314" s="7">
        <f>IF(COUNTA(A4314,B4314)=0,"",IF(OR(A4314="",B4314=""),"Preencher CPF e entrada",IF(COUNTIFS($A$12:$A$5011,A4314,$B$12:$B$5011,B4314)&gt;1,"CPF + dia duplicado",IF(OR(AND(E4314&lt;&gt;"",E4314&lt;B4314),AND(F4314&lt;&gt;"",F4314&lt;B4314)),"Evento anterior à entrada",IF(AND(F4314&lt;&gt;"",E4314=""),"Conversa sem agendamento",IF(OR(E4314&gt;TODAY(),F4314&gt;TODAY()),"Verificar evento futuro","OK"))))))</f>
        <v/>
      </c>
    </row>
    <row r="4315" spans="9:12">
      <c r="I4315" s="5">
        <f>IF(OR(A4315="",B4315=""),"",B4315-WEEKDAY(B4315,2)+1)</f>
        <v/>
      </c>
      <c r="J4315" s="5">
        <f>IF(I4315="","",I4315+6)</f>
        <v/>
      </c>
      <c r="K4315" s="6">
        <f>IF(OR(A4315="",B4315=""),"",DATE(YEAR(B4315),MONTH(B4315),1))</f>
        <v/>
      </c>
      <c r="L4315" s="7">
        <f>IF(COUNTA(A4315,B4315)=0,"",IF(OR(A4315="",B4315=""),"Preencher CPF e entrada",IF(COUNTIFS($A$12:$A$5011,A4315,$B$12:$B$5011,B4315)&gt;1,"CPF + dia duplicado",IF(OR(AND(E4315&lt;&gt;"",E4315&lt;B4315),AND(F4315&lt;&gt;"",F4315&lt;B4315)),"Evento anterior à entrada",IF(AND(F4315&lt;&gt;"",E4315=""),"Conversa sem agendamento",IF(OR(E4315&gt;TODAY(),F4315&gt;TODAY()),"Verificar evento futuro","OK"))))))</f>
        <v/>
      </c>
    </row>
    <row r="4316" spans="9:12">
      <c r="I4316" s="5">
        <f>IF(OR(A4316="",B4316=""),"",B4316-WEEKDAY(B4316,2)+1)</f>
        <v/>
      </c>
      <c r="J4316" s="5">
        <f>IF(I4316="","",I4316+6)</f>
        <v/>
      </c>
      <c r="K4316" s="6">
        <f>IF(OR(A4316="",B4316=""),"",DATE(YEAR(B4316),MONTH(B4316),1))</f>
        <v/>
      </c>
      <c r="L4316" s="7">
        <f>IF(COUNTA(A4316,B4316)=0,"",IF(OR(A4316="",B4316=""),"Preencher CPF e entrada",IF(COUNTIFS($A$12:$A$5011,A4316,$B$12:$B$5011,B4316)&gt;1,"CPF + dia duplicado",IF(OR(AND(E4316&lt;&gt;"",E4316&lt;B4316),AND(F4316&lt;&gt;"",F4316&lt;B4316)),"Evento anterior à entrada",IF(AND(F4316&lt;&gt;"",E4316=""),"Conversa sem agendamento",IF(OR(E4316&gt;TODAY(),F4316&gt;TODAY()),"Verificar evento futuro","OK"))))))</f>
        <v/>
      </c>
    </row>
    <row r="4317" spans="9:12">
      <c r="I4317" s="5">
        <f>IF(OR(A4317="",B4317=""),"",B4317-WEEKDAY(B4317,2)+1)</f>
        <v/>
      </c>
      <c r="J4317" s="5">
        <f>IF(I4317="","",I4317+6)</f>
        <v/>
      </c>
      <c r="K4317" s="6">
        <f>IF(OR(A4317="",B4317=""),"",DATE(YEAR(B4317),MONTH(B4317),1))</f>
        <v/>
      </c>
      <c r="L4317" s="7">
        <f>IF(COUNTA(A4317,B4317)=0,"",IF(OR(A4317="",B4317=""),"Preencher CPF e entrada",IF(COUNTIFS($A$12:$A$5011,A4317,$B$12:$B$5011,B4317)&gt;1,"CPF + dia duplicado",IF(OR(AND(E4317&lt;&gt;"",E4317&lt;B4317),AND(F4317&lt;&gt;"",F4317&lt;B4317)),"Evento anterior à entrada",IF(AND(F4317&lt;&gt;"",E4317=""),"Conversa sem agendamento",IF(OR(E4317&gt;TODAY(),F4317&gt;TODAY()),"Verificar evento futuro","OK"))))))</f>
        <v/>
      </c>
    </row>
    <row r="4318" spans="9:12">
      <c r="I4318" s="5">
        <f>IF(OR(A4318="",B4318=""),"",B4318-WEEKDAY(B4318,2)+1)</f>
        <v/>
      </c>
      <c r="J4318" s="5">
        <f>IF(I4318="","",I4318+6)</f>
        <v/>
      </c>
      <c r="K4318" s="6">
        <f>IF(OR(A4318="",B4318=""),"",DATE(YEAR(B4318),MONTH(B4318),1))</f>
        <v/>
      </c>
      <c r="L4318" s="7">
        <f>IF(COUNTA(A4318,B4318)=0,"",IF(OR(A4318="",B4318=""),"Preencher CPF e entrada",IF(COUNTIFS($A$12:$A$5011,A4318,$B$12:$B$5011,B4318)&gt;1,"CPF + dia duplicado",IF(OR(AND(E4318&lt;&gt;"",E4318&lt;B4318),AND(F4318&lt;&gt;"",F4318&lt;B4318)),"Evento anterior à entrada",IF(AND(F4318&lt;&gt;"",E4318=""),"Conversa sem agendamento",IF(OR(E4318&gt;TODAY(),F4318&gt;TODAY()),"Verificar evento futuro","OK"))))))</f>
        <v/>
      </c>
    </row>
    <row r="4319" spans="9:12">
      <c r="I4319" s="5">
        <f>IF(OR(A4319="",B4319=""),"",B4319-WEEKDAY(B4319,2)+1)</f>
        <v/>
      </c>
      <c r="J4319" s="5">
        <f>IF(I4319="","",I4319+6)</f>
        <v/>
      </c>
      <c r="K4319" s="6">
        <f>IF(OR(A4319="",B4319=""),"",DATE(YEAR(B4319),MONTH(B4319),1))</f>
        <v/>
      </c>
      <c r="L4319" s="7">
        <f>IF(COUNTA(A4319,B4319)=0,"",IF(OR(A4319="",B4319=""),"Preencher CPF e entrada",IF(COUNTIFS($A$12:$A$5011,A4319,$B$12:$B$5011,B4319)&gt;1,"CPF + dia duplicado",IF(OR(AND(E4319&lt;&gt;"",E4319&lt;B4319),AND(F4319&lt;&gt;"",F4319&lt;B4319)),"Evento anterior à entrada",IF(AND(F4319&lt;&gt;"",E4319=""),"Conversa sem agendamento",IF(OR(E4319&gt;TODAY(),F4319&gt;TODAY()),"Verificar evento futuro","OK"))))))</f>
        <v/>
      </c>
    </row>
    <row r="4320" spans="9:12">
      <c r="I4320" s="5">
        <f>IF(OR(A4320="",B4320=""),"",B4320-WEEKDAY(B4320,2)+1)</f>
        <v/>
      </c>
      <c r="J4320" s="5">
        <f>IF(I4320="","",I4320+6)</f>
        <v/>
      </c>
      <c r="K4320" s="6">
        <f>IF(OR(A4320="",B4320=""),"",DATE(YEAR(B4320),MONTH(B4320),1))</f>
        <v/>
      </c>
      <c r="L4320" s="7">
        <f>IF(COUNTA(A4320,B4320)=0,"",IF(OR(A4320="",B4320=""),"Preencher CPF e entrada",IF(COUNTIFS($A$12:$A$5011,A4320,$B$12:$B$5011,B4320)&gt;1,"CPF + dia duplicado",IF(OR(AND(E4320&lt;&gt;"",E4320&lt;B4320),AND(F4320&lt;&gt;"",F4320&lt;B4320)),"Evento anterior à entrada",IF(AND(F4320&lt;&gt;"",E4320=""),"Conversa sem agendamento",IF(OR(E4320&gt;TODAY(),F4320&gt;TODAY()),"Verificar evento futuro","OK"))))))</f>
        <v/>
      </c>
    </row>
    <row r="4321" spans="9:12">
      <c r="I4321" s="5">
        <f>IF(OR(A4321="",B4321=""),"",B4321-WEEKDAY(B4321,2)+1)</f>
        <v/>
      </c>
      <c r="J4321" s="5">
        <f>IF(I4321="","",I4321+6)</f>
        <v/>
      </c>
      <c r="K4321" s="6">
        <f>IF(OR(A4321="",B4321=""),"",DATE(YEAR(B4321),MONTH(B4321),1))</f>
        <v/>
      </c>
      <c r="L4321" s="7">
        <f>IF(COUNTA(A4321,B4321)=0,"",IF(OR(A4321="",B4321=""),"Preencher CPF e entrada",IF(COUNTIFS($A$12:$A$5011,A4321,$B$12:$B$5011,B4321)&gt;1,"CPF + dia duplicado",IF(OR(AND(E4321&lt;&gt;"",E4321&lt;B4321),AND(F4321&lt;&gt;"",F4321&lt;B4321)),"Evento anterior à entrada",IF(AND(F4321&lt;&gt;"",E4321=""),"Conversa sem agendamento",IF(OR(E4321&gt;TODAY(),F4321&gt;TODAY()),"Verificar evento futuro","OK"))))))</f>
        <v/>
      </c>
    </row>
    <row r="4322" spans="9:12">
      <c r="I4322" s="5">
        <f>IF(OR(A4322="",B4322=""),"",B4322-WEEKDAY(B4322,2)+1)</f>
        <v/>
      </c>
      <c r="J4322" s="5">
        <f>IF(I4322="","",I4322+6)</f>
        <v/>
      </c>
      <c r="K4322" s="6">
        <f>IF(OR(A4322="",B4322=""),"",DATE(YEAR(B4322),MONTH(B4322),1))</f>
        <v/>
      </c>
      <c r="L4322" s="7">
        <f>IF(COUNTA(A4322,B4322)=0,"",IF(OR(A4322="",B4322=""),"Preencher CPF e entrada",IF(COUNTIFS($A$12:$A$5011,A4322,$B$12:$B$5011,B4322)&gt;1,"CPF + dia duplicado",IF(OR(AND(E4322&lt;&gt;"",E4322&lt;B4322),AND(F4322&lt;&gt;"",F4322&lt;B4322)),"Evento anterior à entrada",IF(AND(F4322&lt;&gt;"",E4322=""),"Conversa sem agendamento",IF(OR(E4322&gt;TODAY(),F4322&gt;TODAY()),"Verificar evento futuro","OK"))))))</f>
        <v/>
      </c>
    </row>
    <row r="4323" spans="9:12">
      <c r="I4323" s="5">
        <f>IF(OR(A4323="",B4323=""),"",B4323-WEEKDAY(B4323,2)+1)</f>
        <v/>
      </c>
      <c r="J4323" s="5">
        <f>IF(I4323="","",I4323+6)</f>
        <v/>
      </c>
      <c r="K4323" s="6">
        <f>IF(OR(A4323="",B4323=""),"",DATE(YEAR(B4323),MONTH(B4323),1))</f>
        <v/>
      </c>
      <c r="L4323" s="7">
        <f>IF(COUNTA(A4323,B4323)=0,"",IF(OR(A4323="",B4323=""),"Preencher CPF e entrada",IF(COUNTIFS($A$12:$A$5011,A4323,$B$12:$B$5011,B4323)&gt;1,"CPF + dia duplicado",IF(OR(AND(E4323&lt;&gt;"",E4323&lt;B4323),AND(F4323&lt;&gt;"",F4323&lt;B4323)),"Evento anterior à entrada",IF(AND(F4323&lt;&gt;"",E4323=""),"Conversa sem agendamento",IF(OR(E4323&gt;TODAY(),F4323&gt;TODAY()),"Verificar evento futuro","OK"))))))</f>
        <v/>
      </c>
    </row>
    <row r="4324" spans="9:12">
      <c r="I4324" s="5">
        <f>IF(OR(A4324="",B4324=""),"",B4324-WEEKDAY(B4324,2)+1)</f>
        <v/>
      </c>
      <c r="J4324" s="5">
        <f>IF(I4324="","",I4324+6)</f>
        <v/>
      </c>
      <c r="K4324" s="6">
        <f>IF(OR(A4324="",B4324=""),"",DATE(YEAR(B4324),MONTH(B4324),1))</f>
        <v/>
      </c>
      <c r="L4324" s="7">
        <f>IF(COUNTA(A4324,B4324)=0,"",IF(OR(A4324="",B4324=""),"Preencher CPF e entrada",IF(COUNTIFS($A$12:$A$5011,A4324,$B$12:$B$5011,B4324)&gt;1,"CPF + dia duplicado",IF(OR(AND(E4324&lt;&gt;"",E4324&lt;B4324),AND(F4324&lt;&gt;"",F4324&lt;B4324)),"Evento anterior à entrada",IF(AND(F4324&lt;&gt;"",E4324=""),"Conversa sem agendamento",IF(OR(E4324&gt;TODAY(),F4324&gt;TODAY()),"Verificar evento futuro","OK"))))))</f>
        <v/>
      </c>
    </row>
    <row r="4325" spans="9:12">
      <c r="I4325" s="5">
        <f>IF(OR(A4325="",B4325=""),"",B4325-WEEKDAY(B4325,2)+1)</f>
        <v/>
      </c>
      <c r="J4325" s="5">
        <f>IF(I4325="","",I4325+6)</f>
        <v/>
      </c>
      <c r="K4325" s="6">
        <f>IF(OR(A4325="",B4325=""),"",DATE(YEAR(B4325),MONTH(B4325),1))</f>
        <v/>
      </c>
      <c r="L4325" s="7">
        <f>IF(COUNTA(A4325,B4325)=0,"",IF(OR(A4325="",B4325=""),"Preencher CPF e entrada",IF(COUNTIFS($A$12:$A$5011,A4325,$B$12:$B$5011,B4325)&gt;1,"CPF + dia duplicado",IF(OR(AND(E4325&lt;&gt;"",E4325&lt;B4325),AND(F4325&lt;&gt;"",F4325&lt;B4325)),"Evento anterior à entrada",IF(AND(F4325&lt;&gt;"",E4325=""),"Conversa sem agendamento",IF(OR(E4325&gt;TODAY(),F4325&gt;TODAY()),"Verificar evento futuro","OK"))))))</f>
        <v/>
      </c>
    </row>
    <row r="4326" spans="9:12">
      <c r="I4326" s="5">
        <f>IF(OR(A4326="",B4326=""),"",B4326-WEEKDAY(B4326,2)+1)</f>
        <v/>
      </c>
      <c r="J4326" s="5">
        <f>IF(I4326="","",I4326+6)</f>
        <v/>
      </c>
      <c r="K4326" s="6">
        <f>IF(OR(A4326="",B4326=""),"",DATE(YEAR(B4326),MONTH(B4326),1))</f>
        <v/>
      </c>
      <c r="L4326" s="7">
        <f>IF(COUNTA(A4326,B4326)=0,"",IF(OR(A4326="",B4326=""),"Preencher CPF e entrada",IF(COUNTIFS($A$12:$A$5011,A4326,$B$12:$B$5011,B4326)&gt;1,"CPF + dia duplicado",IF(OR(AND(E4326&lt;&gt;"",E4326&lt;B4326),AND(F4326&lt;&gt;"",F4326&lt;B4326)),"Evento anterior à entrada",IF(AND(F4326&lt;&gt;"",E4326=""),"Conversa sem agendamento",IF(OR(E4326&gt;TODAY(),F4326&gt;TODAY()),"Verificar evento futuro","OK"))))))</f>
        <v/>
      </c>
    </row>
    <row r="4327" spans="9:12">
      <c r="I4327" s="5">
        <f>IF(OR(A4327="",B4327=""),"",B4327-WEEKDAY(B4327,2)+1)</f>
        <v/>
      </c>
      <c r="J4327" s="5">
        <f>IF(I4327="","",I4327+6)</f>
        <v/>
      </c>
      <c r="K4327" s="6">
        <f>IF(OR(A4327="",B4327=""),"",DATE(YEAR(B4327),MONTH(B4327),1))</f>
        <v/>
      </c>
      <c r="L4327" s="7">
        <f>IF(COUNTA(A4327,B4327)=0,"",IF(OR(A4327="",B4327=""),"Preencher CPF e entrada",IF(COUNTIFS($A$12:$A$5011,A4327,$B$12:$B$5011,B4327)&gt;1,"CPF + dia duplicado",IF(OR(AND(E4327&lt;&gt;"",E4327&lt;B4327),AND(F4327&lt;&gt;"",F4327&lt;B4327)),"Evento anterior à entrada",IF(AND(F4327&lt;&gt;"",E4327=""),"Conversa sem agendamento",IF(OR(E4327&gt;TODAY(),F4327&gt;TODAY()),"Verificar evento futuro","OK"))))))</f>
        <v/>
      </c>
    </row>
    <row r="4328" spans="9:12">
      <c r="I4328" s="5">
        <f>IF(OR(A4328="",B4328=""),"",B4328-WEEKDAY(B4328,2)+1)</f>
        <v/>
      </c>
      <c r="J4328" s="5">
        <f>IF(I4328="","",I4328+6)</f>
        <v/>
      </c>
      <c r="K4328" s="6">
        <f>IF(OR(A4328="",B4328=""),"",DATE(YEAR(B4328),MONTH(B4328),1))</f>
        <v/>
      </c>
      <c r="L4328" s="7">
        <f>IF(COUNTA(A4328,B4328)=0,"",IF(OR(A4328="",B4328=""),"Preencher CPF e entrada",IF(COUNTIFS($A$12:$A$5011,A4328,$B$12:$B$5011,B4328)&gt;1,"CPF + dia duplicado",IF(OR(AND(E4328&lt;&gt;"",E4328&lt;B4328),AND(F4328&lt;&gt;"",F4328&lt;B4328)),"Evento anterior à entrada",IF(AND(F4328&lt;&gt;"",E4328=""),"Conversa sem agendamento",IF(OR(E4328&gt;TODAY(),F4328&gt;TODAY()),"Verificar evento futuro","OK"))))))</f>
        <v/>
      </c>
    </row>
    <row r="4329" spans="9:12">
      <c r="I4329" s="5">
        <f>IF(OR(A4329="",B4329=""),"",B4329-WEEKDAY(B4329,2)+1)</f>
        <v/>
      </c>
      <c r="J4329" s="5">
        <f>IF(I4329="","",I4329+6)</f>
        <v/>
      </c>
      <c r="K4329" s="6">
        <f>IF(OR(A4329="",B4329=""),"",DATE(YEAR(B4329),MONTH(B4329),1))</f>
        <v/>
      </c>
      <c r="L4329" s="7">
        <f>IF(COUNTA(A4329,B4329)=0,"",IF(OR(A4329="",B4329=""),"Preencher CPF e entrada",IF(COUNTIFS($A$12:$A$5011,A4329,$B$12:$B$5011,B4329)&gt;1,"CPF + dia duplicado",IF(OR(AND(E4329&lt;&gt;"",E4329&lt;B4329),AND(F4329&lt;&gt;"",F4329&lt;B4329)),"Evento anterior à entrada",IF(AND(F4329&lt;&gt;"",E4329=""),"Conversa sem agendamento",IF(OR(E4329&gt;TODAY(),F4329&gt;TODAY()),"Verificar evento futuro","OK"))))))</f>
        <v/>
      </c>
    </row>
    <row r="4330" spans="9:12">
      <c r="I4330" s="5">
        <f>IF(OR(A4330="",B4330=""),"",B4330-WEEKDAY(B4330,2)+1)</f>
        <v/>
      </c>
      <c r="J4330" s="5">
        <f>IF(I4330="","",I4330+6)</f>
        <v/>
      </c>
      <c r="K4330" s="6">
        <f>IF(OR(A4330="",B4330=""),"",DATE(YEAR(B4330),MONTH(B4330),1))</f>
        <v/>
      </c>
      <c r="L4330" s="7">
        <f>IF(COUNTA(A4330,B4330)=0,"",IF(OR(A4330="",B4330=""),"Preencher CPF e entrada",IF(COUNTIFS($A$12:$A$5011,A4330,$B$12:$B$5011,B4330)&gt;1,"CPF + dia duplicado",IF(OR(AND(E4330&lt;&gt;"",E4330&lt;B4330),AND(F4330&lt;&gt;"",F4330&lt;B4330)),"Evento anterior à entrada",IF(AND(F4330&lt;&gt;"",E4330=""),"Conversa sem agendamento",IF(OR(E4330&gt;TODAY(),F4330&gt;TODAY()),"Verificar evento futuro","OK"))))))</f>
        <v/>
      </c>
    </row>
    <row r="4331" spans="9:12">
      <c r="I4331" s="5">
        <f>IF(OR(A4331="",B4331=""),"",B4331-WEEKDAY(B4331,2)+1)</f>
        <v/>
      </c>
      <c r="J4331" s="5">
        <f>IF(I4331="","",I4331+6)</f>
        <v/>
      </c>
      <c r="K4331" s="6">
        <f>IF(OR(A4331="",B4331=""),"",DATE(YEAR(B4331),MONTH(B4331),1))</f>
        <v/>
      </c>
      <c r="L4331" s="7">
        <f>IF(COUNTA(A4331,B4331)=0,"",IF(OR(A4331="",B4331=""),"Preencher CPF e entrada",IF(COUNTIFS($A$12:$A$5011,A4331,$B$12:$B$5011,B4331)&gt;1,"CPF + dia duplicado",IF(OR(AND(E4331&lt;&gt;"",E4331&lt;B4331),AND(F4331&lt;&gt;"",F4331&lt;B4331)),"Evento anterior à entrada",IF(AND(F4331&lt;&gt;"",E4331=""),"Conversa sem agendamento",IF(OR(E4331&gt;TODAY(),F4331&gt;TODAY()),"Verificar evento futuro","OK"))))))</f>
        <v/>
      </c>
    </row>
    <row r="4332" spans="9:12">
      <c r="I4332" s="5">
        <f>IF(OR(A4332="",B4332=""),"",B4332-WEEKDAY(B4332,2)+1)</f>
        <v/>
      </c>
      <c r="J4332" s="5">
        <f>IF(I4332="","",I4332+6)</f>
        <v/>
      </c>
      <c r="K4332" s="6">
        <f>IF(OR(A4332="",B4332=""),"",DATE(YEAR(B4332),MONTH(B4332),1))</f>
        <v/>
      </c>
      <c r="L4332" s="7">
        <f>IF(COUNTA(A4332,B4332)=0,"",IF(OR(A4332="",B4332=""),"Preencher CPF e entrada",IF(COUNTIFS($A$12:$A$5011,A4332,$B$12:$B$5011,B4332)&gt;1,"CPF + dia duplicado",IF(OR(AND(E4332&lt;&gt;"",E4332&lt;B4332),AND(F4332&lt;&gt;"",F4332&lt;B4332)),"Evento anterior à entrada",IF(AND(F4332&lt;&gt;"",E4332=""),"Conversa sem agendamento",IF(OR(E4332&gt;TODAY(),F4332&gt;TODAY()),"Verificar evento futuro","OK"))))))</f>
        <v/>
      </c>
    </row>
    <row r="4333" spans="9:12">
      <c r="I4333" s="5">
        <f>IF(OR(A4333="",B4333=""),"",B4333-WEEKDAY(B4333,2)+1)</f>
        <v/>
      </c>
      <c r="J4333" s="5">
        <f>IF(I4333="","",I4333+6)</f>
        <v/>
      </c>
      <c r="K4333" s="6">
        <f>IF(OR(A4333="",B4333=""),"",DATE(YEAR(B4333),MONTH(B4333),1))</f>
        <v/>
      </c>
      <c r="L4333" s="7">
        <f>IF(COUNTA(A4333,B4333)=0,"",IF(OR(A4333="",B4333=""),"Preencher CPF e entrada",IF(COUNTIFS($A$12:$A$5011,A4333,$B$12:$B$5011,B4333)&gt;1,"CPF + dia duplicado",IF(OR(AND(E4333&lt;&gt;"",E4333&lt;B4333),AND(F4333&lt;&gt;"",F4333&lt;B4333)),"Evento anterior à entrada",IF(AND(F4333&lt;&gt;"",E4333=""),"Conversa sem agendamento",IF(OR(E4333&gt;TODAY(),F4333&gt;TODAY()),"Verificar evento futuro","OK"))))))</f>
        <v/>
      </c>
    </row>
    <row r="4334" spans="9:12">
      <c r="I4334" s="5">
        <f>IF(OR(A4334="",B4334=""),"",B4334-WEEKDAY(B4334,2)+1)</f>
        <v/>
      </c>
      <c r="J4334" s="5">
        <f>IF(I4334="","",I4334+6)</f>
        <v/>
      </c>
      <c r="K4334" s="6">
        <f>IF(OR(A4334="",B4334=""),"",DATE(YEAR(B4334),MONTH(B4334),1))</f>
        <v/>
      </c>
      <c r="L4334" s="7">
        <f>IF(COUNTA(A4334,B4334)=0,"",IF(OR(A4334="",B4334=""),"Preencher CPF e entrada",IF(COUNTIFS($A$12:$A$5011,A4334,$B$12:$B$5011,B4334)&gt;1,"CPF + dia duplicado",IF(OR(AND(E4334&lt;&gt;"",E4334&lt;B4334),AND(F4334&lt;&gt;"",F4334&lt;B4334)),"Evento anterior à entrada",IF(AND(F4334&lt;&gt;"",E4334=""),"Conversa sem agendamento",IF(OR(E4334&gt;TODAY(),F4334&gt;TODAY()),"Verificar evento futuro","OK"))))))</f>
        <v/>
      </c>
    </row>
    <row r="4335" spans="9:12">
      <c r="I4335" s="5">
        <f>IF(OR(A4335="",B4335=""),"",B4335-WEEKDAY(B4335,2)+1)</f>
        <v/>
      </c>
      <c r="J4335" s="5">
        <f>IF(I4335="","",I4335+6)</f>
        <v/>
      </c>
      <c r="K4335" s="6">
        <f>IF(OR(A4335="",B4335=""),"",DATE(YEAR(B4335),MONTH(B4335),1))</f>
        <v/>
      </c>
      <c r="L4335" s="7">
        <f>IF(COUNTA(A4335,B4335)=0,"",IF(OR(A4335="",B4335=""),"Preencher CPF e entrada",IF(COUNTIFS($A$12:$A$5011,A4335,$B$12:$B$5011,B4335)&gt;1,"CPF + dia duplicado",IF(OR(AND(E4335&lt;&gt;"",E4335&lt;B4335),AND(F4335&lt;&gt;"",F4335&lt;B4335)),"Evento anterior à entrada",IF(AND(F4335&lt;&gt;"",E4335=""),"Conversa sem agendamento",IF(OR(E4335&gt;TODAY(),F4335&gt;TODAY()),"Verificar evento futuro","OK"))))))</f>
        <v/>
      </c>
    </row>
    <row r="4336" spans="9:12">
      <c r="I4336" s="5">
        <f>IF(OR(A4336="",B4336=""),"",B4336-WEEKDAY(B4336,2)+1)</f>
        <v/>
      </c>
      <c r="J4336" s="5">
        <f>IF(I4336="","",I4336+6)</f>
        <v/>
      </c>
      <c r="K4336" s="6">
        <f>IF(OR(A4336="",B4336=""),"",DATE(YEAR(B4336),MONTH(B4336),1))</f>
        <v/>
      </c>
      <c r="L4336" s="7">
        <f>IF(COUNTA(A4336,B4336)=0,"",IF(OR(A4336="",B4336=""),"Preencher CPF e entrada",IF(COUNTIFS($A$12:$A$5011,A4336,$B$12:$B$5011,B4336)&gt;1,"CPF + dia duplicado",IF(OR(AND(E4336&lt;&gt;"",E4336&lt;B4336),AND(F4336&lt;&gt;"",F4336&lt;B4336)),"Evento anterior à entrada",IF(AND(F4336&lt;&gt;"",E4336=""),"Conversa sem agendamento",IF(OR(E4336&gt;TODAY(),F4336&gt;TODAY()),"Verificar evento futuro","OK"))))))</f>
        <v/>
      </c>
    </row>
    <row r="4337" spans="9:12">
      <c r="I4337" s="5">
        <f>IF(OR(A4337="",B4337=""),"",B4337-WEEKDAY(B4337,2)+1)</f>
        <v/>
      </c>
      <c r="J4337" s="5">
        <f>IF(I4337="","",I4337+6)</f>
        <v/>
      </c>
      <c r="K4337" s="6">
        <f>IF(OR(A4337="",B4337=""),"",DATE(YEAR(B4337),MONTH(B4337),1))</f>
        <v/>
      </c>
      <c r="L4337" s="7">
        <f>IF(COUNTA(A4337,B4337)=0,"",IF(OR(A4337="",B4337=""),"Preencher CPF e entrada",IF(COUNTIFS($A$12:$A$5011,A4337,$B$12:$B$5011,B4337)&gt;1,"CPF + dia duplicado",IF(OR(AND(E4337&lt;&gt;"",E4337&lt;B4337),AND(F4337&lt;&gt;"",F4337&lt;B4337)),"Evento anterior à entrada",IF(AND(F4337&lt;&gt;"",E4337=""),"Conversa sem agendamento",IF(OR(E4337&gt;TODAY(),F4337&gt;TODAY()),"Verificar evento futuro","OK"))))))</f>
        <v/>
      </c>
    </row>
    <row r="4338" spans="9:12">
      <c r="I4338" s="5">
        <f>IF(OR(A4338="",B4338=""),"",B4338-WEEKDAY(B4338,2)+1)</f>
        <v/>
      </c>
      <c r="J4338" s="5">
        <f>IF(I4338="","",I4338+6)</f>
        <v/>
      </c>
      <c r="K4338" s="6">
        <f>IF(OR(A4338="",B4338=""),"",DATE(YEAR(B4338),MONTH(B4338),1))</f>
        <v/>
      </c>
      <c r="L4338" s="7">
        <f>IF(COUNTA(A4338,B4338)=0,"",IF(OR(A4338="",B4338=""),"Preencher CPF e entrada",IF(COUNTIFS($A$12:$A$5011,A4338,$B$12:$B$5011,B4338)&gt;1,"CPF + dia duplicado",IF(OR(AND(E4338&lt;&gt;"",E4338&lt;B4338),AND(F4338&lt;&gt;"",F4338&lt;B4338)),"Evento anterior à entrada",IF(AND(F4338&lt;&gt;"",E4338=""),"Conversa sem agendamento",IF(OR(E4338&gt;TODAY(),F4338&gt;TODAY()),"Verificar evento futuro","OK"))))))</f>
        <v/>
      </c>
    </row>
    <row r="4339" spans="9:12">
      <c r="I4339" s="5">
        <f>IF(OR(A4339="",B4339=""),"",B4339-WEEKDAY(B4339,2)+1)</f>
        <v/>
      </c>
      <c r="J4339" s="5">
        <f>IF(I4339="","",I4339+6)</f>
        <v/>
      </c>
      <c r="K4339" s="6">
        <f>IF(OR(A4339="",B4339=""),"",DATE(YEAR(B4339),MONTH(B4339),1))</f>
        <v/>
      </c>
      <c r="L4339" s="7">
        <f>IF(COUNTA(A4339,B4339)=0,"",IF(OR(A4339="",B4339=""),"Preencher CPF e entrada",IF(COUNTIFS($A$12:$A$5011,A4339,$B$12:$B$5011,B4339)&gt;1,"CPF + dia duplicado",IF(OR(AND(E4339&lt;&gt;"",E4339&lt;B4339),AND(F4339&lt;&gt;"",F4339&lt;B4339)),"Evento anterior à entrada",IF(AND(F4339&lt;&gt;"",E4339=""),"Conversa sem agendamento",IF(OR(E4339&gt;TODAY(),F4339&gt;TODAY()),"Verificar evento futuro","OK"))))))</f>
        <v/>
      </c>
    </row>
    <row r="4340" spans="9:12">
      <c r="I4340" s="5">
        <f>IF(OR(A4340="",B4340=""),"",B4340-WEEKDAY(B4340,2)+1)</f>
        <v/>
      </c>
      <c r="J4340" s="5">
        <f>IF(I4340="","",I4340+6)</f>
        <v/>
      </c>
      <c r="K4340" s="6">
        <f>IF(OR(A4340="",B4340=""),"",DATE(YEAR(B4340),MONTH(B4340),1))</f>
        <v/>
      </c>
      <c r="L4340" s="7">
        <f>IF(COUNTA(A4340,B4340)=0,"",IF(OR(A4340="",B4340=""),"Preencher CPF e entrada",IF(COUNTIFS($A$12:$A$5011,A4340,$B$12:$B$5011,B4340)&gt;1,"CPF + dia duplicado",IF(OR(AND(E4340&lt;&gt;"",E4340&lt;B4340),AND(F4340&lt;&gt;"",F4340&lt;B4340)),"Evento anterior à entrada",IF(AND(F4340&lt;&gt;"",E4340=""),"Conversa sem agendamento",IF(OR(E4340&gt;TODAY(),F4340&gt;TODAY()),"Verificar evento futuro","OK"))))))</f>
        <v/>
      </c>
    </row>
    <row r="4341" spans="9:12">
      <c r="I4341" s="5">
        <f>IF(OR(A4341="",B4341=""),"",B4341-WEEKDAY(B4341,2)+1)</f>
        <v/>
      </c>
      <c r="J4341" s="5">
        <f>IF(I4341="","",I4341+6)</f>
        <v/>
      </c>
      <c r="K4341" s="6">
        <f>IF(OR(A4341="",B4341=""),"",DATE(YEAR(B4341),MONTH(B4341),1))</f>
        <v/>
      </c>
      <c r="L4341" s="7">
        <f>IF(COUNTA(A4341,B4341)=0,"",IF(OR(A4341="",B4341=""),"Preencher CPF e entrada",IF(COUNTIFS($A$12:$A$5011,A4341,$B$12:$B$5011,B4341)&gt;1,"CPF + dia duplicado",IF(OR(AND(E4341&lt;&gt;"",E4341&lt;B4341),AND(F4341&lt;&gt;"",F4341&lt;B4341)),"Evento anterior à entrada",IF(AND(F4341&lt;&gt;"",E4341=""),"Conversa sem agendamento",IF(OR(E4341&gt;TODAY(),F4341&gt;TODAY()),"Verificar evento futuro","OK"))))))</f>
        <v/>
      </c>
    </row>
    <row r="4342" spans="9:12">
      <c r="I4342" s="5">
        <f>IF(OR(A4342="",B4342=""),"",B4342-WEEKDAY(B4342,2)+1)</f>
        <v/>
      </c>
      <c r="J4342" s="5">
        <f>IF(I4342="","",I4342+6)</f>
        <v/>
      </c>
      <c r="K4342" s="6">
        <f>IF(OR(A4342="",B4342=""),"",DATE(YEAR(B4342),MONTH(B4342),1))</f>
        <v/>
      </c>
      <c r="L4342" s="7">
        <f>IF(COUNTA(A4342,B4342)=0,"",IF(OR(A4342="",B4342=""),"Preencher CPF e entrada",IF(COUNTIFS($A$12:$A$5011,A4342,$B$12:$B$5011,B4342)&gt;1,"CPF + dia duplicado",IF(OR(AND(E4342&lt;&gt;"",E4342&lt;B4342),AND(F4342&lt;&gt;"",F4342&lt;B4342)),"Evento anterior à entrada",IF(AND(F4342&lt;&gt;"",E4342=""),"Conversa sem agendamento",IF(OR(E4342&gt;TODAY(),F4342&gt;TODAY()),"Verificar evento futuro","OK"))))))</f>
        <v/>
      </c>
    </row>
    <row r="4343" spans="9:12">
      <c r="I4343" s="5">
        <f>IF(OR(A4343="",B4343=""),"",B4343-WEEKDAY(B4343,2)+1)</f>
        <v/>
      </c>
      <c r="J4343" s="5">
        <f>IF(I4343="","",I4343+6)</f>
        <v/>
      </c>
      <c r="K4343" s="6">
        <f>IF(OR(A4343="",B4343=""),"",DATE(YEAR(B4343),MONTH(B4343),1))</f>
        <v/>
      </c>
      <c r="L4343" s="7">
        <f>IF(COUNTA(A4343,B4343)=0,"",IF(OR(A4343="",B4343=""),"Preencher CPF e entrada",IF(COUNTIFS($A$12:$A$5011,A4343,$B$12:$B$5011,B4343)&gt;1,"CPF + dia duplicado",IF(OR(AND(E4343&lt;&gt;"",E4343&lt;B4343),AND(F4343&lt;&gt;"",F4343&lt;B4343)),"Evento anterior à entrada",IF(AND(F4343&lt;&gt;"",E4343=""),"Conversa sem agendamento",IF(OR(E4343&gt;TODAY(),F4343&gt;TODAY()),"Verificar evento futuro","OK"))))))</f>
        <v/>
      </c>
    </row>
    <row r="4344" spans="9:12">
      <c r="I4344" s="5">
        <f>IF(OR(A4344="",B4344=""),"",B4344-WEEKDAY(B4344,2)+1)</f>
        <v/>
      </c>
      <c r="J4344" s="5">
        <f>IF(I4344="","",I4344+6)</f>
        <v/>
      </c>
      <c r="K4344" s="6">
        <f>IF(OR(A4344="",B4344=""),"",DATE(YEAR(B4344),MONTH(B4344),1))</f>
        <v/>
      </c>
      <c r="L4344" s="7">
        <f>IF(COUNTA(A4344,B4344)=0,"",IF(OR(A4344="",B4344=""),"Preencher CPF e entrada",IF(COUNTIFS($A$12:$A$5011,A4344,$B$12:$B$5011,B4344)&gt;1,"CPF + dia duplicado",IF(OR(AND(E4344&lt;&gt;"",E4344&lt;B4344),AND(F4344&lt;&gt;"",F4344&lt;B4344)),"Evento anterior à entrada",IF(AND(F4344&lt;&gt;"",E4344=""),"Conversa sem agendamento",IF(OR(E4344&gt;TODAY(),F4344&gt;TODAY()),"Verificar evento futuro","OK"))))))</f>
        <v/>
      </c>
    </row>
    <row r="4345" spans="9:12">
      <c r="I4345" s="5">
        <f>IF(OR(A4345="",B4345=""),"",B4345-WEEKDAY(B4345,2)+1)</f>
        <v/>
      </c>
      <c r="J4345" s="5">
        <f>IF(I4345="","",I4345+6)</f>
        <v/>
      </c>
      <c r="K4345" s="6">
        <f>IF(OR(A4345="",B4345=""),"",DATE(YEAR(B4345),MONTH(B4345),1))</f>
        <v/>
      </c>
      <c r="L4345" s="7">
        <f>IF(COUNTA(A4345,B4345)=0,"",IF(OR(A4345="",B4345=""),"Preencher CPF e entrada",IF(COUNTIFS($A$12:$A$5011,A4345,$B$12:$B$5011,B4345)&gt;1,"CPF + dia duplicado",IF(OR(AND(E4345&lt;&gt;"",E4345&lt;B4345),AND(F4345&lt;&gt;"",F4345&lt;B4345)),"Evento anterior à entrada",IF(AND(F4345&lt;&gt;"",E4345=""),"Conversa sem agendamento",IF(OR(E4345&gt;TODAY(),F4345&gt;TODAY()),"Verificar evento futuro","OK"))))))</f>
        <v/>
      </c>
    </row>
    <row r="4346" spans="9:12">
      <c r="I4346" s="5">
        <f>IF(OR(A4346="",B4346=""),"",B4346-WEEKDAY(B4346,2)+1)</f>
        <v/>
      </c>
      <c r="J4346" s="5">
        <f>IF(I4346="","",I4346+6)</f>
        <v/>
      </c>
      <c r="K4346" s="6">
        <f>IF(OR(A4346="",B4346=""),"",DATE(YEAR(B4346),MONTH(B4346),1))</f>
        <v/>
      </c>
      <c r="L4346" s="7">
        <f>IF(COUNTA(A4346,B4346)=0,"",IF(OR(A4346="",B4346=""),"Preencher CPF e entrada",IF(COUNTIFS($A$12:$A$5011,A4346,$B$12:$B$5011,B4346)&gt;1,"CPF + dia duplicado",IF(OR(AND(E4346&lt;&gt;"",E4346&lt;B4346),AND(F4346&lt;&gt;"",F4346&lt;B4346)),"Evento anterior à entrada",IF(AND(F4346&lt;&gt;"",E4346=""),"Conversa sem agendamento",IF(OR(E4346&gt;TODAY(),F4346&gt;TODAY()),"Verificar evento futuro","OK"))))))</f>
        <v/>
      </c>
    </row>
    <row r="4347" spans="9:12">
      <c r="I4347" s="5">
        <f>IF(OR(A4347="",B4347=""),"",B4347-WEEKDAY(B4347,2)+1)</f>
        <v/>
      </c>
      <c r="J4347" s="5">
        <f>IF(I4347="","",I4347+6)</f>
        <v/>
      </c>
      <c r="K4347" s="6">
        <f>IF(OR(A4347="",B4347=""),"",DATE(YEAR(B4347),MONTH(B4347),1))</f>
        <v/>
      </c>
      <c r="L4347" s="7">
        <f>IF(COUNTA(A4347,B4347)=0,"",IF(OR(A4347="",B4347=""),"Preencher CPF e entrada",IF(COUNTIFS($A$12:$A$5011,A4347,$B$12:$B$5011,B4347)&gt;1,"CPF + dia duplicado",IF(OR(AND(E4347&lt;&gt;"",E4347&lt;B4347),AND(F4347&lt;&gt;"",F4347&lt;B4347)),"Evento anterior à entrada",IF(AND(F4347&lt;&gt;"",E4347=""),"Conversa sem agendamento",IF(OR(E4347&gt;TODAY(),F4347&gt;TODAY()),"Verificar evento futuro","OK"))))))</f>
        <v/>
      </c>
    </row>
    <row r="4348" spans="9:12">
      <c r="I4348" s="5">
        <f>IF(OR(A4348="",B4348=""),"",B4348-WEEKDAY(B4348,2)+1)</f>
        <v/>
      </c>
      <c r="J4348" s="5">
        <f>IF(I4348="","",I4348+6)</f>
        <v/>
      </c>
      <c r="K4348" s="6">
        <f>IF(OR(A4348="",B4348=""),"",DATE(YEAR(B4348),MONTH(B4348),1))</f>
        <v/>
      </c>
      <c r="L4348" s="7">
        <f>IF(COUNTA(A4348,B4348)=0,"",IF(OR(A4348="",B4348=""),"Preencher CPF e entrada",IF(COUNTIFS($A$12:$A$5011,A4348,$B$12:$B$5011,B4348)&gt;1,"CPF + dia duplicado",IF(OR(AND(E4348&lt;&gt;"",E4348&lt;B4348),AND(F4348&lt;&gt;"",F4348&lt;B4348)),"Evento anterior à entrada",IF(AND(F4348&lt;&gt;"",E4348=""),"Conversa sem agendamento",IF(OR(E4348&gt;TODAY(),F4348&gt;TODAY()),"Verificar evento futuro","OK"))))))</f>
        <v/>
      </c>
    </row>
    <row r="4349" spans="9:12">
      <c r="I4349" s="5">
        <f>IF(OR(A4349="",B4349=""),"",B4349-WEEKDAY(B4349,2)+1)</f>
        <v/>
      </c>
      <c r="J4349" s="5">
        <f>IF(I4349="","",I4349+6)</f>
        <v/>
      </c>
      <c r="K4349" s="6">
        <f>IF(OR(A4349="",B4349=""),"",DATE(YEAR(B4349),MONTH(B4349),1))</f>
        <v/>
      </c>
      <c r="L4349" s="7">
        <f>IF(COUNTA(A4349,B4349)=0,"",IF(OR(A4349="",B4349=""),"Preencher CPF e entrada",IF(COUNTIFS($A$12:$A$5011,A4349,$B$12:$B$5011,B4349)&gt;1,"CPF + dia duplicado",IF(OR(AND(E4349&lt;&gt;"",E4349&lt;B4349),AND(F4349&lt;&gt;"",F4349&lt;B4349)),"Evento anterior à entrada",IF(AND(F4349&lt;&gt;"",E4349=""),"Conversa sem agendamento",IF(OR(E4349&gt;TODAY(),F4349&gt;TODAY()),"Verificar evento futuro","OK"))))))</f>
        <v/>
      </c>
    </row>
    <row r="4350" spans="9:12">
      <c r="I4350" s="5">
        <f>IF(OR(A4350="",B4350=""),"",B4350-WEEKDAY(B4350,2)+1)</f>
        <v/>
      </c>
      <c r="J4350" s="5">
        <f>IF(I4350="","",I4350+6)</f>
        <v/>
      </c>
      <c r="K4350" s="6">
        <f>IF(OR(A4350="",B4350=""),"",DATE(YEAR(B4350),MONTH(B4350),1))</f>
        <v/>
      </c>
      <c r="L4350" s="7">
        <f>IF(COUNTA(A4350,B4350)=0,"",IF(OR(A4350="",B4350=""),"Preencher CPF e entrada",IF(COUNTIFS($A$12:$A$5011,A4350,$B$12:$B$5011,B4350)&gt;1,"CPF + dia duplicado",IF(OR(AND(E4350&lt;&gt;"",E4350&lt;B4350),AND(F4350&lt;&gt;"",F4350&lt;B4350)),"Evento anterior à entrada",IF(AND(F4350&lt;&gt;"",E4350=""),"Conversa sem agendamento",IF(OR(E4350&gt;TODAY(),F4350&gt;TODAY()),"Verificar evento futuro","OK"))))))</f>
        <v/>
      </c>
    </row>
    <row r="4351" spans="9:12">
      <c r="I4351" s="5">
        <f>IF(OR(A4351="",B4351=""),"",B4351-WEEKDAY(B4351,2)+1)</f>
        <v/>
      </c>
      <c r="J4351" s="5">
        <f>IF(I4351="","",I4351+6)</f>
        <v/>
      </c>
      <c r="K4351" s="6">
        <f>IF(OR(A4351="",B4351=""),"",DATE(YEAR(B4351),MONTH(B4351),1))</f>
        <v/>
      </c>
      <c r="L4351" s="7">
        <f>IF(COUNTA(A4351,B4351)=0,"",IF(OR(A4351="",B4351=""),"Preencher CPF e entrada",IF(COUNTIFS($A$12:$A$5011,A4351,$B$12:$B$5011,B4351)&gt;1,"CPF + dia duplicado",IF(OR(AND(E4351&lt;&gt;"",E4351&lt;B4351),AND(F4351&lt;&gt;"",F4351&lt;B4351)),"Evento anterior à entrada",IF(AND(F4351&lt;&gt;"",E4351=""),"Conversa sem agendamento",IF(OR(E4351&gt;TODAY(),F4351&gt;TODAY()),"Verificar evento futuro","OK"))))))</f>
        <v/>
      </c>
    </row>
    <row r="4352" spans="9:12">
      <c r="I4352" s="5">
        <f>IF(OR(A4352="",B4352=""),"",B4352-WEEKDAY(B4352,2)+1)</f>
        <v/>
      </c>
      <c r="J4352" s="5">
        <f>IF(I4352="","",I4352+6)</f>
        <v/>
      </c>
      <c r="K4352" s="6">
        <f>IF(OR(A4352="",B4352=""),"",DATE(YEAR(B4352),MONTH(B4352),1))</f>
        <v/>
      </c>
      <c r="L4352" s="7">
        <f>IF(COUNTA(A4352,B4352)=0,"",IF(OR(A4352="",B4352=""),"Preencher CPF e entrada",IF(COUNTIFS($A$12:$A$5011,A4352,$B$12:$B$5011,B4352)&gt;1,"CPF + dia duplicado",IF(OR(AND(E4352&lt;&gt;"",E4352&lt;B4352),AND(F4352&lt;&gt;"",F4352&lt;B4352)),"Evento anterior à entrada",IF(AND(F4352&lt;&gt;"",E4352=""),"Conversa sem agendamento",IF(OR(E4352&gt;TODAY(),F4352&gt;TODAY()),"Verificar evento futuro","OK"))))))</f>
        <v/>
      </c>
    </row>
    <row r="4353" spans="9:12">
      <c r="I4353" s="5">
        <f>IF(OR(A4353="",B4353=""),"",B4353-WEEKDAY(B4353,2)+1)</f>
        <v/>
      </c>
      <c r="J4353" s="5">
        <f>IF(I4353="","",I4353+6)</f>
        <v/>
      </c>
      <c r="K4353" s="6">
        <f>IF(OR(A4353="",B4353=""),"",DATE(YEAR(B4353),MONTH(B4353),1))</f>
        <v/>
      </c>
      <c r="L4353" s="7">
        <f>IF(COUNTA(A4353,B4353)=0,"",IF(OR(A4353="",B4353=""),"Preencher CPF e entrada",IF(COUNTIFS($A$12:$A$5011,A4353,$B$12:$B$5011,B4353)&gt;1,"CPF + dia duplicado",IF(OR(AND(E4353&lt;&gt;"",E4353&lt;B4353),AND(F4353&lt;&gt;"",F4353&lt;B4353)),"Evento anterior à entrada",IF(AND(F4353&lt;&gt;"",E4353=""),"Conversa sem agendamento",IF(OR(E4353&gt;TODAY(),F4353&gt;TODAY()),"Verificar evento futuro","OK"))))))</f>
        <v/>
      </c>
    </row>
    <row r="4354" spans="9:12">
      <c r="I4354" s="5">
        <f>IF(OR(A4354="",B4354=""),"",B4354-WEEKDAY(B4354,2)+1)</f>
        <v/>
      </c>
      <c r="J4354" s="5">
        <f>IF(I4354="","",I4354+6)</f>
        <v/>
      </c>
      <c r="K4354" s="6">
        <f>IF(OR(A4354="",B4354=""),"",DATE(YEAR(B4354),MONTH(B4354),1))</f>
        <v/>
      </c>
      <c r="L4354" s="7">
        <f>IF(COUNTA(A4354,B4354)=0,"",IF(OR(A4354="",B4354=""),"Preencher CPF e entrada",IF(COUNTIFS($A$12:$A$5011,A4354,$B$12:$B$5011,B4354)&gt;1,"CPF + dia duplicado",IF(OR(AND(E4354&lt;&gt;"",E4354&lt;B4354),AND(F4354&lt;&gt;"",F4354&lt;B4354)),"Evento anterior à entrada",IF(AND(F4354&lt;&gt;"",E4354=""),"Conversa sem agendamento",IF(OR(E4354&gt;TODAY(),F4354&gt;TODAY()),"Verificar evento futuro","OK"))))))</f>
        <v/>
      </c>
    </row>
    <row r="4355" spans="9:12">
      <c r="I4355" s="5">
        <f>IF(OR(A4355="",B4355=""),"",B4355-WEEKDAY(B4355,2)+1)</f>
        <v/>
      </c>
      <c r="J4355" s="5">
        <f>IF(I4355="","",I4355+6)</f>
        <v/>
      </c>
      <c r="K4355" s="6">
        <f>IF(OR(A4355="",B4355=""),"",DATE(YEAR(B4355),MONTH(B4355),1))</f>
        <v/>
      </c>
      <c r="L4355" s="7">
        <f>IF(COUNTA(A4355,B4355)=0,"",IF(OR(A4355="",B4355=""),"Preencher CPF e entrada",IF(COUNTIFS($A$12:$A$5011,A4355,$B$12:$B$5011,B4355)&gt;1,"CPF + dia duplicado",IF(OR(AND(E4355&lt;&gt;"",E4355&lt;B4355),AND(F4355&lt;&gt;"",F4355&lt;B4355)),"Evento anterior à entrada",IF(AND(F4355&lt;&gt;"",E4355=""),"Conversa sem agendamento",IF(OR(E4355&gt;TODAY(),F4355&gt;TODAY()),"Verificar evento futuro","OK"))))))</f>
        <v/>
      </c>
    </row>
    <row r="4356" spans="9:12">
      <c r="I4356" s="5">
        <f>IF(OR(A4356="",B4356=""),"",B4356-WEEKDAY(B4356,2)+1)</f>
        <v/>
      </c>
      <c r="J4356" s="5">
        <f>IF(I4356="","",I4356+6)</f>
        <v/>
      </c>
      <c r="K4356" s="6">
        <f>IF(OR(A4356="",B4356=""),"",DATE(YEAR(B4356),MONTH(B4356),1))</f>
        <v/>
      </c>
      <c r="L4356" s="7">
        <f>IF(COUNTA(A4356,B4356)=0,"",IF(OR(A4356="",B4356=""),"Preencher CPF e entrada",IF(COUNTIFS($A$12:$A$5011,A4356,$B$12:$B$5011,B4356)&gt;1,"CPF + dia duplicado",IF(OR(AND(E4356&lt;&gt;"",E4356&lt;B4356),AND(F4356&lt;&gt;"",F4356&lt;B4356)),"Evento anterior à entrada",IF(AND(F4356&lt;&gt;"",E4356=""),"Conversa sem agendamento",IF(OR(E4356&gt;TODAY(),F4356&gt;TODAY()),"Verificar evento futuro","OK"))))))</f>
        <v/>
      </c>
    </row>
    <row r="4357" spans="9:12">
      <c r="I4357" s="5">
        <f>IF(OR(A4357="",B4357=""),"",B4357-WEEKDAY(B4357,2)+1)</f>
        <v/>
      </c>
      <c r="J4357" s="5">
        <f>IF(I4357="","",I4357+6)</f>
        <v/>
      </c>
      <c r="K4357" s="6">
        <f>IF(OR(A4357="",B4357=""),"",DATE(YEAR(B4357),MONTH(B4357),1))</f>
        <v/>
      </c>
      <c r="L4357" s="7">
        <f>IF(COUNTA(A4357,B4357)=0,"",IF(OR(A4357="",B4357=""),"Preencher CPF e entrada",IF(COUNTIFS($A$12:$A$5011,A4357,$B$12:$B$5011,B4357)&gt;1,"CPF + dia duplicado",IF(OR(AND(E4357&lt;&gt;"",E4357&lt;B4357),AND(F4357&lt;&gt;"",F4357&lt;B4357)),"Evento anterior à entrada",IF(AND(F4357&lt;&gt;"",E4357=""),"Conversa sem agendamento",IF(OR(E4357&gt;TODAY(),F4357&gt;TODAY()),"Verificar evento futuro","OK"))))))</f>
        <v/>
      </c>
    </row>
    <row r="4358" spans="9:12">
      <c r="I4358" s="5">
        <f>IF(OR(A4358="",B4358=""),"",B4358-WEEKDAY(B4358,2)+1)</f>
        <v/>
      </c>
      <c r="J4358" s="5">
        <f>IF(I4358="","",I4358+6)</f>
        <v/>
      </c>
      <c r="K4358" s="6">
        <f>IF(OR(A4358="",B4358=""),"",DATE(YEAR(B4358),MONTH(B4358),1))</f>
        <v/>
      </c>
      <c r="L4358" s="7">
        <f>IF(COUNTA(A4358,B4358)=0,"",IF(OR(A4358="",B4358=""),"Preencher CPF e entrada",IF(COUNTIFS($A$12:$A$5011,A4358,$B$12:$B$5011,B4358)&gt;1,"CPF + dia duplicado",IF(OR(AND(E4358&lt;&gt;"",E4358&lt;B4358),AND(F4358&lt;&gt;"",F4358&lt;B4358)),"Evento anterior à entrada",IF(AND(F4358&lt;&gt;"",E4358=""),"Conversa sem agendamento",IF(OR(E4358&gt;TODAY(),F4358&gt;TODAY()),"Verificar evento futuro","OK"))))))</f>
        <v/>
      </c>
    </row>
    <row r="4359" spans="9:12">
      <c r="I4359" s="5">
        <f>IF(OR(A4359="",B4359=""),"",B4359-WEEKDAY(B4359,2)+1)</f>
        <v/>
      </c>
      <c r="J4359" s="5">
        <f>IF(I4359="","",I4359+6)</f>
        <v/>
      </c>
      <c r="K4359" s="6">
        <f>IF(OR(A4359="",B4359=""),"",DATE(YEAR(B4359),MONTH(B4359),1))</f>
        <v/>
      </c>
      <c r="L4359" s="7">
        <f>IF(COUNTA(A4359,B4359)=0,"",IF(OR(A4359="",B4359=""),"Preencher CPF e entrada",IF(COUNTIFS($A$12:$A$5011,A4359,$B$12:$B$5011,B4359)&gt;1,"CPF + dia duplicado",IF(OR(AND(E4359&lt;&gt;"",E4359&lt;B4359),AND(F4359&lt;&gt;"",F4359&lt;B4359)),"Evento anterior à entrada",IF(AND(F4359&lt;&gt;"",E4359=""),"Conversa sem agendamento",IF(OR(E4359&gt;TODAY(),F4359&gt;TODAY()),"Verificar evento futuro","OK"))))))</f>
        <v/>
      </c>
    </row>
    <row r="4360" spans="9:12">
      <c r="I4360" s="5">
        <f>IF(OR(A4360="",B4360=""),"",B4360-WEEKDAY(B4360,2)+1)</f>
        <v/>
      </c>
      <c r="J4360" s="5">
        <f>IF(I4360="","",I4360+6)</f>
        <v/>
      </c>
      <c r="K4360" s="6">
        <f>IF(OR(A4360="",B4360=""),"",DATE(YEAR(B4360),MONTH(B4360),1))</f>
        <v/>
      </c>
      <c r="L4360" s="7">
        <f>IF(COUNTA(A4360,B4360)=0,"",IF(OR(A4360="",B4360=""),"Preencher CPF e entrada",IF(COUNTIFS($A$12:$A$5011,A4360,$B$12:$B$5011,B4360)&gt;1,"CPF + dia duplicado",IF(OR(AND(E4360&lt;&gt;"",E4360&lt;B4360),AND(F4360&lt;&gt;"",F4360&lt;B4360)),"Evento anterior à entrada",IF(AND(F4360&lt;&gt;"",E4360=""),"Conversa sem agendamento",IF(OR(E4360&gt;TODAY(),F4360&gt;TODAY()),"Verificar evento futuro","OK"))))))</f>
        <v/>
      </c>
    </row>
    <row r="4361" spans="9:12">
      <c r="I4361" s="5">
        <f>IF(OR(A4361="",B4361=""),"",B4361-WEEKDAY(B4361,2)+1)</f>
        <v/>
      </c>
      <c r="J4361" s="5">
        <f>IF(I4361="","",I4361+6)</f>
        <v/>
      </c>
      <c r="K4361" s="6">
        <f>IF(OR(A4361="",B4361=""),"",DATE(YEAR(B4361),MONTH(B4361),1))</f>
        <v/>
      </c>
      <c r="L4361" s="7">
        <f>IF(COUNTA(A4361,B4361)=0,"",IF(OR(A4361="",B4361=""),"Preencher CPF e entrada",IF(COUNTIFS($A$12:$A$5011,A4361,$B$12:$B$5011,B4361)&gt;1,"CPF + dia duplicado",IF(OR(AND(E4361&lt;&gt;"",E4361&lt;B4361),AND(F4361&lt;&gt;"",F4361&lt;B4361)),"Evento anterior à entrada",IF(AND(F4361&lt;&gt;"",E4361=""),"Conversa sem agendamento",IF(OR(E4361&gt;TODAY(),F4361&gt;TODAY()),"Verificar evento futuro","OK"))))))</f>
        <v/>
      </c>
    </row>
    <row r="4362" spans="9:12">
      <c r="I4362" s="5">
        <f>IF(OR(A4362="",B4362=""),"",B4362-WEEKDAY(B4362,2)+1)</f>
        <v/>
      </c>
      <c r="J4362" s="5">
        <f>IF(I4362="","",I4362+6)</f>
        <v/>
      </c>
      <c r="K4362" s="6">
        <f>IF(OR(A4362="",B4362=""),"",DATE(YEAR(B4362),MONTH(B4362),1))</f>
        <v/>
      </c>
      <c r="L4362" s="7">
        <f>IF(COUNTA(A4362,B4362)=0,"",IF(OR(A4362="",B4362=""),"Preencher CPF e entrada",IF(COUNTIFS($A$12:$A$5011,A4362,$B$12:$B$5011,B4362)&gt;1,"CPF + dia duplicado",IF(OR(AND(E4362&lt;&gt;"",E4362&lt;B4362),AND(F4362&lt;&gt;"",F4362&lt;B4362)),"Evento anterior à entrada",IF(AND(F4362&lt;&gt;"",E4362=""),"Conversa sem agendamento",IF(OR(E4362&gt;TODAY(),F4362&gt;TODAY()),"Verificar evento futuro","OK"))))))</f>
        <v/>
      </c>
    </row>
    <row r="4363" spans="9:12">
      <c r="I4363" s="5">
        <f>IF(OR(A4363="",B4363=""),"",B4363-WEEKDAY(B4363,2)+1)</f>
        <v/>
      </c>
      <c r="J4363" s="5">
        <f>IF(I4363="","",I4363+6)</f>
        <v/>
      </c>
      <c r="K4363" s="6">
        <f>IF(OR(A4363="",B4363=""),"",DATE(YEAR(B4363),MONTH(B4363),1))</f>
        <v/>
      </c>
      <c r="L4363" s="7">
        <f>IF(COUNTA(A4363,B4363)=0,"",IF(OR(A4363="",B4363=""),"Preencher CPF e entrada",IF(COUNTIFS($A$12:$A$5011,A4363,$B$12:$B$5011,B4363)&gt;1,"CPF + dia duplicado",IF(OR(AND(E4363&lt;&gt;"",E4363&lt;B4363),AND(F4363&lt;&gt;"",F4363&lt;B4363)),"Evento anterior à entrada",IF(AND(F4363&lt;&gt;"",E4363=""),"Conversa sem agendamento",IF(OR(E4363&gt;TODAY(),F4363&gt;TODAY()),"Verificar evento futuro","OK"))))))</f>
        <v/>
      </c>
    </row>
    <row r="4364" spans="9:12">
      <c r="I4364" s="5">
        <f>IF(OR(A4364="",B4364=""),"",B4364-WEEKDAY(B4364,2)+1)</f>
        <v/>
      </c>
      <c r="J4364" s="5">
        <f>IF(I4364="","",I4364+6)</f>
        <v/>
      </c>
      <c r="K4364" s="6">
        <f>IF(OR(A4364="",B4364=""),"",DATE(YEAR(B4364),MONTH(B4364),1))</f>
        <v/>
      </c>
      <c r="L4364" s="7">
        <f>IF(COUNTA(A4364,B4364)=0,"",IF(OR(A4364="",B4364=""),"Preencher CPF e entrada",IF(COUNTIFS($A$12:$A$5011,A4364,$B$12:$B$5011,B4364)&gt;1,"CPF + dia duplicado",IF(OR(AND(E4364&lt;&gt;"",E4364&lt;B4364),AND(F4364&lt;&gt;"",F4364&lt;B4364)),"Evento anterior à entrada",IF(AND(F4364&lt;&gt;"",E4364=""),"Conversa sem agendamento",IF(OR(E4364&gt;TODAY(),F4364&gt;TODAY()),"Verificar evento futuro","OK"))))))</f>
        <v/>
      </c>
    </row>
    <row r="4365" spans="9:12">
      <c r="I4365" s="5">
        <f>IF(OR(A4365="",B4365=""),"",B4365-WEEKDAY(B4365,2)+1)</f>
        <v/>
      </c>
      <c r="J4365" s="5">
        <f>IF(I4365="","",I4365+6)</f>
        <v/>
      </c>
      <c r="K4365" s="6">
        <f>IF(OR(A4365="",B4365=""),"",DATE(YEAR(B4365),MONTH(B4365),1))</f>
        <v/>
      </c>
      <c r="L4365" s="7">
        <f>IF(COUNTA(A4365,B4365)=0,"",IF(OR(A4365="",B4365=""),"Preencher CPF e entrada",IF(COUNTIFS($A$12:$A$5011,A4365,$B$12:$B$5011,B4365)&gt;1,"CPF + dia duplicado",IF(OR(AND(E4365&lt;&gt;"",E4365&lt;B4365),AND(F4365&lt;&gt;"",F4365&lt;B4365)),"Evento anterior à entrada",IF(AND(F4365&lt;&gt;"",E4365=""),"Conversa sem agendamento",IF(OR(E4365&gt;TODAY(),F4365&gt;TODAY()),"Verificar evento futuro","OK"))))))</f>
        <v/>
      </c>
    </row>
    <row r="4366" spans="9:12">
      <c r="I4366" s="5">
        <f>IF(OR(A4366="",B4366=""),"",B4366-WEEKDAY(B4366,2)+1)</f>
        <v/>
      </c>
      <c r="J4366" s="5">
        <f>IF(I4366="","",I4366+6)</f>
        <v/>
      </c>
      <c r="K4366" s="6">
        <f>IF(OR(A4366="",B4366=""),"",DATE(YEAR(B4366),MONTH(B4366),1))</f>
        <v/>
      </c>
      <c r="L4366" s="7">
        <f>IF(COUNTA(A4366,B4366)=0,"",IF(OR(A4366="",B4366=""),"Preencher CPF e entrada",IF(COUNTIFS($A$12:$A$5011,A4366,$B$12:$B$5011,B4366)&gt;1,"CPF + dia duplicado",IF(OR(AND(E4366&lt;&gt;"",E4366&lt;B4366),AND(F4366&lt;&gt;"",F4366&lt;B4366)),"Evento anterior à entrada",IF(AND(F4366&lt;&gt;"",E4366=""),"Conversa sem agendamento",IF(OR(E4366&gt;TODAY(),F4366&gt;TODAY()),"Verificar evento futuro","OK"))))))</f>
        <v/>
      </c>
    </row>
    <row r="4367" spans="9:12">
      <c r="I4367" s="5">
        <f>IF(OR(A4367="",B4367=""),"",B4367-WEEKDAY(B4367,2)+1)</f>
        <v/>
      </c>
      <c r="J4367" s="5">
        <f>IF(I4367="","",I4367+6)</f>
        <v/>
      </c>
      <c r="K4367" s="6">
        <f>IF(OR(A4367="",B4367=""),"",DATE(YEAR(B4367),MONTH(B4367),1))</f>
        <v/>
      </c>
      <c r="L4367" s="7">
        <f>IF(COUNTA(A4367,B4367)=0,"",IF(OR(A4367="",B4367=""),"Preencher CPF e entrada",IF(COUNTIFS($A$12:$A$5011,A4367,$B$12:$B$5011,B4367)&gt;1,"CPF + dia duplicado",IF(OR(AND(E4367&lt;&gt;"",E4367&lt;B4367),AND(F4367&lt;&gt;"",F4367&lt;B4367)),"Evento anterior à entrada",IF(AND(F4367&lt;&gt;"",E4367=""),"Conversa sem agendamento",IF(OR(E4367&gt;TODAY(),F4367&gt;TODAY()),"Verificar evento futuro","OK"))))))</f>
        <v/>
      </c>
    </row>
    <row r="4368" spans="9:12">
      <c r="I4368" s="5">
        <f>IF(OR(A4368="",B4368=""),"",B4368-WEEKDAY(B4368,2)+1)</f>
        <v/>
      </c>
      <c r="J4368" s="5">
        <f>IF(I4368="","",I4368+6)</f>
        <v/>
      </c>
      <c r="K4368" s="6">
        <f>IF(OR(A4368="",B4368=""),"",DATE(YEAR(B4368),MONTH(B4368),1))</f>
        <v/>
      </c>
      <c r="L4368" s="7">
        <f>IF(COUNTA(A4368,B4368)=0,"",IF(OR(A4368="",B4368=""),"Preencher CPF e entrada",IF(COUNTIFS($A$12:$A$5011,A4368,$B$12:$B$5011,B4368)&gt;1,"CPF + dia duplicado",IF(OR(AND(E4368&lt;&gt;"",E4368&lt;B4368),AND(F4368&lt;&gt;"",F4368&lt;B4368)),"Evento anterior à entrada",IF(AND(F4368&lt;&gt;"",E4368=""),"Conversa sem agendamento",IF(OR(E4368&gt;TODAY(),F4368&gt;TODAY()),"Verificar evento futuro","OK"))))))</f>
        <v/>
      </c>
    </row>
    <row r="4369" spans="9:12">
      <c r="I4369" s="5">
        <f>IF(OR(A4369="",B4369=""),"",B4369-WEEKDAY(B4369,2)+1)</f>
        <v/>
      </c>
      <c r="J4369" s="5">
        <f>IF(I4369="","",I4369+6)</f>
        <v/>
      </c>
      <c r="K4369" s="6">
        <f>IF(OR(A4369="",B4369=""),"",DATE(YEAR(B4369),MONTH(B4369),1))</f>
        <v/>
      </c>
      <c r="L4369" s="7">
        <f>IF(COUNTA(A4369,B4369)=0,"",IF(OR(A4369="",B4369=""),"Preencher CPF e entrada",IF(COUNTIFS($A$12:$A$5011,A4369,$B$12:$B$5011,B4369)&gt;1,"CPF + dia duplicado",IF(OR(AND(E4369&lt;&gt;"",E4369&lt;B4369),AND(F4369&lt;&gt;"",F4369&lt;B4369)),"Evento anterior à entrada",IF(AND(F4369&lt;&gt;"",E4369=""),"Conversa sem agendamento",IF(OR(E4369&gt;TODAY(),F4369&gt;TODAY()),"Verificar evento futuro","OK"))))))</f>
        <v/>
      </c>
    </row>
    <row r="4370" spans="9:12">
      <c r="I4370" s="5">
        <f>IF(OR(A4370="",B4370=""),"",B4370-WEEKDAY(B4370,2)+1)</f>
        <v/>
      </c>
      <c r="J4370" s="5">
        <f>IF(I4370="","",I4370+6)</f>
        <v/>
      </c>
      <c r="K4370" s="6">
        <f>IF(OR(A4370="",B4370=""),"",DATE(YEAR(B4370),MONTH(B4370),1))</f>
        <v/>
      </c>
      <c r="L4370" s="7">
        <f>IF(COUNTA(A4370,B4370)=0,"",IF(OR(A4370="",B4370=""),"Preencher CPF e entrada",IF(COUNTIFS($A$12:$A$5011,A4370,$B$12:$B$5011,B4370)&gt;1,"CPF + dia duplicado",IF(OR(AND(E4370&lt;&gt;"",E4370&lt;B4370),AND(F4370&lt;&gt;"",F4370&lt;B4370)),"Evento anterior à entrada",IF(AND(F4370&lt;&gt;"",E4370=""),"Conversa sem agendamento",IF(OR(E4370&gt;TODAY(),F4370&gt;TODAY()),"Verificar evento futuro","OK"))))))</f>
        <v/>
      </c>
    </row>
    <row r="4371" spans="9:12">
      <c r="I4371" s="5">
        <f>IF(OR(A4371="",B4371=""),"",B4371-WEEKDAY(B4371,2)+1)</f>
        <v/>
      </c>
      <c r="J4371" s="5">
        <f>IF(I4371="","",I4371+6)</f>
        <v/>
      </c>
      <c r="K4371" s="6">
        <f>IF(OR(A4371="",B4371=""),"",DATE(YEAR(B4371),MONTH(B4371),1))</f>
        <v/>
      </c>
      <c r="L4371" s="7">
        <f>IF(COUNTA(A4371,B4371)=0,"",IF(OR(A4371="",B4371=""),"Preencher CPF e entrada",IF(COUNTIFS($A$12:$A$5011,A4371,$B$12:$B$5011,B4371)&gt;1,"CPF + dia duplicado",IF(OR(AND(E4371&lt;&gt;"",E4371&lt;B4371),AND(F4371&lt;&gt;"",F4371&lt;B4371)),"Evento anterior à entrada",IF(AND(F4371&lt;&gt;"",E4371=""),"Conversa sem agendamento",IF(OR(E4371&gt;TODAY(),F4371&gt;TODAY()),"Verificar evento futuro","OK"))))))</f>
        <v/>
      </c>
    </row>
    <row r="4372" spans="9:12">
      <c r="I4372" s="5">
        <f>IF(OR(A4372="",B4372=""),"",B4372-WEEKDAY(B4372,2)+1)</f>
        <v/>
      </c>
      <c r="J4372" s="5">
        <f>IF(I4372="","",I4372+6)</f>
        <v/>
      </c>
      <c r="K4372" s="6">
        <f>IF(OR(A4372="",B4372=""),"",DATE(YEAR(B4372),MONTH(B4372),1))</f>
        <v/>
      </c>
      <c r="L4372" s="7">
        <f>IF(COUNTA(A4372,B4372)=0,"",IF(OR(A4372="",B4372=""),"Preencher CPF e entrada",IF(COUNTIFS($A$12:$A$5011,A4372,$B$12:$B$5011,B4372)&gt;1,"CPF + dia duplicado",IF(OR(AND(E4372&lt;&gt;"",E4372&lt;B4372),AND(F4372&lt;&gt;"",F4372&lt;B4372)),"Evento anterior à entrada",IF(AND(F4372&lt;&gt;"",E4372=""),"Conversa sem agendamento",IF(OR(E4372&gt;TODAY(),F4372&gt;TODAY()),"Verificar evento futuro","OK"))))))</f>
        <v/>
      </c>
    </row>
    <row r="4373" spans="9:12">
      <c r="I4373" s="5">
        <f>IF(OR(A4373="",B4373=""),"",B4373-WEEKDAY(B4373,2)+1)</f>
        <v/>
      </c>
      <c r="J4373" s="5">
        <f>IF(I4373="","",I4373+6)</f>
        <v/>
      </c>
      <c r="K4373" s="6">
        <f>IF(OR(A4373="",B4373=""),"",DATE(YEAR(B4373),MONTH(B4373),1))</f>
        <v/>
      </c>
      <c r="L4373" s="7">
        <f>IF(COUNTA(A4373,B4373)=0,"",IF(OR(A4373="",B4373=""),"Preencher CPF e entrada",IF(COUNTIFS($A$12:$A$5011,A4373,$B$12:$B$5011,B4373)&gt;1,"CPF + dia duplicado",IF(OR(AND(E4373&lt;&gt;"",E4373&lt;B4373),AND(F4373&lt;&gt;"",F4373&lt;B4373)),"Evento anterior à entrada",IF(AND(F4373&lt;&gt;"",E4373=""),"Conversa sem agendamento",IF(OR(E4373&gt;TODAY(),F4373&gt;TODAY()),"Verificar evento futuro","OK"))))))</f>
        <v/>
      </c>
    </row>
    <row r="4374" spans="9:12">
      <c r="I4374" s="5">
        <f>IF(OR(A4374="",B4374=""),"",B4374-WEEKDAY(B4374,2)+1)</f>
        <v/>
      </c>
      <c r="J4374" s="5">
        <f>IF(I4374="","",I4374+6)</f>
        <v/>
      </c>
      <c r="K4374" s="6">
        <f>IF(OR(A4374="",B4374=""),"",DATE(YEAR(B4374),MONTH(B4374),1))</f>
        <v/>
      </c>
      <c r="L4374" s="7">
        <f>IF(COUNTA(A4374,B4374)=0,"",IF(OR(A4374="",B4374=""),"Preencher CPF e entrada",IF(COUNTIFS($A$12:$A$5011,A4374,$B$12:$B$5011,B4374)&gt;1,"CPF + dia duplicado",IF(OR(AND(E4374&lt;&gt;"",E4374&lt;B4374),AND(F4374&lt;&gt;"",F4374&lt;B4374)),"Evento anterior à entrada",IF(AND(F4374&lt;&gt;"",E4374=""),"Conversa sem agendamento",IF(OR(E4374&gt;TODAY(),F4374&gt;TODAY()),"Verificar evento futuro","OK"))))))</f>
        <v/>
      </c>
    </row>
    <row r="4375" spans="9:12">
      <c r="I4375" s="5">
        <f>IF(OR(A4375="",B4375=""),"",B4375-WEEKDAY(B4375,2)+1)</f>
        <v/>
      </c>
      <c r="J4375" s="5">
        <f>IF(I4375="","",I4375+6)</f>
        <v/>
      </c>
      <c r="K4375" s="6">
        <f>IF(OR(A4375="",B4375=""),"",DATE(YEAR(B4375),MONTH(B4375),1))</f>
        <v/>
      </c>
      <c r="L4375" s="7">
        <f>IF(COUNTA(A4375,B4375)=0,"",IF(OR(A4375="",B4375=""),"Preencher CPF e entrada",IF(COUNTIFS($A$12:$A$5011,A4375,$B$12:$B$5011,B4375)&gt;1,"CPF + dia duplicado",IF(OR(AND(E4375&lt;&gt;"",E4375&lt;B4375),AND(F4375&lt;&gt;"",F4375&lt;B4375)),"Evento anterior à entrada",IF(AND(F4375&lt;&gt;"",E4375=""),"Conversa sem agendamento",IF(OR(E4375&gt;TODAY(),F4375&gt;TODAY()),"Verificar evento futuro","OK"))))))</f>
        <v/>
      </c>
    </row>
    <row r="4376" spans="9:12">
      <c r="I4376" s="5">
        <f>IF(OR(A4376="",B4376=""),"",B4376-WEEKDAY(B4376,2)+1)</f>
        <v/>
      </c>
      <c r="J4376" s="5">
        <f>IF(I4376="","",I4376+6)</f>
        <v/>
      </c>
      <c r="K4376" s="6">
        <f>IF(OR(A4376="",B4376=""),"",DATE(YEAR(B4376),MONTH(B4376),1))</f>
        <v/>
      </c>
      <c r="L4376" s="7">
        <f>IF(COUNTA(A4376,B4376)=0,"",IF(OR(A4376="",B4376=""),"Preencher CPF e entrada",IF(COUNTIFS($A$12:$A$5011,A4376,$B$12:$B$5011,B4376)&gt;1,"CPF + dia duplicado",IF(OR(AND(E4376&lt;&gt;"",E4376&lt;B4376),AND(F4376&lt;&gt;"",F4376&lt;B4376)),"Evento anterior à entrada",IF(AND(F4376&lt;&gt;"",E4376=""),"Conversa sem agendamento",IF(OR(E4376&gt;TODAY(),F4376&gt;TODAY()),"Verificar evento futuro","OK"))))))</f>
        <v/>
      </c>
    </row>
    <row r="4377" spans="9:12">
      <c r="I4377" s="5">
        <f>IF(OR(A4377="",B4377=""),"",B4377-WEEKDAY(B4377,2)+1)</f>
        <v/>
      </c>
      <c r="J4377" s="5">
        <f>IF(I4377="","",I4377+6)</f>
        <v/>
      </c>
      <c r="K4377" s="6">
        <f>IF(OR(A4377="",B4377=""),"",DATE(YEAR(B4377),MONTH(B4377),1))</f>
        <v/>
      </c>
      <c r="L4377" s="7">
        <f>IF(COUNTA(A4377,B4377)=0,"",IF(OR(A4377="",B4377=""),"Preencher CPF e entrada",IF(COUNTIFS($A$12:$A$5011,A4377,$B$12:$B$5011,B4377)&gt;1,"CPF + dia duplicado",IF(OR(AND(E4377&lt;&gt;"",E4377&lt;B4377),AND(F4377&lt;&gt;"",F4377&lt;B4377)),"Evento anterior à entrada",IF(AND(F4377&lt;&gt;"",E4377=""),"Conversa sem agendamento",IF(OR(E4377&gt;TODAY(),F4377&gt;TODAY()),"Verificar evento futuro","OK"))))))</f>
        <v/>
      </c>
    </row>
    <row r="4378" spans="9:12">
      <c r="I4378" s="5">
        <f>IF(OR(A4378="",B4378=""),"",B4378-WEEKDAY(B4378,2)+1)</f>
        <v/>
      </c>
      <c r="J4378" s="5">
        <f>IF(I4378="","",I4378+6)</f>
        <v/>
      </c>
      <c r="K4378" s="6">
        <f>IF(OR(A4378="",B4378=""),"",DATE(YEAR(B4378),MONTH(B4378),1))</f>
        <v/>
      </c>
      <c r="L4378" s="7">
        <f>IF(COUNTA(A4378,B4378)=0,"",IF(OR(A4378="",B4378=""),"Preencher CPF e entrada",IF(COUNTIFS($A$12:$A$5011,A4378,$B$12:$B$5011,B4378)&gt;1,"CPF + dia duplicado",IF(OR(AND(E4378&lt;&gt;"",E4378&lt;B4378),AND(F4378&lt;&gt;"",F4378&lt;B4378)),"Evento anterior à entrada",IF(AND(F4378&lt;&gt;"",E4378=""),"Conversa sem agendamento",IF(OR(E4378&gt;TODAY(),F4378&gt;TODAY()),"Verificar evento futuro","OK"))))))</f>
        <v/>
      </c>
    </row>
    <row r="4379" spans="9:12">
      <c r="I4379" s="5">
        <f>IF(OR(A4379="",B4379=""),"",B4379-WEEKDAY(B4379,2)+1)</f>
        <v/>
      </c>
      <c r="J4379" s="5">
        <f>IF(I4379="","",I4379+6)</f>
        <v/>
      </c>
      <c r="K4379" s="6">
        <f>IF(OR(A4379="",B4379=""),"",DATE(YEAR(B4379),MONTH(B4379),1))</f>
        <v/>
      </c>
      <c r="L4379" s="7">
        <f>IF(COUNTA(A4379,B4379)=0,"",IF(OR(A4379="",B4379=""),"Preencher CPF e entrada",IF(COUNTIFS($A$12:$A$5011,A4379,$B$12:$B$5011,B4379)&gt;1,"CPF + dia duplicado",IF(OR(AND(E4379&lt;&gt;"",E4379&lt;B4379),AND(F4379&lt;&gt;"",F4379&lt;B4379)),"Evento anterior à entrada",IF(AND(F4379&lt;&gt;"",E4379=""),"Conversa sem agendamento",IF(OR(E4379&gt;TODAY(),F4379&gt;TODAY()),"Verificar evento futuro","OK"))))))</f>
        <v/>
      </c>
    </row>
    <row r="4380" spans="9:12">
      <c r="I4380" s="5">
        <f>IF(OR(A4380="",B4380=""),"",B4380-WEEKDAY(B4380,2)+1)</f>
        <v/>
      </c>
      <c r="J4380" s="5">
        <f>IF(I4380="","",I4380+6)</f>
        <v/>
      </c>
      <c r="K4380" s="6">
        <f>IF(OR(A4380="",B4380=""),"",DATE(YEAR(B4380),MONTH(B4380),1))</f>
        <v/>
      </c>
      <c r="L4380" s="7">
        <f>IF(COUNTA(A4380,B4380)=0,"",IF(OR(A4380="",B4380=""),"Preencher CPF e entrada",IF(COUNTIFS($A$12:$A$5011,A4380,$B$12:$B$5011,B4380)&gt;1,"CPF + dia duplicado",IF(OR(AND(E4380&lt;&gt;"",E4380&lt;B4380),AND(F4380&lt;&gt;"",F4380&lt;B4380)),"Evento anterior à entrada",IF(AND(F4380&lt;&gt;"",E4380=""),"Conversa sem agendamento",IF(OR(E4380&gt;TODAY(),F4380&gt;TODAY()),"Verificar evento futuro","OK"))))))</f>
        <v/>
      </c>
    </row>
    <row r="4381" spans="9:12">
      <c r="I4381" s="5">
        <f>IF(OR(A4381="",B4381=""),"",B4381-WEEKDAY(B4381,2)+1)</f>
        <v/>
      </c>
      <c r="J4381" s="5">
        <f>IF(I4381="","",I4381+6)</f>
        <v/>
      </c>
      <c r="K4381" s="6">
        <f>IF(OR(A4381="",B4381=""),"",DATE(YEAR(B4381),MONTH(B4381),1))</f>
        <v/>
      </c>
      <c r="L4381" s="7">
        <f>IF(COUNTA(A4381,B4381)=0,"",IF(OR(A4381="",B4381=""),"Preencher CPF e entrada",IF(COUNTIFS($A$12:$A$5011,A4381,$B$12:$B$5011,B4381)&gt;1,"CPF + dia duplicado",IF(OR(AND(E4381&lt;&gt;"",E4381&lt;B4381),AND(F4381&lt;&gt;"",F4381&lt;B4381)),"Evento anterior à entrada",IF(AND(F4381&lt;&gt;"",E4381=""),"Conversa sem agendamento",IF(OR(E4381&gt;TODAY(),F4381&gt;TODAY()),"Verificar evento futuro","OK"))))))</f>
        <v/>
      </c>
    </row>
    <row r="4382" spans="9:12">
      <c r="I4382" s="5">
        <f>IF(OR(A4382="",B4382=""),"",B4382-WEEKDAY(B4382,2)+1)</f>
        <v/>
      </c>
      <c r="J4382" s="5">
        <f>IF(I4382="","",I4382+6)</f>
        <v/>
      </c>
      <c r="K4382" s="6">
        <f>IF(OR(A4382="",B4382=""),"",DATE(YEAR(B4382),MONTH(B4382),1))</f>
        <v/>
      </c>
      <c r="L4382" s="7">
        <f>IF(COUNTA(A4382,B4382)=0,"",IF(OR(A4382="",B4382=""),"Preencher CPF e entrada",IF(COUNTIFS($A$12:$A$5011,A4382,$B$12:$B$5011,B4382)&gt;1,"CPF + dia duplicado",IF(OR(AND(E4382&lt;&gt;"",E4382&lt;B4382),AND(F4382&lt;&gt;"",F4382&lt;B4382)),"Evento anterior à entrada",IF(AND(F4382&lt;&gt;"",E4382=""),"Conversa sem agendamento",IF(OR(E4382&gt;TODAY(),F4382&gt;TODAY()),"Verificar evento futuro","OK"))))))</f>
        <v/>
      </c>
    </row>
    <row r="4383" spans="9:12">
      <c r="I4383" s="5">
        <f>IF(OR(A4383="",B4383=""),"",B4383-WEEKDAY(B4383,2)+1)</f>
        <v/>
      </c>
      <c r="J4383" s="5">
        <f>IF(I4383="","",I4383+6)</f>
        <v/>
      </c>
      <c r="K4383" s="6">
        <f>IF(OR(A4383="",B4383=""),"",DATE(YEAR(B4383),MONTH(B4383),1))</f>
        <v/>
      </c>
      <c r="L4383" s="7">
        <f>IF(COUNTA(A4383,B4383)=0,"",IF(OR(A4383="",B4383=""),"Preencher CPF e entrada",IF(COUNTIFS($A$12:$A$5011,A4383,$B$12:$B$5011,B4383)&gt;1,"CPF + dia duplicado",IF(OR(AND(E4383&lt;&gt;"",E4383&lt;B4383),AND(F4383&lt;&gt;"",F4383&lt;B4383)),"Evento anterior à entrada",IF(AND(F4383&lt;&gt;"",E4383=""),"Conversa sem agendamento",IF(OR(E4383&gt;TODAY(),F4383&gt;TODAY()),"Verificar evento futuro","OK"))))))</f>
        <v/>
      </c>
    </row>
    <row r="4384" spans="9:12">
      <c r="I4384" s="5">
        <f>IF(OR(A4384="",B4384=""),"",B4384-WEEKDAY(B4384,2)+1)</f>
        <v/>
      </c>
      <c r="J4384" s="5">
        <f>IF(I4384="","",I4384+6)</f>
        <v/>
      </c>
      <c r="K4384" s="6">
        <f>IF(OR(A4384="",B4384=""),"",DATE(YEAR(B4384),MONTH(B4384),1))</f>
        <v/>
      </c>
      <c r="L4384" s="7">
        <f>IF(COUNTA(A4384,B4384)=0,"",IF(OR(A4384="",B4384=""),"Preencher CPF e entrada",IF(COUNTIFS($A$12:$A$5011,A4384,$B$12:$B$5011,B4384)&gt;1,"CPF + dia duplicado",IF(OR(AND(E4384&lt;&gt;"",E4384&lt;B4384),AND(F4384&lt;&gt;"",F4384&lt;B4384)),"Evento anterior à entrada",IF(AND(F4384&lt;&gt;"",E4384=""),"Conversa sem agendamento",IF(OR(E4384&gt;TODAY(),F4384&gt;TODAY()),"Verificar evento futuro","OK"))))))</f>
        <v/>
      </c>
    </row>
    <row r="4385" spans="9:12">
      <c r="I4385" s="5">
        <f>IF(OR(A4385="",B4385=""),"",B4385-WEEKDAY(B4385,2)+1)</f>
        <v/>
      </c>
      <c r="J4385" s="5">
        <f>IF(I4385="","",I4385+6)</f>
        <v/>
      </c>
      <c r="K4385" s="6">
        <f>IF(OR(A4385="",B4385=""),"",DATE(YEAR(B4385),MONTH(B4385),1))</f>
        <v/>
      </c>
      <c r="L4385" s="7">
        <f>IF(COUNTA(A4385,B4385)=0,"",IF(OR(A4385="",B4385=""),"Preencher CPF e entrada",IF(COUNTIFS($A$12:$A$5011,A4385,$B$12:$B$5011,B4385)&gt;1,"CPF + dia duplicado",IF(OR(AND(E4385&lt;&gt;"",E4385&lt;B4385),AND(F4385&lt;&gt;"",F4385&lt;B4385)),"Evento anterior à entrada",IF(AND(F4385&lt;&gt;"",E4385=""),"Conversa sem agendamento",IF(OR(E4385&gt;TODAY(),F4385&gt;TODAY()),"Verificar evento futuro","OK"))))))</f>
        <v/>
      </c>
    </row>
    <row r="4386" spans="9:12">
      <c r="I4386" s="5">
        <f>IF(OR(A4386="",B4386=""),"",B4386-WEEKDAY(B4386,2)+1)</f>
        <v/>
      </c>
      <c r="J4386" s="5">
        <f>IF(I4386="","",I4386+6)</f>
        <v/>
      </c>
      <c r="K4386" s="6">
        <f>IF(OR(A4386="",B4386=""),"",DATE(YEAR(B4386),MONTH(B4386),1))</f>
        <v/>
      </c>
      <c r="L4386" s="7">
        <f>IF(COUNTA(A4386,B4386)=0,"",IF(OR(A4386="",B4386=""),"Preencher CPF e entrada",IF(COUNTIFS($A$12:$A$5011,A4386,$B$12:$B$5011,B4386)&gt;1,"CPF + dia duplicado",IF(OR(AND(E4386&lt;&gt;"",E4386&lt;B4386),AND(F4386&lt;&gt;"",F4386&lt;B4386)),"Evento anterior à entrada",IF(AND(F4386&lt;&gt;"",E4386=""),"Conversa sem agendamento",IF(OR(E4386&gt;TODAY(),F4386&gt;TODAY()),"Verificar evento futuro","OK"))))))</f>
        <v/>
      </c>
    </row>
    <row r="4387" spans="9:12">
      <c r="I4387" s="5">
        <f>IF(OR(A4387="",B4387=""),"",B4387-WEEKDAY(B4387,2)+1)</f>
        <v/>
      </c>
      <c r="J4387" s="5">
        <f>IF(I4387="","",I4387+6)</f>
        <v/>
      </c>
      <c r="K4387" s="6">
        <f>IF(OR(A4387="",B4387=""),"",DATE(YEAR(B4387),MONTH(B4387),1))</f>
        <v/>
      </c>
      <c r="L4387" s="7">
        <f>IF(COUNTA(A4387,B4387)=0,"",IF(OR(A4387="",B4387=""),"Preencher CPF e entrada",IF(COUNTIFS($A$12:$A$5011,A4387,$B$12:$B$5011,B4387)&gt;1,"CPF + dia duplicado",IF(OR(AND(E4387&lt;&gt;"",E4387&lt;B4387),AND(F4387&lt;&gt;"",F4387&lt;B4387)),"Evento anterior à entrada",IF(AND(F4387&lt;&gt;"",E4387=""),"Conversa sem agendamento",IF(OR(E4387&gt;TODAY(),F4387&gt;TODAY()),"Verificar evento futuro","OK"))))))</f>
        <v/>
      </c>
    </row>
    <row r="4388" spans="9:12">
      <c r="I4388" s="5">
        <f>IF(OR(A4388="",B4388=""),"",B4388-WEEKDAY(B4388,2)+1)</f>
        <v/>
      </c>
      <c r="J4388" s="5">
        <f>IF(I4388="","",I4388+6)</f>
        <v/>
      </c>
      <c r="K4388" s="6">
        <f>IF(OR(A4388="",B4388=""),"",DATE(YEAR(B4388),MONTH(B4388),1))</f>
        <v/>
      </c>
      <c r="L4388" s="7">
        <f>IF(COUNTA(A4388,B4388)=0,"",IF(OR(A4388="",B4388=""),"Preencher CPF e entrada",IF(COUNTIFS($A$12:$A$5011,A4388,$B$12:$B$5011,B4388)&gt;1,"CPF + dia duplicado",IF(OR(AND(E4388&lt;&gt;"",E4388&lt;B4388),AND(F4388&lt;&gt;"",F4388&lt;B4388)),"Evento anterior à entrada",IF(AND(F4388&lt;&gt;"",E4388=""),"Conversa sem agendamento",IF(OR(E4388&gt;TODAY(),F4388&gt;TODAY()),"Verificar evento futuro","OK"))))))</f>
        <v/>
      </c>
    </row>
    <row r="4389" spans="9:12">
      <c r="I4389" s="5">
        <f>IF(OR(A4389="",B4389=""),"",B4389-WEEKDAY(B4389,2)+1)</f>
        <v/>
      </c>
      <c r="J4389" s="5">
        <f>IF(I4389="","",I4389+6)</f>
        <v/>
      </c>
      <c r="K4389" s="6">
        <f>IF(OR(A4389="",B4389=""),"",DATE(YEAR(B4389),MONTH(B4389),1))</f>
        <v/>
      </c>
      <c r="L4389" s="7">
        <f>IF(COUNTA(A4389,B4389)=0,"",IF(OR(A4389="",B4389=""),"Preencher CPF e entrada",IF(COUNTIFS($A$12:$A$5011,A4389,$B$12:$B$5011,B4389)&gt;1,"CPF + dia duplicado",IF(OR(AND(E4389&lt;&gt;"",E4389&lt;B4389),AND(F4389&lt;&gt;"",F4389&lt;B4389)),"Evento anterior à entrada",IF(AND(F4389&lt;&gt;"",E4389=""),"Conversa sem agendamento",IF(OR(E4389&gt;TODAY(),F4389&gt;TODAY()),"Verificar evento futuro","OK"))))))</f>
        <v/>
      </c>
    </row>
    <row r="4390" spans="9:12">
      <c r="I4390" s="5">
        <f>IF(OR(A4390="",B4390=""),"",B4390-WEEKDAY(B4390,2)+1)</f>
        <v/>
      </c>
      <c r="J4390" s="5">
        <f>IF(I4390="","",I4390+6)</f>
        <v/>
      </c>
      <c r="K4390" s="6">
        <f>IF(OR(A4390="",B4390=""),"",DATE(YEAR(B4390),MONTH(B4390),1))</f>
        <v/>
      </c>
      <c r="L4390" s="7">
        <f>IF(COUNTA(A4390,B4390)=0,"",IF(OR(A4390="",B4390=""),"Preencher CPF e entrada",IF(COUNTIFS($A$12:$A$5011,A4390,$B$12:$B$5011,B4390)&gt;1,"CPF + dia duplicado",IF(OR(AND(E4390&lt;&gt;"",E4390&lt;B4390),AND(F4390&lt;&gt;"",F4390&lt;B4390)),"Evento anterior à entrada",IF(AND(F4390&lt;&gt;"",E4390=""),"Conversa sem agendamento",IF(OR(E4390&gt;TODAY(),F4390&gt;TODAY()),"Verificar evento futuro","OK"))))))</f>
        <v/>
      </c>
    </row>
    <row r="4391" spans="9:12">
      <c r="I4391" s="5">
        <f>IF(OR(A4391="",B4391=""),"",B4391-WEEKDAY(B4391,2)+1)</f>
        <v/>
      </c>
      <c r="J4391" s="5">
        <f>IF(I4391="","",I4391+6)</f>
        <v/>
      </c>
      <c r="K4391" s="6">
        <f>IF(OR(A4391="",B4391=""),"",DATE(YEAR(B4391),MONTH(B4391),1))</f>
        <v/>
      </c>
      <c r="L4391" s="7">
        <f>IF(COUNTA(A4391,B4391)=0,"",IF(OR(A4391="",B4391=""),"Preencher CPF e entrada",IF(COUNTIFS($A$12:$A$5011,A4391,$B$12:$B$5011,B4391)&gt;1,"CPF + dia duplicado",IF(OR(AND(E4391&lt;&gt;"",E4391&lt;B4391),AND(F4391&lt;&gt;"",F4391&lt;B4391)),"Evento anterior à entrada",IF(AND(F4391&lt;&gt;"",E4391=""),"Conversa sem agendamento",IF(OR(E4391&gt;TODAY(),F4391&gt;TODAY()),"Verificar evento futuro","OK"))))))</f>
        <v/>
      </c>
    </row>
    <row r="4392" spans="9:12">
      <c r="I4392" s="5">
        <f>IF(OR(A4392="",B4392=""),"",B4392-WEEKDAY(B4392,2)+1)</f>
        <v/>
      </c>
      <c r="J4392" s="5">
        <f>IF(I4392="","",I4392+6)</f>
        <v/>
      </c>
      <c r="K4392" s="6">
        <f>IF(OR(A4392="",B4392=""),"",DATE(YEAR(B4392),MONTH(B4392),1))</f>
        <v/>
      </c>
      <c r="L4392" s="7">
        <f>IF(COUNTA(A4392,B4392)=0,"",IF(OR(A4392="",B4392=""),"Preencher CPF e entrada",IF(COUNTIFS($A$12:$A$5011,A4392,$B$12:$B$5011,B4392)&gt;1,"CPF + dia duplicado",IF(OR(AND(E4392&lt;&gt;"",E4392&lt;B4392),AND(F4392&lt;&gt;"",F4392&lt;B4392)),"Evento anterior à entrada",IF(AND(F4392&lt;&gt;"",E4392=""),"Conversa sem agendamento",IF(OR(E4392&gt;TODAY(),F4392&gt;TODAY()),"Verificar evento futuro","OK"))))))</f>
        <v/>
      </c>
    </row>
    <row r="4393" spans="9:12">
      <c r="I4393" s="5">
        <f>IF(OR(A4393="",B4393=""),"",B4393-WEEKDAY(B4393,2)+1)</f>
        <v/>
      </c>
      <c r="J4393" s="5">
        <f>IF(I4393="","",I4393+6)</f>
        <v/>
      </c>
      <c r="K4393" s="6">
        <f>IF(OR(A4393="",B4393=""),"",DATE(YEAR(B4393),MONTH(B4393),1))</f>
        <v/>
      </c>
      <c r="L4393" s="7">
        <f>IF(COUNTA(A4393,B4393)=0,"",IF(OR(A4393="",B4393=""),"Preencher CPF e entrada",IF(COUNTIFS($A$12:$A$5011,A4393,$B$12:$B$5011,B4393)&gt;1,"CPF + dia duplicado",IF(OR(AND(E4393&lt;&gt;"",E4393&lt;B4393),AND(F4393&lt;&gt;"",F4393&lt;B4393)),"Evento anterior à entrada",IF(AND(F4393&lt;&gt;"",E4393=""),"Conversa sem agendamento",IF(OR(E4393&gt;TODAY(),F4393&gt;TODAY()),"Verificar evento futuro","OK"))))))</f>
        <v/>
      </c>
    </row>
    <row r="4394" spans="9:12">
      <c r="I4394" s="5">
        <f>IF(OR(A4394="",B4394=""),"",B4394-WEEKDAY(B4394,2)+1)</f>
        <v/>
      </c>
      <c r="J4394" s="5">
        <f>IF(I4394="","",I4394+6)</f>
        <v/>
      </c>
      <c r="K4394" s="6">
        <f>IF(OR(A4394="",B4394=""),"",DATE(YEAR(B4394),MONTH(B4394),1))</f>
        <v/>
      </c>
      <c r="L4394" s="7">
        <f>IF(COUNTA(A4394,B4394)=0,"",IF(OR(A4394="",B4394=""),"Preencher CPF e entrada",IF(COUNTIFS($A$12:$A$5011,A4394,$B$12:$B$5011,B4394)&gt;1,"CPF + dia duplicado",IF(OR(AND(E4394&lt;&gt;"",E4394&lt;B4394),AND(F4394&lt;&gt;"",F4394&lt;B4394)),"Evento anterior à entrada",IF(AND(F4394&lt;&gt;"",E4394=""),"Conversa sem agendamento",IF(OR(E4394&gt;TODAY(),F4394&gt;TODAY()),"Verificar evento futuro","OK"))))))</f>
        <v/>
      </c>
    </row>
    <row r="4395" spans="9:12">
      <c r="I4395" s="5">
        <f>IF(OR(A4395="",B4395=""),"",B4395-WEEKDAY(B4395,2)+1)</f>
        <v/>
      </c>
      <c r="J4395" s="5">
        <f>IF(I4395="","",I4395+6)</f>
        <v/>
      </c>
      <c r="K4395" s="6">
        <f>IF(OR(A4395="",B4395=""),"",DATE(YEAR(B4395),MONTH(B4395),1))</f>
        <v/>
      </c>
      <c r="L4395" s="7">
        <f>IF(COUNTA(A4395,B4395)=0,"",IF(OR(A4395="",B4395=""),"Preencher CPF e entrada",IF(COUNTIFS($A$12:$A$5011,A4395,$B$12:$B$5011,B4395)&gt;1,"CPF + dia duplicado",IF(OR(AND(E4395&lt;&gt;"",E4395&lt;B4395),AND(F4395&lt;&gt;"",F4395&lt;B4395)),"Evento anterior à entrada",IF(AND(F4395&lt;&gt;"",E4395=""),"Conversa sem agendamento",IF(OR(E4395&gt;TODAY(),F4395&gt;TODAY()),"Verificar evento futuro","OK"))))))</f>
        <v/>
      </c>
    </row>
    <row r="4396" spans="9:12">
      <c r="I4396" s="5">
        <f>IF(OR(A4396="",B4396=""),"",B4396-WEEKDAY(B4396,2)+1)</f>
        <v/>
      </c>
      <c r="J4396" s="5">
        <f>IF(I4396="","",I4396+6)</f>
        <v/>
      </c>
      <c r="K4396" s="6">
        <f>IF(OR(A4396="",B4396=""),"",DATE(YEAR(B4396),MONTH(B4396),1))</f>
        <v/>
      </c>
      <c r="L4396" s="7">
        <f>IF(COUNTA(A4396,B4396)=0,"",IF(OR(A4396="",B4396=""),"Preencher CPF e entrada",IF(COUNTIFS($A$12:$A$5011,A4396,$B$12:$B$5011,B4396)&gt;1,"CPF + dia duplicado",IF(OR(AND(E4396&lt;&gt;"",E4396&lt;B4396),AND(F4396&lt;&gt;"",F4396&lt;B4396)),"Evento anterior à entrada",IF(AND(F4396&lt;&gt;"",E4396=""),"Conversa sem agendamento",IF(OR(E4396&gt;TODAY(),F4396&gt;TODAY()),"Verificar evento futuro","OK"))))))</f>
        <v/>
      </c>
    </row>
    <row r="4397" spans="9:12">
      <c r="I4397" s="5">
        <f>IF(OR(A4397="",B4397=""),"",B4397-WEEKDAY(B4397,2)+1)</f>
        <v/>
      </c>
      <c r="J4397" s="5">
        <f>IF(I4397="","",I4397+6)</f>
        <v/>
      </c>
      <c r="K4397" s="6">
        <f>IF(OR(A4397="",B4397=""),"",DATE(YEAR(B4397),MONTH(B4397),1))</f>
        <v/>
      </c>
      <c r="L4397" s="7">
        <f>IF(COUNTA(A4397,B4397)=0,"",IF(OR(A4397="",B4397=""),"Preencher CPF e entrada",IF(COUNTIFS($A$12:$A$5011,A4397,$B$12:$B$5011,B4397)&gt;1,"CPF + dia duplicado",IF(OR(AND(E4397&lt;&gt;"",E4397&lt;B4397),AND(F4397&lt;&gt;"",F4397&lt;B4397)),"Evento anterior à entrada",IF(AND(F4397&lt;&gt;"",E4397=""),"Conversa sem agendamento",IF(OR(E4397&gt;TODAY(),F4397&gt;TODAY()),"Verificar evento futuro","OK"))))))</f>
        <v/>
      </c>
    </row>
    <row r="4398" spans="9:12">
      <c r="I4398" s="5">
        <f>IF(OR(A4398="",B4398=""),"",B4398-WEEKDAY(B4398,2)+1)</f>
        <v/>
      </c>
      <c r="J4398" s="5">
        <f>IF(I4398="","",I4398+6)</f>
        <v/>
      </c>
      <c r="K4398" s="6">
        <f>IF(OR(A4398="",B4398=""),"",DATE(YEAR(B4398),MONTH(B4398),1))</f>
        <v/>
      </c>
      <c r="L4398" s="7">
        <f>IF(COUNTA(A4398,B4398)=0,"",IF(OR(A4398="",B4398=""),"Preencher CPF e entrada",IF(COUNTIFS($A$12:$A$5011,A4398,$B$12:$B$5011,B4398)&gt;1,"CPF + dia duplicado",IF(OR(AND(E4398&lt;&gt;"",E4398&lt;B4398),AND(F4398&lt;&gt;"",F4398&lt;B4398)),"Evento anterior à entrada",IF(AND(F4398&lt;&gt;"",E4398=""),"Conversa sem agendamento",IF(OR(E4398&gt;TODAY(),F4398&gt;TODAY()),"Verificar evento futuro","OK"))))))</f>
        <v/>
      </c>
    </row>
    <row r="4399" spans="9:12">
      <c r="I4399" s="5">
        <f>IF(OR(A4399="",B4399=""),"",B4399-WEEKDAY(B4399,2)+1)</f>
        <v/>
      </c>
      <c r="J4399" s="5">
        <f>IF(I4399="","",I4399+6)</f>
        <v/>
      </c>
      <c r="K4399" s="6">
        <f>IF(OR(A4399="",B4399=""),"",DATE(YEAR(B4399),MONTH(B4399),1))</f>
        <v/>
      </c>
      <c r="L4399" s="7">
        <f>IF(COUNTA(A4399,B4399)=0,"",IF(OR(A4399="",B4399=""),"Preencher CPF e entrada",IF(COUNTIFS($A$12:$A$5011,A4399,$B$12:$B$5011,B4399)&gt;1,"CPF + dia duplicado",IF(OR(AND(E4399&lt;&gt;"",E4399&lt;B4399),AND(F4399&lt;&gt;"",F4399&lt;B4399)),"Evento anterior à entrada",IF(AND(F4399&lt;&gt;"",E4399=""),"Conversa sem agendamento",IF(OR(E4399&gt;TODAY(),F4399&gt;TODAY()),"Verificar evento futuro","OK"))))))</f>
        <v/>
      </c>
    </row>
    <row r="4400" spans="9:12">
      <c r="I4400" s="5">
        <f>IF(OR(A4400="",B4400=""),"",B4400-WEEKDAY(B4400,2)+1)</f>
        <v/>
      </c>
      <c r="J4400" s="5">
        <f>IF(I4400="","",I4400+6)</f>
        <v/>
      </c>
      <c r="K4400" s="6">
        <f>IF(OR(A4400="",B4400=""),"",DATE(YEAR(B4400),MONTH(B4400),1))</f>
        <v/>
      </c>
      <c r="L4400" s="7">
        <f>IF(COUNTA(A4400,B4400)=0,"",IF(OR(A4400="",B4400=""),"Preencher CPF e entrada",IF(COUNTIFS($A$12:$A$5011,A4400,$B$12:$B$5011,B4400)&gt;1,"CPF + dia duplicado",IF(OR(AND(E4400&lt;&gt;"",E4400&lt;B4400),AND(F4400&lt;&gt;"",F4400&lt;B4400)),"Evento anterior à entrada",IF(AND(F4400&lt;&gt;"",E4400=""),"Conversa sem agendamento",IF(OR(E4400&gt;TODAY(),F4400&gt;TODAY()),"Verificar evento futuro","OK"))))))</f>
        <v/>
      </c>
    </row>
    <row r="4401" spans="9:12">
      <c r="I4401" s="5">
        <f>IF(OR(A4401="",B4401=""),"",B4401-WEEKDAY(B4401,2)+1)</f>
        <v/>
      </c>
      <c r="J4401" s="5">
        <f>IF(I4401="","",I4401+6)</f>
        <v/>
      </c>
      <c r="K4401" s="6">
        <f>IF(OR(A4401="",B4401=""),"",DATE(YEAR(B4401),MONTH(B4401),1))</f>
        <v/>
      </c>
      <c r="L4401" s="7">
        <f>IF(COUNTA(A4401,B4401)=0,"",IF(OR(A4401="",B4401=""),"Preencher CPF e entrada",IF(COUNTIFS($A$12:$A$5011,A4401,$B$12:$B$5011,B4401)&gt;1,"CPF + dia duplicado",IF(OR(AND(E4401&lt;&gt;"",E4401&lt;B4401),AND(F4401&lt;&gt;"",F4401&lt;B4401)),"Evento anterior à entrada",IF(AND(F4401&lt;&gt;"",E4401=""),"Conversa sem agendamento",IF(OR(E4401&gt;TODAY(),F4401&gt;TODAY()),"Verificar evento futuro","OK"))))))</f>
        <v/>
      </c>
    </row>
    <row r="4402" spans="9:12">
      <c r="I4402" s="5">
        <f>IF(OR(A4402="",B4402=""),"",B4402-WEEKDAY(B4402,2)+1)</f>
        <v/>
      </c>
      <c r="J4402" s="5">
        <f>IF(I4402="","",I4402+6)</f>
        <v/>
      </c>
      <c r="K4402" s="6">
        <f>IF(OR(A4402="",B4402=""),"",DATE(YEAR(B4402),MONTH(B4402),1))</f>
        <v/>
      </c>
      <c r="L4402" s="7">
        <f>IF(COUNTA(A4402,B4402)=0,"",IF(OR(A4402="",B4402=""),"Preencher CPF e entrada",IF(COUNTIFS($A$12:$A$5011,A4402,$B$12:$B$5011,B4402)&gt;1,"CPF + dia duplicado",IF(OR(AND(E4402&lt;&gt;"",E4402&lt;B4402),AND(F4402&lt;&gt;"",F4402&lt;B4402)),"Evento anterior à entrada",IF(AND(F4402&lt;&gt;"",E4402=""),"Conversa sem agendamento",IF(OR(E4402&gt;TODAY(),F4402&gt;TODAY()),"Verificar evento futuro","OK"))))))</f>
        <v/>
      </c>
    </row>
    <row r="4403" spans="9:12">
      <c r="I4403" s="5">
        <f>IF(OR(A4403="",B4403=""),"",B4403-WEEKDAY(B4403,2)+1)</f>
        <v/>
      </c>
      <c r="J4403" s="5">
        <f>IF(I4403="","",I4403+6)</f>
        <v/>
      </c>
      <c r="K4403" s="6">
        <f>IF(OR(A4403="",B4403=""),"",DATE(YEAR(B4403),MONTH(B4403),1))</f>
        <v/>
      </c>
      <c r="L4403" s="7">
        <f>IF(COUNTA(A4403,B4403)=0,"",IF(OR(A4403="",B4403=""),"Preencher CPF e entrada",IF(COUNTIFS($A$12:$A$5011,A4403,$B$12:$B$5011,B4403)&gt;1,"CPF + dia duplicado",IF(OR(AND(E4403&lt;&gt;"",E4403&lt;B4403),AND(F4403&lt;&gt;"",F4403&lt;B4403)),"Evento anterior à entrada",IF(AND(F4403&lt;&gt;"",E4403=""),"Conversa sem agendamento",IF(OR(E4403&gt;TODAY(),F4403&gt;TODAY()),"Verificar evento futuro","OK"))))))</f>
        <v/>
      </c>
    </row>
    <row r="4404" spans="9:12">
      <c r="I4404" s="5">
        <f>IF(OR(A4404="",B4404=""),"",B4404-WEEKDAY(B4404,2)+1)</f>
        <v/>
      </c>
      <c r="J4404" s="5">
        <f>IF(I4404="","",I4404+6)</f>
        <v/>
      </c>
      <c r="K4404" s="6">
        <f>IF(OR(A4404="",B4404=""),"",DATE(YEAR(B4404),MONTH(B4404),1))</f>
        <v/>
      </c>
      <c r="L4404" s="7">
        <f>IF(COUNTA(A4404,B4404)=0,"",IF(OR(A4404="",B4404=""),"Preencher CPF e entrada",IF(COUNTIFS($A$12:$A$5011,A4404,$B$12:$B$5011,B4404)&gt;1,"CPF + dia duplicado",IF(OR(AND(E4404&lt;&gt;"",E4404&lt;B4404),AND(F4404&lt;&gt;"",F4404&lt;B4404)),"Evento anterior à entrada",IF(AND(F4404&lt;&gt;"",E4404=""),"Conversa sem agendamento",IF(OR(E4404&gt;TODAY(),F4404&gt;TODAY()),"Verificar evento futuro","OK"))))))</f>
        <v/>
      </c>
    </row>
    <row r="4405" spans="9:12">
      <c r="I4405" s="5">
        <f>IF(OR(A4405="",B4405=""),"",B4405-WEEKDAY(B4405,2)+1)</f>
        <v/>
      </c>
      <c r="J4405" s="5">
        <f>IF(I4405="","",I4405+6)</f>
        <v/>
      </c>
      <c r="K4405" s="6">
        <f>IF(OR(A4405="",B4405=""),"",DATE(YEAR(B4405),MONTH(B4405),1))</f>
        <v/>
      </c>
      <c r="L4405" s="7">
        <f>IF(COUNTA(A4405,B4405)=0,"",IF(OR(A4405="",B4405=""),"Preencher CPF e entrada",IF(COUNTIFS($A$12:$A$5011,A4405,$B$12:$B$5011,B4405)&gt;1,"CPF + dia duplicado",IF(OR(AND(E4405&lt;&gt;"",E4405&lt;B4405),AND(F4405&lt;&gt;"",F4405&lt;B4405)),"Evento anterior à entrada",IF(AND(F4405&lt;&gt;"",E4405=""),"Conversa sem agendamento",IF(OR(E4405&gt;TODAY(),F4405&gt;TODAY()),"Verificar evento futuro","OK"))))))</f>
        <v/>
      </c>
    </row>
    <row r="4406" spans="9:12">
      <c r="I4406" s="5">
        <f>IF(OR(A4406="",B4406=""),"",B4406-WEEKDAY(B4406,2)+1)</f>
        <v/>
      </c>
      <c r="J4406" s="5">
        <f>IF(I4406="","",I4406+6)</f>
        <v/>
      </c>
      <c r="K4406" s="6">
        <f>IF(OR(A4406="",B4406=""),"",DATE(YEAR(B4406),MONTH(B4406),1))</f>
        <v/>
      </c>
      <c r="L4406" s="7">
        <f>IF(COUNTA(A4406,B4406)=0,"",IF(OR(A4406="",B4406=""),"Preencher CPF e entrada",IF(COUNTIFS($A$12:$A$5011,A4406,$B$12:$B$5011,B4406)&gt;1,"CPF + dia duplicado",IF(OR(AND(E4406&lt;&gt;"",E4406&lt;B4406),AND(F4406&lt;&gt;"",F4406&lt;B4406)),"Evento anterior à entrada",IF(AND(F4406&lt;&gt;"",E4406=""),"Conversa sem agendamento",IF(OR(E4406&gt;TODAY(),F4406&gt;TODAY()),"Verificar evento futuro","OK"))))))</f>
        <v/>
      </c>
    </row>
    <row r="4407" spans="9:12">
      <c r="I4407" s="5">
        <f>IF(OR(A4407="",B4407=""),"",B4407-WEEKDAY(B4407,2)+1)</f>
        <v/>
      </c>
      <c r="J4407" s="5">
        <f>IF(I4407="","",I4407+6)</f>
        <v/>
      </c>
      <c r="K4407" s="6">
        <f>IF(OR(A4407="",B4407=""),"",DATE(YEAR(B4407),MONTH(B4407),1))</f>
        <v/>
      </c>
      <c r="L4407" s="7">
        <f>IF(COUNTA(A4407,B4407)=0,"",IF(OR(A4407="",B4407=""),"Preencher CPF e entrada",IF(COUNTIFS($A$12:$A$5011,A4407,$B$12:$B$5011,B4407)&gt;1,"CPF + dia duplicado",IF(OR(AND(E4407&lt;&gt;"",E4407&lt;B4407),AND(F4407&lt;&gt;"",F4407&lt;B4407)),"Evento anterior à entrada",IF(AND(F4407&lt;&gt;"",E4407=""),"Conversa sem agendamento",IF(OR(E4407&gt;TODAY(),F4407&gt;TODAY()),"Verificar evento futuro","OK"))))))</f>
        <v/>
      </c>
    </row>
    <row r="4408" spans="9:12">
      <c r="I4408" s="5">
        <f>IF(OR(A4408="",B4408=""),"",B4408-WEEKDAY(B4408,2)+1)</f>
        <v/>
      </c>
      <c r="J4408" s="5">
        <f>IF(I4408="","",I4408+6)</f>
        <v/>
      </c>
      <c r="K4408" s="6">
        <f>IF(OR(A4408="",B4408=""),"",DATE(YEAR(B4408),MONTH(B4408),1))</f>
        <v/>
      </c>
      <c r="L4408" s="7">
        <f>IF(COUNTA(A4408,B4408)=0,"",IF(OR(A4408="",B4408=""),"Preencher CPF e entrada",IF(COUNTIFS($A$12:$A$5011,A4408,$B$12:$B$5011,B4408)&gt;1,"CPF + dia duplicado",IF(OR(AND(E4408&lt;&gt;"",E4408&lt;B4408),AND(F4408&lt;&gt;"",F4408&lt;B4408)),"Evento anterior à entrada",IF(AND(F4408&lt;&gt;"",E4408=""),"Conversa sem agendamento",IF(OR(E4408&gt;TODAY(),F4408&gt;TODAY()),"Verificar evento futuro","OK"))))))</f>
        <v/>
      </c>
    </row>
    <row r="4409" spans="9:12">
      <c r="I4409" s="5">
        <f>IF(OR(A4409="",B4409=""),"",B4409-WEEKDAY(B4409,2)+1)</f>
        <v/>
      </c>
      <c r="J4409" s="5">
        <f>IF(I4409="","",I4409+6)</f>
        <v/>
      </c>
      <c r="K4409" s="6">
        <f>IF(OR(A4409="",B4409=""),"",DATE(YEAR(B4409),MONTH(B4409),1))</f>
        <v/>
      </c>
      <c r="L4409" s="7">
        <f>IF(COUNTA(A4409,B4409)=0,"",IF(OR(A4409="",B4409=""),"Preencher CPF e entrada",IF(COUNTIFS($A$12:$A$5011,A4409,$B$12:$B$5011,B4409)&gt;1,"CPF + dia duplicado",IF(OR(AND(E4409&lt;&gt;"",E4409&lt;B4409),AND(F4409&lt;&gt;"",F4409&lt;B4409)),"Evento anterior à entrada",IF(AND(F4409&lt;&gt;"",E4409=""),"Conversa sem agendamento",IF(OR(E4409&gt;TODAY(),F4409&gt;TODAY()),"Verificar evento futuro","OK"))))))</f>
        <v/>
      </c>
    </row>
    <row r="4410" spans="9:12">
      <c r="I4410" s="5">
        <f>IF(OR(A4410="",B4410=""),"",B4410-WEEKDAY(B4410,2)+1)</f>
        <v/>
      </c>
      <c r="J4410" s="5">
        <f>IF(I4410="","",I4410+6)</f>
        <v/>
      </c>
      <c r="K4410" s="6">
        <f>IF(OR(A4410="",B4410=""),"",DATE(YEAR(B4410),MONTH(B4410),1))</f>
        <v/>
      </c>
      <c r="L4410" s="7">
        <f>IF(COUNTA(A4410,B4410)=0,"",IF(OR(A4410="",B4410=""),"Preencher CPF e entrada",IF(COUNTIFS($A$12:$A$5011,A4410,$B$12:$B$5011,B4410)&gt;1,"CPF + dia duplicado",IF(OR(AND(E4410&lt;&gt;"",E4410&lt;B4410),AND(F4410&lt;&gt;"",F4410&lt;B4410)),"Evento anterior à entrada",IF(AND(F4410&lt;&gt;"",E4410=""),"Conversa sem agendamento",IF(OR(E4410&gt;TODAY(),F4410&gt;TODAY()),"Verificar evento futuro","OK"))))))</f>
        <v/>
      </c>
    </row>
    <row r="4411" spans="9:12">
      <c r="I4411" s="5">
        <f>IF(OR(A4411="",B4411=""),"",B4411-WEEKDAY(B4411,2)+1)</f>
        <v/>
      </c>
      <c r="J4411" s="5">
        <f>IF(I4411="","",I4411+6)</f>
        <v/>
      </c>
      <c r="K4411" s="6">
        <f>IF(OR(A4411="",B4411=""),"",DATE(YEAR(B4411),MONTH(B4411),1))</f>
        <v/>
      </c>
      <c r="L4411" s="7">
        <f>IF(COUNTA(A4411,B4411)=0,"",IF(OR(A4411="",B4411=""),"Preencher CPF e entrada",IF(COUNTIFS($A$12:$A$5011,A4411,$B$12:$B$5011,B4411)&gt;1,"CPF + dia duplicado",IF(OR(AND(E4411&lt;&gt;"",E4411&lt;B4411),AND(F4411&lt;&gt;"",F4411&lt;B4411)),"Evento anterior à entrada",IF(AND(F4411&lt;&gt;"",E4411=""),"Conversa sem agendamento",IF(OR(E4411&gt;TODAY(),F4411&gt;TODAY()),"Verificar evento futuro","OK"))))))</f>
        <v/>
      </c>
    </row>
    <row r="4412" spans="9:12">
      <c r="I4412" s="5">
        <f>IF(OR(A4412="",B4412=""),"",B4412-WEEKDAY(B4412,2)+1)</f>
        <v/>
      </c>
      <c r="J4412" s="5">
        <f>IF(I4412="","",I4412+6)</f>
        <v/>
      </c>
      <c r="K4412" s="6">
        <f>IF(OR(A4412="",B4412=""),"",DATE(YEAR(B4412),MONTH(B4412),1))</f>
        <v/>
      </c>
      <c r="L4412" s="7">
        <f>IF(COUNTA(A4412,B4412)=0,"",IF(OR(A4412="",B4412=""),"Preencher CPF e entrada",IF(COUNTIFS($A$12:$A$5011,A4412,$B$12:$B$5011,B4412)&gt;1,"CPF + dia duplicado",IF(OR(AND(E4412&lt;&gt;"",E4412&lt;B4412),AND(F4412&lt;&gt;"",F4412&lt;B4412)),"Evento anterior à entrada",IF(AND(F4412&lt;&gt;"",E4412=""),"Conversa sem agendamento",IF(OR(E4412&gt;TODAY(),F4412&gt;TODAY()),"Verificar evento futuro","OK"))))))</f>
        <v/>
      </c>
    </row>
    <row r="4413" spans="9:12">
      <c r="I4413" s="5">
        <f>IF(OR(A4413="",B4413=""),"",B4413-WEEKDAY(B4413,2)+1)</f>
        <v/>
      </c>
      <c r="J4413" s="5">
        <f>IF(I4413="","",I4413+6)</f>
        <v/>
      </c>
      <c r="K4413" s="6">
        <f>IF(OR(A4413="",B4413=""),"",DATE(YEAR(B4413),MONTH(B4413),1))</f>
        <v/>
      </c>
      <c r="L4413" s="7">
        <f>IF(COUNTA(A4413,B4413)=0,"",IF(OR(A4413="",B4413=""),"Preencher CPF e entrada",IF(COUNTIFS($A$12:$A$5011,A4413,$B$12:$B$5011,B4413)&gt;1,"CPF + dia duplicado",IF(OR(AND(E4413&lt;&gt;"",E4413&lt;B4413),AND(F4413&lt;&gt;"",F4413&lt;B4413)),"Evento anterior à entrada",IF(AND(F4413&lt;&gt;"",E4413=""),"Conversa sem agendamento",IF(OR(E4413&gt;TODAY(),F4413&gt;TODAY()),"Verificar evento futuro","OK"))))))</f>
        <v/>
      </c>
    </row>
    <row r="4414" spans="9:12">
      <c r="I4414" s="5">
        <f>IF(OR(A4414="",B4414=""),"",B4414-WEEKDAY(B4414,2)+1)</f>
        <v/>
      </c>
      <c r="J4414" s="5">
        <f>IF(I4414="","",I4414+6)</f>
        <v/>
      </c>
      <c r="K4414" s="6">
        <f>IF(OR(A4414="",B4414=""),"",DATE(YEAR(B4414),MONTH(B4414),1))</f>
        <v/>
      </c>
      <c r="L4414" s="7">
        <f>IF(COUNTA(A4414,B4414)=0,"",IF(OR(A4414="",B4414=""),"Preencher CPF e entrada",IF(COUNTIFS($A$12:$A$5011,A4414,$B$12:$B$5011,B4414)&gt;1,"CPF + dia duplicado",IF(OR(AND(E4414&lt;&gt;"",E4414&lt;B4414),AND(F4414&lt;&gt;"",F4414&lt;B4414)),"Evento anterior à entrada",IF(AND(F4414&lt;&gt;"",E4414=""),"Conversa sem agendamento",IF(OR(E4414&gt;TODAY(),F4414&gt;TODAY()),"Verificar evento futuro","OK"))))))</f>
        <v/>
      </c>
    </row>
    <row r="4415" spans="9:12">
      <c r="I4415" s="5">
        <f>IF(OR(A4415="",B4415=""),"",B4415-WEEKDAY(B4415,2)+1)</f>
        <v/>
      </c>
      <c r="J4415" s="5">
        <f>IF(I4415="","",I4415+6)</f>
        <v/>
      </c>
      <c r="K4415" s="6">
        <f>IF(OR(A4415="",B4415=""),"",DATE(YEAR(B4415),MONTH(B4415),1))</f>
        <v/>
      </c>
      <c r="L4415" s="7">
        <f>IF(COUNTA(A4415,B4415)=0,"",IF(OR(A4415="",B4415=""),"Preencher CPF e entrada",IF(COUNTIFS($A$12:$A$5011,A4415,$B$12:$B$5011,B4415)&gt;1,"CPF + dia duplicado",IF(OR(AND(E4415&lt;&gt;"",E4415&lt;B4415),AND(F4415&lt;&gt;"",F4415&lt;B4415)),"Evento anterior à entrada",IF(AND(F4415&lt;&gt;"",E4415=""),"Conversa sem agendamento",IF(OR(E4415&gt;TODAY(),F4415&gt;TODAY()),"Verificar evento futuro","OK"))))))</f>
        <v/>
      </c>
    </row>
    <row r="4416" spans="9:12">
      <c r="I4416" s="5">
        <f>IF(OR(A4416="",B4416=""),"",B4416-WEEKDAY(B4416,2)+1)</f>
        <v/>
      </c>
      <c r="J4416" s="5">
        <f>IF(I4416="","",I4416+6)</f>
        <v/>
      </c>
      <c r="K4416" s="6">
        <f>IF(OR(A4416="",B4416=""),"",DATE(YEAR(B4416),MONTH(B4416),1))</f>
        <v/>
      </c>
      <c r="L4416" s="7">
        <f>IF(COUNTA(A4416,B4416)=0,"",IF(OR(A4416="",B4416=""),"Preencher CPF e entrada",IF(COUNTIFS($A$12:$A$5011,A4416,$B$12:$B$5011,B4416)&gt;1,"CPF + dia duplicado",IF(OR(AND(E4416&lt;&gt;"",E4416&lt;B4416),AND(F4416&lt;&gt;"",F4416&lt;B4416)),"Evento anterior à entrada",IF(AND(F4416&lt;&gt;"",E4416=""),"Conversa sem agendamento",IF(OR(E4416&gt;TODAY(),F4416&gt;TODAY()),"Verificar evento futuro","OK"))))))</f>
        <v/>
      </c>
    </row>
    <row r="4417" spans="9:12">
      <c r="I4417" s="5">
        <f>IF(OR(A4417="",B4417=""),"",B4417-WEEKDAY(B4417,2)+1)</f>
        <v/>
      </c>
      <c r="J4417" s="5">
        <f>IF(I4417="","",I4417+6)</f>
        <v/>
      </c>
      <c r="K4417" s="6">
        <f>IF(OR(A4417="",B4417=""),"",DATE(YEAR(B4417),MONTH(B4417),1))</f>
        <v/>
      </c>
      <c r="L4417" s="7">
        <f>IF(COUNTA(A4417,B4417)=0,"",IF(OR(A4417="",B4417=""),"Preencher CPF e entrada",IF(COUNTIFS($A$12:$A$5011,A4417,$B$12:$B$5011,B4417)&gt;1,"CPF + dia duplicado",IF(OR(AND(E4417&lt;&gt;"",E4417&lt;B4417),AND(F4417&lt;&gt;"",F4417&lt;B4417)),"Evento anterior à entrada",IF(AND(F4417&lt;&gt;"",E4417=""),"Conversa sem agendamento",IF(OR(E4417&gt;TODAY(),F4417&gt;TODAY()),"Verificar evento futuro","OK"))))))</f>
        <v/>
      </c>
    </row>
    <row r="4418" spans="9:12">
      <c r="I4418" s="5">
        <f>IF(OR(A4418="",B4418=""),"",B4418-WEEKDAY(B4418,2)+1)</f>
        <v/>
      </c>
      <c r="J4418" s="5">
        <f>IF(I4418="","",I4418+6)</f>
        <v/>
      </c>
      <c r="K4418" s="6">
        <f>IF(OR(A4418="",B4418=""),"",DATE(YEAR(B4418),MONTH(B4418),1))</f>
        <v/>
      </c>
      <c r="L4418" s="7">
        <f>IF(COUNTA(A4418,B4418)=0,"",IF(OR(A4418="",B4418=""),"Preencher CPF e entrada",IF(COUNTIFS($A$12:$A$5011,A4418,$B$12:$B$5011,B4418)&gt;1,"CPF + dia duplicado",IF(OR(AND(E4418&lt;&gt;"",E4418&lt;B4418),AND(F4418&lt;&gt;"",F4418&lt;B4418)),"Evento anterior à entrada",IF(AND(F4418&lt;&gt;"",E4418=""),"Conversa sem agendamento",IF(OR(E4418&gt;TODAY(),F4418&gt;TODAY()),"Verificar evento futuro","OK"))))))</f>
        <v/>
      </c>
    </row>
    <row r="4419" spans="9:12">
      <c r="I4419" s="5">
        <f>IF(OR(A4419="",B4419=""),"",B4419-WEEKDAY(B4419,2)+1)</f>
        <v/>
      </c>
      <c r="J4419" s="5">
        <f>IF(I4419="","",I4419+6)</f>
        <v/>
      </c>
      <c r="K4419" s="6">
        <f>IF(OR(A4419="",B4419=""),"",DATE(YEAR(B4419),MONTH(B4419),1))</f>
        <v/>
      </c>
      <c r="L4419" s="7">
        <f>IF(COUNTA(A4419,B4419)=0,"",IF(OR(A4419="",B4419=""),"Preencher CPF e entrada",IF(COUNTIFS($A$12:$A$5011,A4419,$B$12:$B$5011,B4419)&gt;1,"CPF + dia duplicado",IF(OR(AND(E4419&lt;&gt;"",E4419&lt;B4419),AND(F4419&lt;&gt;"",F4419&lt;B4419)),"Evento anterior à entrada",IF(AND(F4419&lt;&gt;"",E4419=""),"Conversa sem agendamento",IF(OR(E4419&gt;TODAY(),F4419&gt;TODAY()),"Verificar evento futuro","OK"))))))</f>
        <v/>
      </c>
    </row>
    <row r="4420" spans="9:12">
      <c r="I4420" s="5">
        <f>IF(OR(A4420="",B4420=""),"",B4420-WEEKDAY(B4420,2)+1)</f>
        <v/>
      </c>
      <c r="J4420" s="5">
        <f>IF(I4420="","",I4420+6)</f>
        <v/>
      </c>
      <c r="K4420" s="6">
        <f>IF(OR(A4420="",B4420=""),"",DATE(YEAR(B4420),MONTH(B4420),1))</f>
        <v/>
      </c>
      <c r="L4420" s="7">
        <f>IF(COUNTA(A4420,B4420)=0,"",IF(OR(A4420="",B4420=""),"Preencher CPF e entrada",IF(COUNTIFS($A$12:$A$5011,A4420,$B$12:$B$5011,B4420)&gt;1,"CPF + dia duplicado",IF(OR(AND(E4420&lt;&gt;"",E4420&lt;B4420),AND(F4420&lt;&gt;"",F4420&lt;B4420)),"Evento anterior à entrada",IF(AND(F4420&lt;&gt;"",E4420=""),"Conversa sem agendamento",IF(OR(E4420&gt;TODAY(),F4420&gt;TODAY()),"Verificar evento futuro","OK"))))))</f>
        <v/>
      </c>
    </row>
    <row r="4421" spans="9:12">
      <c r="I4421" s="5">
        <f>IF(OR(A4421="",B4421=""),"",B4421-WEEKDAY(B4421,2)+1)</f>
        <v/>
      </c>
      <c r="J4421" s="5">
        <f>IF(I4421="","",I4421+6)</f>
        <v/>
      </c>
      <c r="K4421" s="6">
        <f>IF(OR(A4421="",B4421=""),"",DATE(YEAR(B4421),MONTH(B4421),1))</f>
        <v/>
      </c>
      <c r="L4421" s="7">
        <f>IF(COUNTA(A4421,B4421)=0,"",IF(OR(A4421="",B4421=""),"Preencher CPF e entrada",IF(COUNTIFS($A$12:$A$5011,A4421,$B$12:$B$5011,B4421)&gt;1,"CPF + dia duplicado",IF(OR(AND(E4421&lt;&gt;"",E4421&lt;B4421),AND(F4421&lt;&gt;"",F4421&lt;B4421)),"Evento anterior à entrada",IF(AND(F4421&lt;&gt;"",E4421=""),"Conversa sem agendamento",IF(OR(E4421&gt;TODAY(),F4421&gt;TODAY()),"Verificar evento futuro","OK"))))))</f>
        <v/>
      </c>
    </row>
    <row r="4422" spans="9:12">
      <c r="I4422" s="5">
        <f>IF(OR(A4422="",B4422=""),"",B4422-WEEKDAY(B4422,2)+1)</f>
        <v/>
      </c>
      <c r="J4422" s="5">
        <f>IF(I4422="","",I4422+6)</f>
        <v/>
      </c>
      <c r="K4422" s="6">
        <f>IF(OR(A4422="",B4422=""),"",DATE(YEAR(B4422),MONTH(B4422),1))</f>
        <v/>
      </c>
      <c r="L4422" s="7">
        <f>IF(COUNTA(A4422,B4422)=0,"",IF(OR(A4422="",B4422=""),"Preencher CPF e entrada",IF(COUNTIFS($A$12:$A$5011,A4422,$B$12:$B$5011,B4422)&gt;1,"CPF + dia duplicado",IF(OR(AND(E4422&lt;&gt;"",E4422&lt;B4422),AND(F4422&lt;&gt;"",F4422&lt;B4422)),"Evento anterior à entrada",IF(AND(F4422&lt;&gt;"",E4422=""),"Conversa sem agendamento",IF(OR(E4422&gt;TODAY(),F4422&gt;TODAY()),"Verificar evento futuro","OK"))))))</f>
        <v/>
      </c>
    </row>
    <row r="4423" spans="9:12">
      <c r="I4423" s="5">
        <f>IF(OR(A4423="",B4423=""),"",B4423-WEEKDAY(B4423,2)+1)</f>
        <v/>
      </c>
      <c r="J4423" s="5">
        <f>IF(I4423="","",I4423+6)</f>
        <v/>
      </c>
      <c r="K4423" s="6">
        <f>IF(OR(A4423="",B4423=""),"",DATE(YEAR(B4423),MONTH(B4423),1))</f>
        <v/>
      </c>
      <c r="L4423" s="7">
        <f>IF(COUNTA(A4423,B4423)=0,"",IF(OR(A4423="",B4423=""),"Preencher CPF e entrada",IF(COUNTIFS($A$12:$A$5011,A4423,$B$12:$B$5011,B4423)&gt;1,"CPF + dia duplicado",IF(OR(AND(E4423&lt;&gt;"",E4423&lt;B4423),AND(F4423&lt;&gt;"",F4423&lt;B4423)),"Evento anterior à entrada",IF(AND(F4423&lt;&gt;"",E4423=""),"Conversa sem agendamento",IF(OR(E4423&gt;TODAY(),F4423&gt;TODAY()),"Verificar evento futuro","OK"))))))</f>
        <v/>
      </c>
    </row>
    <row r="4424" spans="9:12">
      <c r="I4424" s="5">
        <f>IF(OR(A4424="",B4424=""),"",B4424-WEEKDAY(B4424,2)+1)</f>
        <v/>
      </c>
      <c r="J4424" s="5">
        <f>IF(I4424="","",I4424+6)</f>
        <v/>
      </c>
      <c r="K4424" s="6">
        <f>IF(OR(A4424="",B4424=""),"",DATE(YEAR(B4424),MONTH(B4424),1))</f>
        <v/>
      </c>
      <c r="L4424" s="7">
        <f>IF(COUNTA(A4424,B4424)=0,"",IF(OR(A4424="",B4424=""),"Preencher CPF e entrada",IF(COUNTIFS($A$12:$A$5011,A4424,$B$12:$B$5011,B4424)&gt;1,"CPF + dia duplicado",IF(OR(AND(E4424&lt;&gt;"",E4424&lt;B4424),AND(F4424&lt;&gt;"",F4424&lt;B4424)),"Evento anterior à entrada",IF(AND(F4424&lt;&gt;"",E4424=""),"Conversa sem agendamento",IF(OR(E4424&gt;TODAY(),F4424&gt;TODAY()),"Verificar evento futuro","OK"))))))</f>
        <v/>
      </c>
    </row>
    <row r="4425" spans="9:12">
      <c r="I4425" s="5">
        <f>IF(OR(A4425="",B4425=""),"",B4425-WEEKDAY(B4425,2)+1)</f>
        <v/>
      </c>
      <c r="J4425" s="5">
        <f>IF(I4425="","",I4425+6)</f>
        <v/>
      </c>
      <c r="K4425" s="6">
        <f>IF(OR(A4425="",B4425=""),"",DATE(YEAR(B4425),MONTH(B4425),1))</f>
        <v/>
      </c>
      <c r="L4425" s="7">
        <f>IF(COUNTA(A4425,B4425)=0,"",IF(OR(A4425="",B4425=""),"Preencher CPF e entrada",IF(COUNTIFS($A$12:$A$5011,A4425,$B$12:$B$5011,B4425)&gt;1,"CPF + dia duplicado",IF(OR(AND(E4425&lt;&gt;"",E4425&lt;B4425),AND(F4425&lt;&gt;"",F4425&lt;B4425)),"Evento anterior à entrada",IF(AND(F4425&lt;&gt;"",E4425=""),"Conversa sem agendamento",IF(OR(E4425&gt;TODAY(),F4425&gt;TODAY()),"Verificar evento futuro","OK"))))))</f>
        <v/>
      </c>
    </row>
    <row r="4426" spans="9:12">
      <c r="I4426" s="5">
        <f>IF(OR(A4426="",B4426=""),"",B4426-WEEKDAY(B4426,2)+1)</f>
        <v/>
      </c>
      <c r="J4426" s="5">
        <f>IF(I4426="","",I4426+6)</f>
        <v/>
      </c>
      <c r="K4426" s="6">
        <f>IF(OR(A4426="",B4426=""),"",DATE(YEAR(B4426),MONTH(B4426),1))</f>
        <v/>
      </c>
      <c r="L4426" s="7">
        <f>IF(COUNTA(A4426,B4426)=0,"",IF(OR(A4426="",B4426=""),"Preencher CPF e entrada",IF(COUNTIFS($A$12:$A$5011,A4426,$B$12:$B$5011,B4426)&gt;1,"CPF + dia duplicado",IF(OR(AND(E4426&lt;&gt;"",E4426&lt;B4426),AND(F4426&lt;&gt;"",F4426&lt;B4426)),"Evento anterior à entrada",IF(AND(F4426&lt;&gt;"",E4426=""),"Conversa sem agendamento",IF(OR(E4426&gt;TODAY(),F4426&gt;TODAY()),"Verificar evento futuro","OK"))))))</f>
        <v/>
      </c>
    </row>
    <row r="4427" spans="9:12">
      <c r="I4427" s="5">
        <f>IF(OR(A4427="",B4427=""),"",B4427-WEEKDAY(B4427,2)+1)</f>
        <v/>
      </c>
      <c r="J4427" s="5">
        <f>IF(I4427="","",I4427+6)</f>
        <v/>
      </c>
      <c r="K4427" s="6">
        <f>IF(OR(A4427="",B4427=""),"",DATE(YEAR(B4427),MONTH(B4427),1))</f>
        <v/>
      </c>
      <c r="L4427" s="7">
        <f>IF(COUNTA(A4427,B4427)=0,"",IF(OR(A4427="",B4427=""),"Preencher CPF e entrada",IF(COUNTIFS($A$12:$A$5011,A4427,$B$12:$B$5011,B4427)&gt;1,"CPF + dia duplicado",IF(OR(AND(E4427&lt;&gt;"",E4427&lt;B4427),AND(F4427&lt;&gt;"",F4427&lt;B4427)),"Evento anterior à entrada",IF(AND(F4427&lt;&gt;"",E4427=""),"Conversa sem agendamento",IF(OR(E4427&gt;TODAY(),F4427&gt;TODAY()),"Verificar evento futuro","OK"))))))</f>
        <v/>
      </c>
    </row>
    <row r="4428" spans="9:12">
      <c r="I4428" s="5">
        <f>IF(OR(A4428="",B4428=""),"",B4428-WEEKDAY(B4428,2)+1)</f>
        <v/>
      </c>
      <c r="J4428" s="5">
        <f>IF(I4428="","",I4428+6)</f>
        <v/>
      </c>
      <c r="K4428" s="6">
        <f>IF(OR(A4428="",B4428=""),"",DATE(YEAR(B4428),MONTH(B4428),1))</f>
        <v/>
      </c>
      <c r="L4428" s="7">
        <f>IF(COUNTA(A4428,B4428)=0,"",IF(OR(A4428="",B4428=""),"Preencher CPF e entrada",IF(COUNTIFS($A$12:$A$5011,A4428,$B$12:$B$5011,B4428)&gt;1,"CPF + dia duplicado",IF(OR(AND(E4428&lt;&gt;"",E4428&lt;B4428),AND(F4428&lt;&gt;"",F4428&lt;B4428)),"Evento anterior à entrada",IF(AND(F4428&lt;&gt;"",E4428=""),"Conversa sem agendamento",IF(OR(E4428&gt;TODAY(),F4428&gt;TODAY()),"Verificar evento futuro","OK"))))))</f>
        <v/>
      </c>
    </row>
    <row r="4429" spans="9:12">
      <c r="I4429" s="5">
        <f>IF(OR(A4429="",B4429=""),"",B4429-WEEKDAY(B4429,2)+1)</f>
        <v/>
      </c>
      <c r="J4429" s="5">
        <f>IF(I4429="","",I4429+6)</f>
        <v/>
      </c>
      <c r="K4429" s="6">
        <f>IF(OR(A4429="",B4429=""),"",DATE(YEAR(B4429),MONTH(B4429),1))</f>
        <v/>
      </c>
      <c r="L4429" s="7">
        <f>IF(COUNTA(A4429,B4429)=0,"",IF(OR(A4429="",B4429=""),"Preencher CPF e entrada",IF(COUNTIFS($A$12:$A$5011,A4429,$B$12:$B$5011,B4429)&gt;1,"CPF + dia duplicado",IF(OR(AND(E4429&lt;&gt;"",E4429&lt;B4429),AND(F4429&lt;&gt;"",F4429&lt;B4429)),"Evento anterior à entrada",IF(AND(F4429&lt;&gt;"",E4429=""),"Conversa sem agendamento",IF(OR(E4429&gt;TODAY(),F4429&gt;TODAY()),"Verificar evento futuro","OK"))))))</f>
        <v/>
      </c>
    </row>
    <row r="4430" spans="9:12">
      <c r="I4430" s="5">
        <f>IF(OR(A4430="",B4430=""),"",B4430-WEEKDAY(B4430,2)+1)</f>
        <v/>
      </c>
      <c r="J4430" s="5">
        <f>IF(I4430="","",I4430+6)</f>
        <v/>
      </c>
      <c r="K4430" s="6">
        <f>IF(OR(A4430="",B4430=""),"",DATE(YEAR(B4430),MONTH(B4430),1))</f>
        <v/>
      </c>
      <c r="L4430" s="7">
        <f>IF(COUNTA(A4430,B4430)=0,"",IF(OR(A4430="",B4430=""),"Preencher CPF e entrada",IF(COUNTIFS($A$12:$A$5011,A4430,$B$12:$B$5011,B4430)&gt;1,"CPF + dia duplicado",IF(OR(AND(E4430&lt;&gt;"",E4430&lt;B4430),AND(F4430&lt;&gt;"",F4430&lt;B4430)),"Evento anterior à entrada",IF(AND(F4430&lt;&gt;"",E4430=""),"Conversa sem agendamento",IF(OR(E4430&gt;TODAY(),F4430&gt;TODAY()),"Verificar evento futuro","OK"))))))</f>
        <v/>
      </c>
    </row>
    <row r="4431" spans="9:12">
      <c r="I4431" s="5">
        <f>IF(OR(A4431="",B4431=""),"",B4431-WEEKDAY(B4431,2)+1)</f>
        <v/>
      </c>
      <c r="J4431" s="5">
        <f>IF(I4431="","",I4431+6)</f>
        <v/>
      </c>
      <c r="K4431" s="6">
        <f>IF(OR(A4431="",B4431=""),"",DATE(YEAR(B4431),MONTH(B4431),1))</f>
        <v/>
      </c>
      <c r="L4431" s="7">
        <f>IF(COUNTA(A4431,B4431)=0,"",IF(OR(A4431="",B4431=""),"Preencher CPF e entrada",IF(COUNTIFS($A$12:$A$5011,A4431,$B$12:$B$5011,B4431)&gt;1,"CPF + dia duplicado",IF(OR(AND(E4431&lt;&gt;"",E4431&lt;B4431),AND(F4431&lt;&gt;"",F4431&lt;B4431)),"Evento anterior à entrada",IF(AND(F4431&lt;&gt;"",E4431=""),"Conversa sem agendamento",IF(OR(E4431&gt;TODAY(),F4431&gt;TODAY()),"Verificar evento futuro","OK"))))))</f>
        <v/>
      </c>
    </row>
    <row r="4432" spans="9:12">
      <c r="I4432" s="5">
        <f>IF(OR(A4432="",B4432=""),"",B4432-WEEKDAY(B4432,2)+1)</f>
        <v/>
      </c>
      <c r="J4432" s="5">
        <f>IF(I4432="","",I4432+6)</f>
        <v/>
      </c>
      <c r="K4432" s="6">
        <f>IF(OR(A4432="",B4432=""),"",DATE(YEAR(B4432),MONTH(B4432),1))</f>
        <v/>
      </c>
      <c r="L4432" s="7">
        <f>IF(COUNTA(A4432,B4432)=0,"",IF(OR(A4432="",B4432=""),"Preencher CPF e entrada",IF(COUNTIFS($A$12:$A$5011,A4432,$B$12:$B$5011,B4432)&gt;1,"CPF + dia duplicado",IF(OR(AND(E4432&lt;&gt;"",E4432&lt;B4432),AND(F4432&lt;&gt;"",F4432&lt;B4432)),"Evento anterior à entrada",IF(AND(F4432&lt;&gt;"",E4432=""),"Conversa sem agendamento",IF(OR(E4432&gt;TODAY(),F4432&gt;TODAY()),"Verificar evento futuro","OK"))))))</f>
        <v/>
      </c>
    </row>
    <row r="4433" spans="9:12">
      <c r="I4433" s="5">
        <f>IF(OR(A4433="",B4433=""),"",B4433-WEEKDAY(B4433,2)+1)</f>
        <v/>
      </c>
      <c r="J4433" s="5">
        <f>IF(I4433="","",I4433+6)</f>
        <v/>
      </c>
      <c r="K4433" s="6">
        <f>IF(OR(A4433="",B4433=""),"",DATE(YEAR(B4433),MONTH(B4433),1))</f>
        <v/>
      </c>
      <c r="L4433" s="7">
        <f>IF(COUNTA(A4433,B4433)=0,"",IF(OR(A4433="",B4433=""),"Preencher CPF e entrada",IF(COUNTIFS($A$12:$A$5011,A4433,$B$12:$B$5011,B4433)&gt;1,"CPF + dia duplicado",IF(OR(AND(E4433&lt;&gt;"",E4433&lt;B4433),AND(F4433&lt;&gt;"",F4433&lt;B4433)),"Evento anterior à entrada",IF(AND(F4433&lt;&gt;"",E4433=""),"Conversa sem agendamento",IF(OR(E4433&gt;TODAY(),F4433&gt;TODAY()),"Verificar evento futuro","OK"))))))</f>
        <v/>
      </c>
    </row>
    <row r="4434" spans="9:12">
      <c r="I4434" s="5">
        <f>IF(OR(A4434="",B4434=""),"",B4434-WEEKDAY(B4434,2)+1)</f>
        <v/>
      </c>
      <c r="J4434" s="5">
        <f>IF(I4434="","",I4434+6)</f>
        <v/>
      </c>
      <c r="K4434" s="6">
        <f>IF(OR(A4434="",B4434=""),"",DATE(YEAR(B4434),MONTH(B4434),1))</f>
        <v/>
      </c>
      <c r="L4434" s="7">
        <f>IF(COUNTA(A4434,B4434)=0,"",IF(OR(A4434="",B4434=""),"Preencher CPF e entrada",IF(COUNTIFS($A$12:$A$5011,A4434,$B$12:$B$5011,B4434)&gt;1,"CPF + dia duplicado",IF(OR(AND(E4434&lt;&gt;"",E4434&lt;B4434),AND(F4434&lt;&gt;"",F4434&lt;B4434)),"Evento anterior à entrada",IF(AND(F4434&lt;&gt;"",E4434=""),"Conversa sem agendamento",IF(OR(E4434&gt;TODAY(),F4434&gt;TODAY()),"Verificar evento futuro","OK"))))))</f>
        <v/>
      </c>
    </row>
    <row r="4435" spans="9:12">
      <c r="I4435" s="5">
        <f>IF(OR(A4435="",B4435=""),"",B4435-WEEKDAY(B4435,2)+1)</f>
        <v/>
      </c>
      <c r="J4435" s="5">
        <f>IF(I4435="","",I4435+6)</f>
        <v/>
      </c>
      <c r="K4435" s="6">
        <f>IF(OR(A4435="",B4435=""),"",DATE(YEAR(B4435),MONTH(B4435),1))</f>
        <v/>
      </c>
      <c r="L4435" s="7">
        <f>IF(COUNTA(A4435,B4435)=0,"",IF(OR(A4435="",B4435=""),"Preencher CPF e entrada",IF(COUNTIFS($A$12:$A$5011,A4435,$B$12:$B$5011,B4435)&gt;1,"CPF + dia duplicado",IF(OR(AND(E4435&lt;&gt;"",E4435&lt;B4435),AND(F4435&lt;&gt;"",F4435&lt;B4435)),"Evento anterior à entrada",IF(AND(F4435&lt;&gt;"",E4435=""),"Conversa sem agendamento",IF(OR(E4435&gt;TODAY(),F4435&gt;TODAY()),"Verificar evento futuro","OK"))))))</f>
        <v/>
      </c>
    </row>
    <row r="4436" spans="9:12">
      <c r="I4436" s="5">
        <f>IF(OR(A4436="",B4436=""),"",B4436-WEEKDAY(B4436,2)+1)</f>
        <v/>
      </c>
      <c r="J4436" s="5">
        <f>IF(I4436="","",I4436+6)</f>
        <v/>
      </c>
      <c r="K4436" s="6">
        <f>IF(OR(A4436="",B4436=""),"",DATE(YEAR(B4436),MONTH(B4436),1))</f>
        <v/>
      </c>
      <c r="L4436" s="7">
        <f>IF(COUNTA(A4436,B4436)=0,"",IF(OR(A4436="",B4436=""),"Preencher CPF e entrada",IF(COUNTIFS($A$12:$A$5011,A4436,$B$12:$B$5011,B4436)&gt;1,"CPF + dia duplicado",IF(OR(AND(E4436&lt;&gt;"",E4436&lt;B4436),AND(F4436&lt;&gt;"",F4436&lt;B4436)),"Evento anterior à entrada",IF(AND(F4436&lt;&gt;"",E4436=""),"Conversa sem agendamento",IF(OR(E4436&gt;TODAY(),F4436&gt;TODAY()),"Verificar evento futuro","OK"))))))</f>
        <v/>
      </c>
    </row>
    <row r="4437" spans="9:12">
      <c r="I4437" s="5">
        <f>IF(OR(A4437="",B4437=""),"",B4437-WEEKDAY(B4437,2)+1)</f>
        <v/>
      </c>
      <c r="J4437" s="5">
        <f>IF(I4437="","",I4437+6)</f>
        <v/>
      </c>
      <c r="K4437" s="6">
        <f>IF(OR(A4437="",B4437=""),"",DATE(YEAR(B4437),MONTH(B4437),1))</f>
        <v/>
      </c>
      <c r="L4437" s="7">
        <f>IF(COUNTA(A4437,B4437)=0,"",IF(OR(A4437="",B4437=""),"Preencher CPF e entrada",IF(COUNTIFS($A$12:$A$5011,A4437,$B$12:$B$5011,B4437)&gt;1,"CPF + dia duplicado",IF(OR(AND(E4437&lt;&gt;"",E4437&lt;B4437),AND(F4437&lt;&gt;"",F4437&lt;B4437)),"Evento anterior à entrada",IF(AND(F4437&lt;&gt;"",E4437=""),"Conversa sem agendamento",IF(OR(E4437&gt;TODAY(),F4437&gt;TODAY()),"Verificar evento futuro","OK"))))))</f>
        <v/>
      </c>
    </row>
    <row r="4438" spans="9:12">
      <c r="I4438" s="5">
        <f>IF(OR(A4438="",B4438=""),"",B4438-WEEKDAY(B4438,2)+1)</f>
        <v/>
      </c>
      <c r="J4438" s="5">
        <f>IF(I4438="","",I4438+6)</f>
        <v/>
      </c>
      <c r="K4438" s="6">
        <f>IF(OR(A4438="",B4438=""),"",DATE(YEAR(B4438),MONTH(B4438),1))</f>
        <v/>
      </c>
      <c r="L4438" s="7">
        <f>IF(COUNTA(A4438,B4438)=0,"",IF(OR(A4438="",B4438=""),"Preencher CPF e entrada",IF(COUNTIFS($A$12:$A$5011,A4438,$B$12:$B$5011,B4438)&gt;1,"CPF + dia duplicado",IF(OR(AND(E4438&lt;&gt;"",E4438&lt;B4438),AND(F4438&lt;&gt;"",F4438&lt;B4438)),"Evento anterior à entrada",IF(AND(F4438&lt;&gt;"",E4438=""),"Conversa sem agendamento",IF(OR(E4438&gt;TODAY(),F4438&gt;TODAY()),"Verificar evento futuro","OK"))))))</f>
        <v/>
      </c>
    </row>
    <row r="4439" spans="9:12">
      <c r="I4439" s="5">
        <f>IF(OR(A4439="",B4439=""),"",B4439-WEEKDAY(B4439,2)+1)</f>
        <v/>
      </c>
      <c r="J4439" s="5">
        <f>IF(I4439="","",I4439+6)</f>
        <v/>
      </c>
      <c r="K4439" s="6">
        <f>IF(OR(A4439="",B4439=""),"",DATE(YEAR(B4439),MONTH(B4439),1))</f>
        <v/>
      </c>
      <c r="L4439" s="7">
        <f>IF(COUNTA(A4439,B4439)=0,"",IF(OR(A4439="",B4439=""),"Preencher CPF e entrada",IF(COUNTIFS($A$12:$A$5011,A4439,$B$12:$B$5011,B4439)&gt;1,"CPF + dia duplicado",IF(OR(AND(E4439&lt;&gt;"",E4439&lt;B4439),AND(F4439&lt;&gt;"",F4439&lt;B4439)),"Evento anterior à entrada",IF(AND(F4439&lt;&gt;"",E4439=""),"Conversa sem agendamento",IF(OR(E4439&gt;TODAY(),F4439&gt;TODAY()),"Verificar evento futuro","OK"))))))</f>
        <v/>
      </c>
    </row>
    <row r="4440" spans="9:12">
      <c r="I4440" s="5">
        <f>IF(OR(A4440="",B4440=""),"",B4440-WEEKDAY(B4440,2)+1)</f>
        <v/>
      </c>
      <c r="J4440" s="5">
        <f>IF(I4440="","",I4440+6)</f>
        <v/>
      </c>
      <c r="K4440" s="6">
        <f>IF(OR(A4440="",B4440=""),"",DATE(YEAR(B4440),MONTH(B4440),1))</f>
        <v/>
      </c>
      <c r="L4440" s="7">
        <f>IF(COUNTA(A4440,B4440)=0,"",IF(OR(A4440="",B4440=""),"Preencher CPF e entrada",IF(COUNTIFS($A$12:$A$5011,A4440,$B$12:$B$5011,B4440)&gt;1,"CPF + dia duplicado",IF(OR(AND(E4440&lt;&gt;"",E4440&lt;B4440),AND(F4440&lt;&gt;"",F4440&lt;B4440)),"Evento anterior à entrada",IF(AND(F4440&lt;&gt;"",E4440=""),"Conversa sem agendamento",IF(OR(E4440&gt;TODAY(),F4440&gt;TODAY()),"Verificar evento futuro","OK"))))))</f>
        <v/>
      </c>
    </row>
    <row r="4441" spans="9:12">
      <c r="I4441" s="5">
        <f>IF(OR(A4441="",B4441=""),"",B4441-WEEKDAY(B4441,2)+1)</f>
        <v/>
      </c>
      <c r="J4441" s="5">
        <f>IF(I4441="","",I4441+6)</f>
        <v/>
      </c>
      <c r="K4441" s="6">
        <f>IF(OR(A4441="",B4441=""),"",DATE(YEAR(B4441),MONTH(B4441),1))</f>
        <v/>
      </c>
      <c r="L4441" s="7">
        <f>IF(COUNTA(A4441,B4441)=0,"",IF(OR(A4441="",B4441=""),"Preencher CPF e entrada",IF(COUNTIFS($A$12:$A$5011,A4441,$B$12:$B$5011,B4441)&gt;1,"CPF + dia duplicado",IF(OR(AND(E4441&lt;&gt;"",E4441&lt;B4441),AND(F4441&lt;&gt;"",F4441&lt;B4441)),"Evento anterior à entrada",IF(AND(F4441&lt;&gt;"",E4441=""),"Conversa sem agendamento",IF(OR(E4441&gt;TODAY(),F4441&gt;TODAY()),"Verificar evento futuro","OK"))))))</f>
        <v/>
      </c>
    </row>
    <row r="4442" spans="9:12">
      <c r="I4442" s="5">
        <f>IF(OR(A4442="",B4442=""),"",B4442-WEEKDAY(B4442,2)+1)</f>
        <v/>
      </c>
      <c r="J4442" s="5">
        <f>IF(I4442="","",I4442+6)</f>
        <v/>
      </c>
      <c r="K4442" s="6">
        <f>IF(OR(A4442="",B4442=""),"",DATE(YEAR(B4442),MONTH(B4442),1))</f>
        <v/>
      </c>
      <c r="L4442" s="7">
        <f>IF(COUNTA(A4442,B4442)=0,"",IF(OR(A4442="",B4442=""),"Preencher CPF e entrada",IF(COUNTIFS($A$12:$A$5011,A4442,$B$12:$B$5011,B4442)&gt;1,"CPF + dia duplicado",IF(OR(AND(E4442&lt;&gt;"",E4442&lt;B4442),AND(F4442&lt;&gt;"",F4442&lt;B4442)),"Evento anterior à entrada",IF(AND(F4442&lt;&gt;"",E4442=""),"Conversa sem agendamento",IF(OR(E4442&gt;TODAY(),F4442&gt;TODAY()),"Verificar evento futuro","OK"))))))</f>
        <v/>
      </c>
    </row>
    <row r="4443" spans="9:12">
      <c r="I4443" s="5">
        <f>IF(OR(A4443="",B4443=""),"",B4443-WEEKDAY(B4443,2)+1)</f>
        <v/>
      </c>
      <c r="J4443" s="5">
        <f>IF(I4443="","",I4443+6)</f>
        <v/>
      </c>
      <c r="K4443" s="6">
        <f>IF(OR(A4443="",B4443=""),"",DATE(YEAR(B4443),MONTH(B4443),1))</f>
        <v/>
      </c>
      <c r="L4443" s="7">
        <f>IF(COUNTA(A4443,B4443)=0,"",IF(OR(A4443="",B4443=""),"Preencher CPF e entrada",IF(COUNTIFS($A$12:$A$5011,A4443,$B$12:$B$5011,B4443)&gt;1,"CPF + dia duplicado",IF(OR(AND(E4443&lt;&gt;"",E4443&lt;B4443),AND(F4443&lt;&gt;"",F4443&lt;B4443)),"Evento anterior à entrada",IF(AND(F4443&lt;&gt;"",E4443=""),"Conversa sem agendamento",IF(OR(E4443&gt;TODAY(),F4443&gt;TODAY()),"Verificar evento futuro","OK"))))))</f>
        <v/>
      </c>
    </row>
    <row r="4444" spans="9:12">
      <c r="I4444" s="5">
        <f>IF(OR(A4444="",B4444=""),"",B4444-WEEKDAY(B4444,2)+1)</f>
        <v/>
      </c>
      <c r="J4444" s="5">
        <f>IF(I4444="","",I4444+6)</f>
        <v/>
      </c>
      <c r="K4444" s="6">
        <f>IF(OR(A4444="",B4444=""),"",DATE(YEAR(B4444),MONTH(B4444),1))</f>
        <v/>
      </c>
      <c r="L4444" s="7">
        <f>IF(COUNTA(A4444,B4444)=0,"",IF(OR(A4444="",B4444=""),"Preencher CPF e entrada",IF(COUNTIFS($A$12:$A$5011,A4444,$B$12:$B$5011,B4444)&gt;1,"CPF + dia duplicado",IF(OR(AND(E4444&lt;&gt;"",E4444&lt;B4444),AND(F4444&lt;&gt;"",F4444&lt;B4444)),"Evento anterior à entrada",IF(AND(F4444&lt;&gt;"",E4444=""),"Conversa sem agendamento",IF(OR(E4444&gt;TODAY(),F4444&gt;TODAY()),"Verificar evento futuro","OK"))))))</f>
        <v/>
      </c>
    </row>
    <row r="4445" spans="9:12">
      <c r="I4445" s="5">
        <f>IF(OR(A4445="",B4445=""),"",B4445-WEEKDAY(B4445,2)+1)</f>
        <v/>
      </c>
      <c r="J4445" s="5">
        <f>IF(I4445="","",I4445+6)</f>
        <v/>
      </c>
      <c r="K4445" s="6">
        <f>IF(OR(A4445="",B4445=""),"",DATE(YEAR(B4445),MONTH(B4445),1))</f>
        <v/>
      </c>
      <c r="L4445" s="7">
        <f>IF(COUNTA(A4445,B4445)=0,"",IF(OR(A4445="",B4445=""),"Preencher CPF e entrada",IF(COUNTIFS($A$12:$A$5011,A4445,$B$12:$B$5011,B4445)&gt;1,"CPF + dia duplicado",IF(OR(AND(E4445&lt;&gt;"",E4445&lt;B4445),AND(F4445&lt;&gt;"",F4445&lt;B4445)),"Evento anterior à entrada",IF(AND(F4445&lt;&gt;"",E4445=""),"Conversa sem agendamento",IF(OR(E4445&gt;TODAY(),F4445&gt;TODAY()),"Verificar evento futuro","OK"))))))</f>
        <v/>
      </c>
    </row>
    <row r="4446" spans="9:12">
      <c r="I4446" s="5">
        <f>IF(OR(A4446="",B4446=""),"",B4446-WEEKDAY(B4446,2)+1)</f>
        <v/>
      </c>
      <c r="J4446" s="5">
        <f>IF(I4446="","",I4446+6)</f>
        <v/>
      </c>
      <c r="K4446" s="6">
        <f>IF(OR(A4446="",B4446=""),"",DATE(YEAR(B4446),MONTH(B4446),1))</f>
        <v/>
      </c>
      <c r="L4446" s="7">
        <f>IF(COUNTA(A4446,B4446)=0,"",IF(OR(A4446="",B4446=""),"Preencher CPF e entrada",IF(COUNTIFS($A$12:$A$5011,A4446,$B$12:$B$5011,B4446)&gt;1,"CPF + dia duplicado",IF(OR(AND(E4446&lt;&gt;"",E4446&lt;B4446),AND(F4446&lt;&gt;"",F4446&lt;B4446)),"Evento anterior à entrada",IF(AND(F4446&lt;&gt;"",E4446=""),"Conversa sem agendamento",IF(OR(E4446&gt;TODAY(),F4446&gt;TODAY()),"Verificar evento futuro","OK"))))))</f>
        <v/>
      </c>
    </row>
    <row r="4447" spans="9:12">
      <c r="I4447" s="5">
        <f>IF(OR(A4447="",B4447=""),"",B4447-WEEKDAY(B4447,2)+1)</f>
        <v/>
      </c>
      <c r="J4447" s="5">
        <f>IF(I4447="","",I4447+6)</f>
        <v/>
      </c>
      <c r="K4447" s="6">
        <f>IF(OR(A4447="",B4447=""),"",DATE(YEAR(B4447),MONTH(B4447),1))</f>
        <v/>
      </c>
      <c r="L4447" s="7">
        <f>IF(COUNTA(A4447,B4447)=0,"",IF(OR(A4447="",B4447=""),"Preencher CPF e entrada",IF(COUNTIFS($A$12:$A$5011,A4447,$B$12:$B$5011,B4447)&gt;1,"CPF + dia duplicado",IF(OR(AND(E4447&lt;&gt;"",E4447&lt;B4447),AND(F4447&lt;&gt;"",F4447&lt;B4447)),"Evento anterior à entrada",IF(AND(F4447&lt;&gt;"",E4447=""),"Conversa sem agendamento",IF(OR(E4447&gt;TODAY(),F4447&gt;TODAY()),"Verificar evento futuro","OK"))))))</f>
        <v/>
      </c>
    </row>
    <row r="4448" spans="9:12">
      <c r="I4448" s="5">
        <f>IF(OR(A4448="",B4448=""),"",B4448-WEEKDAY(B4448,2)+1)</f>
        <v/>
      </c>
      <c r="J4448" s="5">
        <f>IF(I4448="","",I4448+6)</f>
        <v/>
      </c>
      <c r="K4448" s="6">
        <f>IF(OR(A4448="",B4448=""),"",DATE(YEAR(B4448),MONTH(B4448),1))</f>
        <v/>
      </c>
      <c r="L4448" s="7">
        <f>IF(COUNTA(A4448,B4448)=0,"",IF(OR(A4448="",B4448=""),"Preencher CPF e entrada",IF(COUNTIFS($A$12:$A$5011,A4448,$B$12:$B$5011,B4448)&gt;1,"CPF + dia duplicado",IF(OR(AND(E4448&lt;&gt;"",E4448&lt;B4448),AND(F4448&lt;&gt;"",F4448&lt;B4448)),"Evento anterior à entrada",IF(AND(F4448&lt;&gt;"",E4448=""),"Conversa sem agendamento",IF(OR(E4448&gt;TODAY(),F4448&gt;TODAY()),"Verificar evento futuro","OK"))))))</f>
        <v/>
      </c>
    </row>
    <row r="4449" spans="9:12">
      <c r="I4449" s="5">
        <f>IF(OR(A4449="",B4449=""),"",B4449-WEEKDAY(B4449,2)+1)</f>
        <v/>
      </c>
      <c r="J4449" s="5">
        <f>IF(I4449="","",I4449+6)</f>
        <v/>
      </c>
      <c r="K4449" s="6">
        <f>IF(OR(A4449="",B4449=""),"",DATE(YEAR(B4449),MONTH(B4449),1))</f>
        <v/>
      </c>
      <c r="L4449" s="7">
        <f>IF(COUNTA(A4449,B4449)=0,"",IF(OR(A4449="",B4449=""),"Preencher CPF e entrada",IF(COUNTIFS($A$12:$A$5011,A4449,$B$12:$B$5011,B4449)&gt;1,"CPF + dia duplicado",IF(OR(AND(E4449&lt;&gt;"",E4449&lt;B4449),AND(F4449&lt;&gt;"",F4449&lt;B4449)),"Evento anterior à entrada",IF(AND(F4449&lt;&gt;"",E4449=""),"Conversa sem agendamento",IF(OR(E4449&gt;TODAY(),F4449&gt;TODAY()),"Verificar evento futuro","OK"))))))</f>
        <v/>
      </c>
    </row>
    <row r="4450" spans="9:12">
      <c r="I4450" s="5">
        <f>IF(OR(A4450="",B4450=""),"",B4450-WEEKDAY(B4450,2)+1)</f>
        <v/>
      </c>
      <c r="J4450" s="5">
        <f>IF(I4450="","",I4450+6)</f>
        <v/>
      </c>
      <c r="K4450" s="6">
        <f>IF(OR(A4450="",B4450=""),"",DATE(YEAR(B4450),MONTH(B4450),1))</f>
        <v/>
      </c>
      <c r="L4450" s="7">
        <f>IF(COUNTA(A4450,B4450)=0,"",IF(OR(A4450="",B4450=""),"Preencher CPF e entrada",IF(COUNTIFS($A$12:$A$5011,A4450,$B$12:$B$5011,B4450)&gt;1,"CPF + dia duplicado",IF(OR(AND(E4450&lt;&gt;"",E4450&lt;B4450),AND(F4450&lt;&gt;"",F4450&lt;B4450)),"Evento anterior à entrada",IF(AND(F4450&lt;&gt;"",E4450=""),"Conversa sem agendamento",IF(OR(E4450&gt;TODAY(),F4450&gt;TODAY()),"Verificar evento futuro","OK"))))))</f>
        <v/>
      </c>
    </row>
    <row r="4451" spans="9:12">
      <c r="I4451" s="5">
        <f>IF(OR(A4451="",B4451=""),"",B4451-WEEKDAY(B4451,2)+1)</f>
        <v/>
      </c>
      <c r="J4451" s="5">
        <f>IF(I4451="","",I4451+6)</f>
        <v/>
      </c>
      <c r="K4451" s="6">
        <f>IF(OR(A4451="",B4451=""),"",DATE(YEAR(B4451),MONTH(B4451),1))</f>
        <v/>
      </c>
      <c r="L4451" s="7">
        <f>IF(COUNTA(A4451,B4451)=0,"",IF(OR(A4451="",B4451=""),"Preencher CPF e entrada",IF(COUNTIFS($A$12:$A$5011,A4451,$B$12:$B$5011,B4451)&gt;1,"CPF + dia duplicado",IF(OR(AND(E4451&lt;&gt;"",E4451&lt;B4451),AND(F4451&lt;&gt;"",F4451&lt;B4451)),"Evento anterior à entrada",IF(AND(F4451&lt;&gt;"",E4451=""),"Conversa sem agendamento",IF(OR(E4451&gt;TODAY(),F4451&gt;TODAY()),"Verificar evento futuro","OK"))))))</f>
        <v/>
      </c>
    </row>
    <row r="4452" spans="9:12">
      <c r="I4452" s="5">
        <f>IF(OR(A4452="",B4452=""),"",B4452-WEEKDAY(B4452,2)+1)</f>
        <v/>
      </c>
      <c r="J4452" s="5">
        <f>IF(I4452="","",I4452+6)</f>
        <v/>
      </c>
      <c r="K4452" s="6">
        <f>IF(OR(A4452="",B4452=""),"",DATE(YEAR(B4452),MONTH(B4452),1))</f>
        <v/>
      </c>
      <c r="L4452" s="7">
        <f>IF(COUNTA(A4452,B4452)=0,"",IF(OR(A4452="",B4452=""),"Preencher CPF e entrada",IF(COUNTIFS($A$12:$A$5011,A4452,$B$12:$B$5011,B4452)&gt;1,"CPF + dia duplicado",IF(OR(AND(E4452&lt;&gt;"",E4452&lt;B4452),AND(F4452&lt;&gt;"",F4452&lt;B4452)),"Evento anterior à entrada",IF(AND(F4452&lt;&gt;"",E4452=""),"Conversa sem agendamento",IF(OR(E4452&gt;TODAY(),F4452&gt;TODAY()),"Verificar evento futuro","OK"))))))</f>
        <v/>
      </c>
    </row>
    <row r="4453" spans="9:12">
      <c r="I4453" s="5">
        <f>IF(OR(A4453="",B4453=""),"",B4453-WEEKDAY(B4453,2)+1)</f>
        <v/>
      </c>
      <c r="J4453" s="5">
        <f>IF(I4453="","",I4453+6)</f>
        <v/>
      </c>
      <c r="K4453" s="6">
        <f>IF(OR(A4453="",B4453=""),"",DATE(YEAR(B4453),MONTH(B4453),1))</f>
        <v/>
      </c>
      <c r="L4453" s="7">
        <f>IF(COUNTA(A4453,B4453)=0,"",IF(OR(A4453="",B4453=""),"Preencher CPF e entrada",IF(COUNTIFS($A$12:$A$5011,A4453,$B$12:$B$5011,B4453)&gt;1,"CPF + dia duplicado",IF(OR(AND(E4453&lt;&gt;"",E4453&lt;B4453),AND(F4453&lt;&gt;"",F4453&lt;B4453)),"Evento anterior à entrada",IF(AND(F4453&lt;&gt;"",E4453=""),"Conversa sem agendamento",IF(OR(E4453&gt;TODAY(),F4453&gt;TODAY()),"Verificar evento futuro","OK"))))))</f>
        <v/>
      </c>
    </row>
    <row r="4454" spans="9:12">
      <c r="I4454" s="5">
        <f>IF(OR(A4454="",B4454=""),"",B4454-WEEKDAY(B4454,2)+1)</f>
        <v/>
      </c>
      <c r="J4454" s="5">
        <f>IF(I4454="","",I4454+6)</f>
        <v/>
      </c>
      <c r="K4454" s="6">
        <f>IF(OR(A4454="",B4454=""),"",DATE(YEAR(B4454),MONTH(B4454),1))</f>
        <v/>
      </c>
      <c r="L4454" s="7">
        <f>IF(COUNTA(A4454,B4454)=0,"",IF(OR(A4454="",B4454=""),"Preencher CPF e entrada",IF(COUNTIFS($A$12:$A$5011,A4454,$B$12:$B$5011,B4454)&gt;1,"CPF + dia duplicado",IF(OR(AND(E4454&lt;&gt;"",E4454&lt;B4454),AND(F4454&lt;&gt;"",F4454&lt;B4454)),"Evento anterior à entrada",IF(AND(F4454&lt;&gt;"",E4454=""),"Conversa sem agendamento",IF(OR(E4454&gt;TODAY(),F4454&gt;TODAY()),"Verificar evento futuro","OK"))))))</f>
        <v/>
      </c>
    </row>
    <row r="4455" spans="9:12">
      <c r="I4455" s="5">
        <f>IF(OR(A4455="",B4455=""),"",B4455-WEEKDAY(B4455,2)+1)</f>
        <v/>
      </c>
      <c r="J4455" s="5">
        <f>IF(I4455="","",I4455+6)</f>
        <v/>
      </c>
      <c r="K4455" s="6">
        <f>IF(OR(A4455="",B4455=""),"",DATE(YEAR(B4455),MONTH(B4455),1))</f>
        <v/>
      </c>
      <c r="L4455" s="7">
        <f>IF(COUNTA(A4455,B4455)=0,"",IF(OR(A4455="",B4455=""),"Preencher CPF e entrada",IF(COUNTIFS($A$12:$A$5011,A4455,$B$12:$B$5011,B4455)&gt;1,"CPF + dia duplicado",IF(OR(AND(E4455&lt;&gt;"",E4455&lt;B4455),AND(F4455&lt;&gt;"",F4455&lt;B4455)),"Evento anterior à entrada",IF(AND(F4455&lt;&gt;"",E4455=""),"Conversa sem agendamento",IF(OR(E4455&gt;TODAY(),F4455&gt;TODAY()),"Verificar evento futuro","OK"))))))</f>
        <v/>
      </c>
    </row>
    <row r="4456" spans="9:12">
      <c r="I4456" s="5">
        <f>IF(OR(A4456="",B4456=""),"",B4456-WEEKDAY(B4456,2)+1)</f>
        <v/>
      </c>
      <c r="J4456" s="5">
        <f>IF(I4456="","",I4456+6)</f>
        <v/>
      </c>
      <c r="K4456" s="6">
        <f>IF(OR(A4456="",B4456=""),"",DATE(YEAR(B4456),MONTH(B4456),1))</f>
        <v/>
      </c>
      <c r="L4456" s="7">
        <f>IF(COUNTA(A4456,B4456)=0,"",IF(OR(A4456="",B4456=""),"Preencher CPF e entrada",IF(COUNTIFS($A$12:$A$5011,A4456,$B$12:$B$5011,B4456)&gt;1,"CPF + dia duplicado",IF(OR(AND(E4456&lt;&gt;"",E4456&lt;B4456),AND(F4456&lt;&gt;"",F4456&lt;B4456)),"Evento anterior à entrada",IF(AND(F4456&lt;&gt;"",E4456=""),"Conversa sem agendamento",IF(OR(E4456&gt;TODAY(),F4456&gt;TODAY()),"Verificar evento futuro","OK"))))))</f>
        <v/>
      </c>
    </row>
    <row r="4457" spans="9:12">
      <c r="I4457" s="5">
        <f>IF(OR(A4457="",B4457=""),"",B4457-WEEKDAY(B4457,2)+1)</f>
        <v/>
      </c>
      <c r="J4457" s="5">
        <f>IF(I4457="","",I4457+6)</f>
        <v/>
      </c>
      <c r="K4457" s="6">
        <f>IF(OR(A4457="",B4457=""),"",DATE(YEAR(B4457),MONTH(B4457),1))</f>
        <v/>
      </c>
      <c r="L4457" s="7">
        <f>IF(COUNTA(A4457,B4457)=0,"",IF(OR(A4457="",B4457=""),"Preencher CPF e entrada",IF(COUNTIFS($A$12:$A$5011,A4457,$B$12:$B$5011,B4457)&gt;1,"CPF + dia duplicado",IF(OR(AND(E4457&lt;&gt;"",E4457&lt;B4457),AND(F4457&lt;&gt;"",F4457&lt;B4457)),"Evento anterior à entrada",IF(AND(F4457&lt;&gt;"",E4457=""),"Conversa sem agendamento",IF(OR(E4457&gt;TODAY(),F4457&gt;TODAY()),"Verificar evento futuro","OK"))))))</f>
        <v/>
      </c>
    </row>
    <row r="4458" spans="9:12">
      <c r="I4458" s="5">
        <f>IF(OR(A4458="",B4458=""),"",B4458-WEEKDAY(B4458,2)+1)</f>
        <v/>
      </c>
      <c r="J4458" s="5">
        <f>IF(I4458="","",I4458+6)</f>
        <v/>
      </c>
      <c r="K4458" s="6">
        <f>IF(OR(A4458="",B4458=""),"",DATE(YEAR(B4458),MONTH(B4458),1))</f>
        <v/>
      </c>
      <c r="L4458" s="7">
        <f>IF(COUNTA(A4458,B4458)=0,"",IF(OR(A4458="",B4458=""),"Preencher CPF e entrada",IF(COUNTIFS($A$12:$A$5011,A4458,$B$12:$B$5011,B4458)&gt;1,"CPF + dia duplicado",IF(OR(AND(E4458&lt;&gt;"",E4458&lt;B4458),AND(F4458&lt;&gt;"",F4458&lt;B4458)),"Evento anterior à entrada",IF(AND(F4458&lt;&gt;"",E4458=""),"Conversa sem agendamento",IF(OR(E4458&gt;TODAY(),F4458&gt;TODAY()),"Verificar evento futuro","OK"))))))</f>
        <v/>
      </c>
    </row>
    <row r="4459" spans="9:12">
      <c r="I4459" s="5">
        <f>IF(OR(A4459="",B4459=""),"",B4459-WEEKDAY(B4459,2)+1)</f>
        <v/>
      </c>
      <c r="J4459" s="5">
        <f>IF(I4459="","",I4459+6)</f>
        <v/>
      </c>
      <c r="K4459" s="6">
        <f>IF(OR(A4459="",B4459=""),"",DATE(YEAR(B4459),MONTH(B4459),1))</f>
        <v/>
      </c>
      <c r="L4459" s="7">
        <f>IF(COUNTA(A4459,B4459)=0,"",IF(OR(A4459="",B4459=""),"Preencher CPF e entrada",IF(COUNTIFS($A$12:$A$5011,A4459,$B$12:$B$5011,B4459)&gt;1,"CPF + dia duplicado",IF(OR(AND(E4459&lt;&gt;"",E4459&lt;B4459),AND(F4459&lt;&gt;"",F4459&lt;B4459)),"Evento anterior à entrada",IF(AND(F4459&lt;&gt;"",E4459=""),"Conversa sem agendamento",IF(OR(E4459&gt;TODAY(),F4459&gt;TODAY()),"Verificar evento futuro","OK"))))))</f>
        <v/>
      </c>
    </row>
    <row r="4460" spans="9:12">
      <c r="I4460" s="5">
        <f>IF(OR(A4460="",B4460=""),"",B4460-WEEKDAY(B4460,2)+1)</f>
        <v/>
      </c>
      <c r="J4460" s="5">
        <f>IF(I4460="","",I4460+6)</f>
        <v/>
      </c>
      <c r="K4460" s="6">
        <f>IF(OR(A4460="",B4460=""),"",DATE(YEAR(B4460),MONTH(B4460),1))</f>
        <v/>
      </c>
      <c r="L4460" s="7">
        <f>IF(COUNTA(A4460,B4460)=0,"",IF(OR(A4460="",B4460=""),"Preencher CPF e entrada",IF(COUNTIFS($A$12:$A$5011,A4460,$B$12:$B$5011,B4460)&gt;1,"CPF + dia duplicado",IF(OR(AND(E4460&lt;&gt;"",E4460&lt;B4460),AND(F4460&lt;&gt;"",F4460&lt;B4460)),"Evento anterior à entrada",IF(AND(F4460&lt;&gt;"",E4460=""),"Conversa sem agendamento",IF(OR(E4460&gt;TODAY(),F4460&gt;TODAY()),"Verificar evento futuro","OK"))))))</f>
        <v/>
      </c>
    </row>
    <row r="4461" spans="9:12">
      <c r="I4461" s="5">
        <f>IF(OR(A4461="",B4461=""),"",B4461-WEEKDAY(B4461,2)+1)</f>
        <v/>
      </c>
      <c r="J4461" s="5">
        <f>IF(I4461="","",I4461+6)</f>
        <v/>
      </c>
      <c r="K4461" s="6">
        <f>IF(OR(A4461="",B4461=""),"",DATE(YEAR(B4461),MONTH(B4461),1))</f>
        <v/>
      </c>
      <c r="L4461" s="7">
        <f>IF(COUNTA(A4461,B4461)=0,"",IF(OR(A4461="",B4461=""),"Preencher CPF e entrada",IF(COUNTIFS($A$12:$A$5011,A4461,$B$12:$B$5011,B4461)&gt;1,"CPF + dia duplicado",IF(OR(AND(E4461&lt;&gt;"",E4461&lt;B4461),AND(F4461&lt;&gt;"",F4461&lt;B4461)),"Evento anterior à entrada",IF(AND(F4461&lt;&gt;"",E4461=""),"Conversa sem agendamento",IF(OR(E4461&gt;TODAY(),F4461&gt;TODAY()),"Verificar evento futuro","OK"))))))</f>
        <v/>
      </c>
    </row>
    <row r="4462" spans="9:12">
      <c r="I4462" s="5">
        <f>IF(OR(A4462="",B4462=""),"",B4462-WEEKDAY(B4462,2)+1)</f>
        <v/>
      </c>
      <c r="J4462" s="5">
        <f>IF(I4462="","",I4462+6)</f>
        <v/>
      </c>
      <c r="K4462" s="6">
        <f>IF(OR(A4462="",B4462=""),"",DATE(YEAR(B4462),MONTH(B4462),1))</f>
        <v/>
      </c>
      <c r="L4462" s="7">
        <f>IF(COUNTA(A4462,B4462)=0,"",IF(OR(A4462="",B4462=""),"Preencher CPF e entrada",IF(COUNTIFS($A$12:$A$5011,A4462,$B$12:$B$5011,B4462)&gt;1,"CPF + dia duplicado",IF(OR(AND(E4462&lt;&gt;"",E4462&lt;B4462),AND(F4462&lt;&gt;"",F4462&lt;B4462)),"Evento anterior à entrada",IF(AND(F4462&lt;&gt;"",E4462=""),"Conversa sem agendamento",IF(OR(E4462&gt;TODAY(),F4462&gt;TODAY()),"Verificar evento futuro","OK"))))))</f>
        <v/>
      </c>
    </row>
    <row r="4463" spans="9:12">
      <c r="I4463" s="5">
        <f>IF(OR(A4463="",B4463=""),"",B4463-WEEKDAY(B4463,2)+1)</f>
        <v/>
      </c>
      <c r="J4463" s="5">
        <f>IF(I4463="","",I4463+6)</f>
        <v/>
      </c>
      <c r="K4463" s="6">
        <f>IF(OR(A4463="",B4463=""),"",DATE(YEAR(B4463),MONTH(B4463),1))</f>
        <v/>
      </c>
      <c r="L4463" s="7">
        <f>IF(COUNTA(A4463,B4463)=0,"",IF(OR(A4463="",B4463=""),"Preencher CPF e entrada",IF(COUNTIFS($A$12:$A$5011,A4463,$B$12:$B$5011,B4463)&gt;1,"CPF + dia duplicado",IF(OR(AND(E4463&lt;&gt;"",E4463&lt;B4463),AND(F4463&lt;&gt;"",F4463&lt;B4463)),"Evento anterior à entrada",IF(AND(F4463&lt;&gt;"",E4463=""),"Conversa sem agendamento",IF(OR(E4463&gt;TODAY(),F4463&gt;TODAY()),"Verificar evento futuro","OK"))))))</f>
        <v/>
      </c>
    </row>
    <row r="4464" spans="9:12">
      <c r="I4464" s="5">
        <f>IF(OR(A4464="",B4464=""),"",B4464-WEEKDAY(B4464,2)+1)</f>
        <v/>
      </c>
      <c r="J4464" s="5">
        <f>IF(I4464="","",I4464+6)</f>
        <v/>
      </c>
      <c r="K4464" s="6">
        <f>IF(OR(A4464="",B4464=""),"",DATE(YEAR(B4464),MONTH(B4464),1))</f>
        <v/>
      </c>
      <c r="L4464" s="7">
        <f>IF(COUNTA(A4464,B4464)=0,"",IF(OR(A4464="",B4464=""),"Preencher CPF e entrada",IF(COUNTIFS($A$12:$A$5011,A4464,$B$12:$B$5011,B4464)&gt;1,"CPF + dia duplicado",IF(OR(AND(E4464&lt;&gt;"",E4464&lt;B4464),AND(F4464&lt;&gt;"",F4464&lt;B4464)),"Evento anterior à entrada",IF(AND(F4464&lt;&gt;"",E4464=""),"Conversa sem agendamento",IF(OR(E4464&gt;TODAY(),F4464&gt;TODAY()),"Verificar evento futuro","OK"))))))</f>
        <v/>
      </c>
    </row>
    <row r="4465" spans="9:12">
      <c r="I4465" s="5">
        <f>IF(OR(A4465="",B4465=""),"",B4465-WEEKDAY(B4465,2)+1)</f>
        <v/>
      </c>
      <c r="J4465" s="5">
        <f>IF(I4465="","",I4465+6)</f>
        <v/>
      </c>
      <c r="K4465" s="6">
        <f>IF(OR(A4465="",B4465=""),"",DATE(YEAR(B4465),MONTH(B4465),1))</f>
        <v/>
      </c>
      <c r="L4465" s="7">
        <f>IF(COUNTA(A4465,B4465)=0,"",IF(OR(A4465="",B4465=""),"Preencher CPF e entrada",IF(COUNTIFS($A$12:$A$5011,A4465,$B$12:$B$5011,B4465)&gt;1,"CPF + dia duplicado",IF(OR(AND(E4465&lt;&gt;"",E4465&lt;B4465),AND(F4465&lt;&gt;"",F4465&lt;B4465)),"Evento anterior à entrada",IF(AND(F4465&lt;&gt;"",E4465=""),"Conversa sem agendamento",IF(OR(E4465&gt;TODAY(),F4465&gt;TODAY()),"Verificar evento futuro","OK"))))))</f>
        <v/>
      </c>
    </row>
    <row r="4466" spans="9:12">
      <c r="I4466" s="5">
        <f>IF(OR(A4466="",B4466=""),"",B4466-WEEKDAY(B4466,2)+1)</f>
        <v/>
      </c>
      <c r="J4466" s="5">
        <f>IF(I4466="","",I4466+6)</f>
        <v/>
      </c>
      <c r="K4466" s="6">
        <f>IF(OR(A4466="",B4466=""),"",DATE(YEAR(B4466),MONTH(B4466),1))</f>
        <v/>
      </c>
      <c r="L4466" s="7">
        <f>IF(COUNTA(A4466,B4466)=0,"",IF(OR(A4466="",B4466=""),"Preencher CPF e entrada",IF(COUNTIFS($A$12:$A$5011,A4466,$B$12:$B$5011,B4466)&gt;1,"CPF + dia duplicado",IF(OR(AND(E4466&lt;&gt;"",E4466&lt;B4466),AND(F4466&lt;&gt;"",F4466&lt;B4466)),"Evento anterior à entrada",IF(AND(F4466&lt;&gt;"",E4466=""),"Conversa sem agendamento",IF(OR(E4466&gt;TODAY(),F4466&gt;TODAY()),"Verificar evento futuro","OK"))))))</f>
        <v/>
      </c>
    </row>
    <row r="4467" spans="9:12">
      <c r="I4467" s="5">
        <f>IF(OR(A4467="",B4467=""),"",B4467-WEEKDAY(B4467,2)+1)</f>
        <v/>
      </c>
      <c r="J4467" s="5">
        <f>IF(I4467="","",I4467+6)</f>
        <v/>
      </c>
      <c r="K4467" s="6">
        <f>IF(OR(A4467="",B4467=""),"",DATE(YEAR(B4467),MONTH(B4467),1))</f>
        <v/>
      </c>
      <c r="L4467" s="7">
        <f>IF(COUNTA(A4467,B4467)=0,"",IF(OR(A4467="",B4467=""),"Preencher CPF e entrada",IF(COUNTIFS($A$12:$A$5011,A4467,$B$12:$B$5011,B4467)&gt;1,"CPF + dia duplicado",IF(OR(AND(E4467&lt;&gt;"",E4467&lt;B4467),AND(F4467&lt;&gt;"",F4467&lt;B4467)),"Evento anterior à entrada",IF(AND(F4467&lt;&gt;"",E4467=""),"Conversa sem agendamento",IF(OR(E4467&gt;TODAY(),F4467&gt;TODAY()),"Verificar evento futuro","OK"))))))</f>
        <v/>
      </c>
    </row>
    <row r="4468" spans="9:12">
      <c r="I4468" s="5">
        <f>IF(OR(A4468="",B4468=""),"",B4468-WEEKDAY(B4468,2)+1)</f>
        <v/>
      </c>
      <c r="J4468" s="5">
        <f>IF(I4468="","",I4468+6)</f>
        <v/>
      </c>
      <c r="K4468" s="6">
        <f>IF(OR(A4468="",B4468=""),"",DATE(YEAR(B4468),MONTH(B4468),1))</f>
        <v/>
      </c>
      <c r="L4468" s="7">
        <f>IF(COUNTA(A4468,B4468)=0,"",IF(OR(A4468="",B4468=""),"Preencher CPF e entrada",IF(COUNTIFS($A$12:$A$5011,A4468,$B$12:$B$5011,B4468)&gt;1,"CPF + dia duplicado",IF(OR(AND(E4468&lt;&gt;"",E4468&lt;B4468),AND(F4468&lt;&gt;"",F4468&lt;B4468)),"Evento anterior à entrada",IF(AND(F4468&lt;&gt;"",E4468=""),"Conversa sem agendamento",IF(OR(E4468&gt;TODAY(),F4468&gt;TODAY()),"Verificar evento futuro","OK"))))))</f>
        <v/>
      </c>
    </row>
    <row r="4469" spans="9:12">
      <c r="I4469" s="5">
        <f>IF(OR(A4469="",B4469=""),"",B4469-WEEKDAY(B4469,2)+1)</f>
        <v/>
      </c>
      <c r="J4469" s="5">
        <f>IF(I4469="","",I4469+6)</f>
        <v/>
      </c>
      <c r="K4469" s="6">
        <f>IF(OR(A4469="",B4469=""),"",DATE(YEAR(B4469),MONTH(B4469),1))</f>
        <v/>
      </c>
      <c r="L4469" s="7">
        <f>IF(COUNTA(A4469,B4469)=0,"",IF(OR(A4469="",B4469=""),"Preencher CPF e entrada",IF(COUNTIFS($A$12:$A$5011,A4469,$B$12:$B$5011,B4469)&gt;1,"CPF + dia duplicado",IF(OR(AND(E4469&lt;&gt;"",E4469&lt;B4469),AND(F4469&lt;&gt;"",F4469&lt;B4469)),"Evento anterior à entrada",IF(AND(F4469&lt;&gt;"",E4469=""),"Conversa sem agendamento",IF(OR(E4469&gt;TODAY(),F4469&gt;TODAY()),"Verificar evento futuro","OK"))))))</f>
        <v/>
      </c>
    </row>
    <row r="4470" spans="9:12">
      <c r="I4470" s="5">
        <f>IF(OR(A4470="",B4470=""),"",B4470-WEEKDAY(B4470,2)+1)</f>
        <v/>
      </c>
      <c r="J4470" s="5">
        <f>IF(I4470="","",I4470+6)</f>
        <v/>
      </c>
      <c r="K4470" s="6">
        <f>IF(OR(A4470="",B4470=""),"",DATE(YEAR(B4470),MONTH(B4470),1))</f>
        <v/>
      </c>
      <c r="L4470" s="7">
        <f>IF(COUNTA(A4470,B4470)=0,"",IF(OR(A4470="",B4470=""),"Preencher CPF e entrada",IF(COUNTIFS($A$12:$A$5011,A4470,$B$12:$B$5011,B4470)&gt;1,"CPF + dia duplicado",IF(OR(AND(E4470&lt;&gt;"",E4470&lt;B4470),AND(F4470&lt;&gt;"",F4470&lt;B4470)),"Evento anterior à entrada",IF(AND(F4470&lt;&gt;"",E4470=""),"Conversa sem agendamento",IF(OR(E4470&gt;TODAY(),F4470&gt;TODAY()),"Verificar evento futuro","OK"))))))</f>
        <v/>
      </c>
    </row>
    <row r="4471" spans="9:12">
      <c r="I4471" s="5">
        <f>IF(OR(A4471="",B4471=""),"",B4471-WEEKDAY(B4471,2)+1)</f>
        <v/>
      </c>
      <c r="J4471" s="5">
        <f>IF(I4471="","",I4471+6)</f>
        <v/>
      </c>
      <c r="K4471" s="6">
        <f>IF(OR(A4471="",B4471=""),"",DATE(YEAR(B4471),MONTH(B4471),1))</f>
        <v/>
      </c>
      <c r="L4471" s="7">
        <f>IF(COUNTA(A4471,B4471)=0,"",IF(OR(A4471="",B4471=""),"Preencher CPF e entrada",IF(COUNTIFS($A$12:$A$5011,A4471,$B$12:$B$5011,B4471)&gt;1,"CPF + dia duplicado",IF(OR(AND(E4471&lt;&gt;"",E4471&lt;B4471),AND(F4471&lt;&gt;"",F4471&lt;B4471)),"Evento anterior à entrada",IF(AND(F4471&lt;&gt;"",E4471=""),"Conversa sem agendamento",IF(OR(E4471&gt;TODAY(),F4471&gt;TODAY()),"Verificar evento futuro","OK"))))))</f>
        <v/>
      </c>
    </row>
    <row r="4472" spans="9:12">
      <c r="I4472" s="5">
        <f>IF(OR(A4472="",B4472=""),"",B4472-WEEKDAY(B4472,2)+1)</f>
        <v/>
      </c>
      <c r="J4472" s="5">
        <f>IF(I4472="","",I4472+6)</f>
        <v/>
      </c>
      <c r="K4472" s="6">
        <f>IF(OR(A4472="",B4472=""),"",DATE(YEAR(B4472),MONTH(B4472),1))</f>
        <v/>
      </c>
      <c r="L4472" s="7">
        <f>IF(COUNTA(A4472,B4472)=0,"",IF(OR(A4472="",B4472=""),"Preencher CPF e entrada",IF(COUNTIFS($A$12:$A$5011,A4472,$B$12:$B$5011,B4472)&gt;1,"CPF + dia duplicado",IF(OR(AND(E4472&lt;&gt;"",E4472&lt;B4472),AND(F4472&lt;&gt;"",F4472&lt;B4472)),"Evento anterior à entrada",IF(AND(F4472&lt;&gt;"",E4472=""),"Conversa sem agendamento",IF(OR(E4472&gt;TODAY(),F4472&gt;TODAY()),"Verificar evento futuro","OK"))))))</f>
        <v/>
      </c>
    </row>
    <row r="4473" spans="9:12">
      <c r="I4473" s="5">
        <f>IF(OR(A4473="",B4473=""),"",B4473-WEEKDAY(B4473,2)+1)</f>
        <v/>
      </c>
      <c r="J4473" s="5">
        <f>IF(I4473="","",I4473+6)</f>
        <v/>
      </c>
      <c r="K4473" s="6">
        <f>IF(OR(A4473="",B4473=""),"",DATE(YEAR(B4473),MONTH(B4473),1))</f>
        <v/>
      </c>
      <c r="L4473" s="7">
        <f>IF(COUNTA(A4473,B4473)=0,"",IF(OR(A4473="",B4473=""),"Preencher CPF e entrada",IF(COUNTIFS($A$12:$A$5011,A4473,$B$12:$B$5011,B4473)&gt;1,"CPF + dia duplicado",IF(OR(AND(E4473&lt;&gt;"",E4473&lt;B4473),AND(F4473&lt;&gt;"",F4473&lt;B4473)),"Evento anterior à entrada",IF(AND(F4473&lt;&gt;"",E4473=""),"Conversa sem agendamento",IF(OR(E4473&gt;TODAY(),F4473&gt;TODAY()),"Verificar evento futuro","OK"))))))</f>
        <v/>
      </c>
    </row>
    <row r="4474" spans="9:12">
      <c r="I4474" s="5">
        <f>IF(OR(A4474="",B4474=""),"",B4474-WEEKDAY(B4474,2)+1)</f>
        <v/>
      </c>
      <c r="J4474" s="5">
        <f>IF(I4474="","",I4474+6)</f>
        <v/>
      </c>
      <c r="K4474" s="6">
        <f>IF(OR(A4474="",B4474=""),"",DATE(YEAR(B4474),MONTH(B4474),1))</f>
        <v/>
      </c>
      <c r="L4474" s="7">
        <f>IF(COUNTA(A4474,B4474)=0,"",IF(OR(A4474="",B4474=""),"Preencher CPF e entrada",IF(COUNTIFS($A$12:$A$5011,A4474,$B$12:$B$5011,B4474)&gt;1,"CPF + dia duplicado",IF(OR(AND(E4474&lt;&gt;"",E4474&lt;B4474),AND(F4474&lt;&gt;"",F4474&lt;B4474)),"Evento anterior à entrada",IF(AND(F4474&lt;&gt;"",E4474=""),"Conversa sem agendamento",IF(OR(E4474&gt;TODAY(),F4474&gt;TODAY()),"Verificar evento futuro","OK"))))))</f>
        <v/>
      </c>
    </row>
    <row r="4475" spans="9:12">
      <c r="I4475" s="5">
        <f>IF(OR(A4475="",B4475=""),"",B4475-WEEKDAY(B4475,2)+1)</f>
        <v/>
      </c>
      <c r="J4475" s="5">
        <f>IF(I4475="","",I4475+6)</f>
        <v/>
      </c>
      <c r="K4475" s="6">
        <f>IF(OR(A4475="",B4475=""),"",DATE(YEAR(B4475),MONTH(B4475),1))</f>
        <v/>
      </c>
      <c r="L4475" s="7">
        <f>IF(COUNTA(A4475,B4475)=0,"",IF(OR(A4475="",B4475=""),"Preencher CPF e entrada",IF(COUNTIFS($A$12:$A$5011,A4475,$B$12:$B$5011,B4475)&gt;1,"CPF + dia duplicado",IF(OR(AND(E4475&lt;&gt;"",E4475&lt;B4475),AND(F4475&lt;&gt;"",F4475&lt;B4475)),"Evento anterior à entrada",IF(AND(F4475&lt;&gt;"",E4475=""),"Conversa sem agendamento",IF(OR(E4475&gt;TODAY(),F4475&gt;TODAY()),"Verificar evento futuro","OK"))))))</f>
        <v/>
      </c>
    </row>
    <row r="4476" spans="9:12">
      <c r="I4476" s="5">
        <f>IF(OR(A4476="",B4476=""),"",B4476-WEEKDAY(B4476,2)+1)</f>
        <v/>
      </c>
      <c r="J4476" s="5">
        <f>IF(I4476="","",I4476+6)</f>
        <v/>
      </c>
      <c r="K4476" s="6">
        <f>IF(OR(A4476="",B4476=""),"",DATE(YEAR(B4476),MONTH(B4476),1))</f>
        <v/>
      </c>
      <c r="L4476" s="7">
        <f>IF(COUNTA(A4476,B4476)=0,"",IF(OR(A4476="",B4476=""),"Preencher CPF e entrada",IF(COUNTIFS($A$12:$A$5011,A4476,$B$12:$B$5011,B4476)&gt;1,"CPF + dia duplicado",IF(OR(AND(E4476&lt;&gt;"",E4476&lt;B4476),AND(F4476&lt;&gt;"",F4476&lt;B4476)),"Evento anterior à entrada",IF(AND(F4476&lt;&gt;"",E4476=""),"Conversa sem agendamento",IF(OR(E4476&gt;TODAY(),F4476&gt;TODAY()),"Verificar evento futuro","OK"))))))</f>
        <v/>
      </c>
    </row>
    <row r="4477" spans="9:12">
      <c r="I4477" s="5">
        <f>IF(OR(A4477="",B4477=""),"",B4477-WEEKDAY(B4477,2)+1)</f>
        <v/>
      </c>
      <c r="J4477" s="5">
        <f>IF(I4477="","",I4477+6)</f>
        <v/>
      </c>
      <c r="K4477" s="6">
        <f>IF(OR(A4477="",B4477=""),"",DATE(YEAR(B4477),MONTH(B4477),1))</f>
        <v/>
      </c>
      <c r="L4477" s="7">
        <f>IF(COUNTA(A4477,B4477)=0,"",IF(OR(A4477="",B4477=""),"Preencher CPF e entrada",IF(COUNTIFS($A$12:$A$5011,A4477,$B$12:$B$5011,B4477)&gt;1,"CPF + dia duplicado",IF(OR(AND(E4477&lt;&gt;"",E4477&lt;B4477),AND(F4477&lt;&gt;"",F4477&lt;B4477)),"Evento anterior à entrada",IF(AND(F4477&lt;&gt;"",E4477=""),"Conversa sem agendamento",IF(OR(E4477&gt;TODAY(),F4477&gt;TODAY()),"Verificar evento futuro","OK"))))))</f>
        <v/>
      </c>
    </row>
    <row r="4478" spans="9:12">
      <c r="I4478" s="5">
        <f>IF(OR(A4478="",B4478=""),"",B4478-WEEKDAY(B4478,2)+1)</f>
        <v/>
      </c>
      <c r="J4478" s="5">
        <f>IF(I4478="","",I4478+6)</f>
        <v/>
      </c>
      <c r="K4478" s="6">
        <f>IF(OR(A4478="",B4478=""),"",DATE(YEAR(B4478),MONTH(B4478),1))</f>
        <v/>
      </c>
      <c r="L4478" s="7">
        <f>IF(COUNTA(A4478,B4478)=0,"",IF(OR(A4478="",B4478=""),"Preencher CPF e entrada",IF(COUNTIFS($A$12:$A$5011,A4478,$B$12:$B$5011,B4478)&gt;1,"CPF + dia duplicado",IF(OR(AND(E4478&lt;&gt;"",E4478&lt;B4478),AND(F4478&lt;&gt;"",F4478&lt;B4478)),"Evento anterior à entrada",IF(AND(F4478&lt;&gt;"",E4478=""),"Conversa sem agendamento",IF(OR(E4478&gt;TODAY(),F4478&gt;TODAY()),"Verificar evento futuro","OK"))))))</f>
        <v/>
      </c>
    </row>
    <row r="4479" spans="9:12">
      <c r="I4479" s="5">
        <f>IF(OR(A4479="",B4479=""),"",B4479-WEEKDAY(B4479,2)+1)</f>
        <v/>
      </c>
      <c r="J4479" s="5">
        <f>IF(I4479="","",I4479+6)</f>
        <v/>
      </c>
      <c r="K4479" s="6">
        <f>IF(OR(A4479="",B4479=""),"",DATE(YEAR(B4479),MONTH(B4479),1))</f>
        <v/>
      </c>
      <c r="L4479" s="7">
        <f>IF(COUNTA(A4479,B4479)=0,"",IF(OR(A4479="",B4479=""),"Preencher CPF e entrada",IF(COUNTIFS($A$12:$A$5011,A4479,$B$12:$B$5011,B4479)&gt;1,"CPF + dia duplicado",IF(OR(AND(E4479&lt;&gt;"",E4479&lt;B4479),AND(F4479&lt;&gt;"",F4479&lt;B4479)),"Evento anterior à entrada",IF(AND(F4479&lt;&gt;"",E4479=""),"Conversa sem agendamento",IF(OR(E4479&gt;TODAY(),F4479&gt;TODAY()),"Verificar evento futuro","OK"))))))</f>
        <v/>
      </c>
    </row>
    <row r="4480" spans="9:12">
      <c r="I4480" s="5">
        <f>IF(OR(A4480="",B4480=""),"",B4480-WEEKDAY(B4480,2)+1)</f>
        <v/>
      </c>
      <c r="J4480" s="5">
        <f>IF(I4480="","",I4480+6)</f>
        <v/>
      </c>
      <c r="K4480" s="6">
        <f>IF(OR(A4480="",B4480=""),"",DATE(YEAR(B4480),MONTH(B4480),1))</f>
        <v/>
      </c>
      <c r="L4480" s="7">
        <f>IF(COUNTA(A4480,B4480)=0,"",IF(OR(A4480="",B4480=""),"Preencher CPF e entrada",IF(COUNTIFS($A$12:$A$5011,A4480,$B$12:$B$5011,B4480)&gt;1,"CPF + dia duplicado",IF(OR(AND(E4480&lt;&gt;"",E4480&lt;B4480),AND(F4480&lt;&gt;"",F4480&lt;B4480)),"Evento anterior à entrada",IF(AND(F4480&lt;&gt;"",E4480=""),"Conversa sem agendamento",IF(OR(E4480&gt;TODAY(),F4480&gt;TODAY()),"Verificar evento futuro","OK"))))))</f>
        <v/>
      </c>
    </row>
    <row r="4481" spans="9:12">
      <c r="I4481" s="5">
        <f>IF(OR(A4481="",B4481=""),"",B4481-WEEKDAY(B4481,2)+1)</f>
        <v/>
      </c>
      <c r="J4481" s="5">
        <f>IF(I4481="","",I4481+6)</f>
        <v/>
      </c>
      <c r="K4481" s="6">
        <f>IF(OR(A4481="",B4481=""),"",DATE(YEAR(B4481),MONTH(B4481),1))</f>
        <v/>
      </c>
      <c r="L4481" s="7">
        <f>IF(COUNTA(A4481,B4481)=0,"",IF(OR(A4481="",B4481=""),"Preencher CPF e entrada",IF(COUNTIFS($A$12:$A$5011,A4481,$B$12:$B$5011,B4481)&gt;1,"CPF + dia duplicado",IF(OR(AND(E4481&lt;&gt;"",E4481&lt;B4481),AND(F4481&lt;&gt;"",F4481&lt;B4481)),"Evento anterior à entrada",IF(AND(F4481&lt;&gt;"",E4481=""),"Conversa sem agendamento",IF(OR(E4481&gt;TODAY(),F4481&gt;TODAY()),"Verificar evento futuro","OK"))))))</f>
        <v/>
      </c>
    </row>
    <row r="4482" spans="9:12">
      <c r="I4482" s="5">
        <f>IF(OR(A4482="",B4482=""),"",B4482-WEEKDAY(B4482,2)+1)</f>
        <v/>
      </c>
      <c r="J4482" s="5">
        <f>IF(I4482="","",I4482+6)</f>
        <v/>
      </c>
      <c r="K4482" s="6">
        <f>IF(OR(A4482="",B4482=""),"",DATE(YEAR(B4482),MONTH(B4482),1))</f>
        <v/>
      </c>
      <c r="L4482" s="7">
        <f>IF(COUNTA(A4482,B4482)=0,"",IF(OR(A4482="",B4482=""),"Preencher CPF e entrada",IF(COUNTIFS($A$12:$A$5011,A4482,$B$12:$B$5011,B4482)&gt;1,"CPF + dia duplicado",IF(OR(AND(E4482&lt;&gt;"",E4482&lt;B4482),AND(F4482&lt;&gt;"",F4482&lt;B4482)),"Evento anterior à entrada",IF(AND(F4482&lt;&gt;"",E4482=""),"Conversa sem agendamento",IF(OR(E4482&gt;TODAY(),F4482&gt;TODAY()),"Verificar evento futuro","OK"))))))</f>
        <v/>
      </c>
    </row>
    <row r="4483" spans="9:12">
      <c r="I4483" s="5">
        <f>IF(OR(A4483="",B4483=""),"",B4483-WEEKDAY(B4483,2)+1)</f>
        <v/>
      </c>
      <c r="J4483" s="5">
        <f>IF(I4483="","",I4483+6)</f>
        <v/>
      </c>
      <c r="K4483" s="6">
        <f>IF(OR(A4483="",B4483=""),"",DATE(YEAR(B4483),MONTH(B4483),1))</f>
        <v/>
      </c>
      <c r="L4483" s="7">
        <f>IF(COUNTA(A4483,B4483)=0,"",IF(OR(A4483="",B4483=""),"Preencher CPF e entrada",IF(COUNTIFS($A$12:$A$5011,A4483,$B$12:$B$5011,B4483)&gt;1,"CPF + dia duplicado",IF(OR(AND(E4483&lt;&gt;"",E4483&lt;B4483),AND(F4483&lt;&gt;"",F4483&lt;B4483)),"Evento anterior à entrada",IF(AND(F4483&lt;&gt;"",E4483=""),"Conversa sem agendamento",IF(OR(E4483&gt;TODAY(),F4483&gt;TODAY()),"Verificar evento futuro","OK"))))))</f>
        <v/>
      </c>
    </row>
    <row r="4484" spans="9:12">
      <c r="I4484" s="5">
        <f>IF(OR(A4484="",B4484=""),"",B4484-WEEKDAY(B4484,2)+1)</f>
        <v/>
      </c>
      <c r="J4484" s="5">
        <f>IF(I4484="","",I4484+6)</f>
        <v/>
      </c>
      <c r="K4484" s="6">
        <f>IF(OR(A4484="",B4484=""),"",DATE(YEAR(B4484),MONTH(B4484),1))</f>
        <v/>
      </c>
      <c r="L4484" s="7">
        <f>IF(COUNTA(A4484,B4484)=0,"",IF(OR(A4484="",B4484=""),"Preencher CPF e entrada",IF(COUNTIFS($A$12:$A$5011,A4484,$B$12:$B$5011,B4484)&gt;1,"CPF + dia duplicado",IF(OR(AND(E4484&lt;&gt;"",E4484&lt;B4484),AND(F4484&lt;&gt;"",F4484&lt;B4484)),"Evento anterior à entrada",IF(AND(F4484&lt;&gt;"",E4484=""),"Conversa sem agendamento",IF(OR(E4484&gt;TODAY(),F4484&gt;TODAY()),"Verificar evento futuro","OK"))))))</f>
        <v/>
      </c>
    </row>
    <row r="4485" spans="9:12">
      <c r="I4485" s="5">
        <f>IF(OR(A4485="",B4485=""),"",B4485-WEEKDAY(B4485,2)+1)</f>
        <v/>
      </c>
      <c r="J4485" s="5">
        <f>IF(I4485="","",I4485+6)</f>
        <v/>
      </c>
      <c r="K4485" s="6">
        <f>IF(OR(A4485="",B4485=""),"",DATE(YEAR(B4485),MONTH(B4485),1))</f>
        <v/>
      </c>
      <c r="L4485" s="7">
        <f>IF(COUNTA(A4485,B4485)=0,"",IF(OR(A4485="",B4485=""),"Preencher CPF e entrada",IF(COUNTIFS($A$12:$A$5011,A4485,$B$12:$B$5011,B4485)&gt;1,"CPF + dia duplicado",IF(OR(AND(E4485&lt;&gt;"",E4485&lt;B4485),AND(F4485&lt;&gt;"",F4485&lt;B4485)),"Evento anterior à entrada",IF(AND(F4485&lt;&gt;"",E4485=""),"Conversa sem agendamento",IF(OR(E4485&gt;TODAY(),F4485&gt;TODAY()),"Verificar evento futuro","OK"))))))</f>
        <v/>
      </c>
    </row>
    <row r="4486" spans="9:12">
      <c r="I4486" s="5">
        <f>IF(OR(A4486="",B4486=""),"",B4486-WEEKDAY(B4486,2)+1)</f>
        <v/>
      </c>
      <c r="J4486" s="5">
        <f>IF(I4486="","",I4486+6)</f>
        <v/>
      </c>
      <c r="K4486" s="6">
        <f>IF(OR(A4486="",B4486=""),"",DATE(YEAR(B4486),MONTH(B4486),1))</f>
        <v/>
      </c>
      <c r="L4486" s="7">
        <f>IF(COUNTA(A4486,B4486)=0,"",IF(OR(A4486="",B4486=""),"Preencher CPF e entrada",IF(COUNTIFS($A$12:$A$5011,A4486,$B$12:$B$5011,B4486)&gt;1,"CPF + dia duplicado",IF(OR(AND(E4486&lt;&gt;"",E4486&lt;B4486),AND(F4486&lt;&gt;"",F4486&lt;B4486)),"Evento anterior à entrada",IF(AND(F4486&lt;&gt;"",E4486=""),"Conversa sem agendamento",IF(OR(E4486&gt;TODAY(),F4486&gt;TODAY()),"Verificar evento futuro","OK"))))))</f>
        <v/>
      </c>
    </row>
    <row r="4487" spans="9:12">
      <c r="I4487" s="5">
        <f>IF(OR(A4487="",B4487=""),"",B4487-WEEKDAY(B4487,2)+1)</f>
        <v/>
      </c>
      <c r="J4487" s="5">
        <f>IF(I4487="","",I4487+6)</f>
        <v/>
      </c>
      <c r="K4487" s="6">
        <f>IF(OR(A4487="",B4487=""),"",DATE(YEAR(B4487),MONTH(B4487),1))</f>
        <v/>
      </c>
      <c r="L4487" s="7">
        <f>IF(COUNTA(A4487,B4487)=0,"",IF(OR(A4487="",B4487=""),"Preencher CPF e entrada",IF(COUNTIFS($A$12:$A$5011,A4487,$B$12:$B$5011,B4487)&gt;1,"CPF + dia duplicado",IF(OR(AND(E4487&lt;&gt;"",E4487&lt;B4487),AND(F4487&lt;&gt;"",F4487&lt;B4487)),"Evento anterior à entrada",IF(AND(F4487&lt;&gt;"",E4487=""),"Conversa sem agendamento",IF(OR(E4487&gt;TODAY(),F4487&gt;TODAY()),"Verificar evento futuro","OK"))))))</f>
        <v/>
      </c>
    </row>
    <row r="4488" spans="9:12">
      <c r="I4488" s="5">
        <f>IF(OR(A4488="",B4488=""),"",B4488-WEEKDAY(B4488,2)+1)</f>
        <v/>
      </c>
      <c r="J4488" s="5">
        <f>IF(I4488="","",I4488+6)</f>
        <v/>
      </c>
      <c r="K4488" s="6">
        <f>IF(OR(A4488="",B4488=""),"",DATE(YEAR(B4488),MONTH(B4488),1))</f>
        <v/>
      </c>
      <c r="L4488" s="7">
        <f>IF(COUNTA(A4488,B4488)=0,"",IF(OR(A4488="",B4488=""),"Preencher CPF e entrada",IF(COUNTIFS($A$12:$A$5011,A4488,$B$12:$B$5011,B4488)&gt;1,"CPF + dia duplicado",IF(OR(AND(E4488&lt;&gt;"",E4488&lt;B4488),AND(F4488&lt;&gt;"",F4488&lt;B4488)),"Evento anterior à entrada",IF(AND(F4488&lt;&gt;"",E4488=""),"Conversa sem agendamento",IF(OR(E4488&gt;TODAY(),F4488&gt;TODAY()),"Verificar evento futuro","OK"))))))</f>
        <v/>
      </c>
    </row>
    <row r="4489" spans="9:12">
      <c r="I4489" s="5">
        <f>IF(OR(A4489="",B4489=""),"",B4489-WEEKDAY(B4489,2)+1)</f>
        <v/>
      </c>
      <c r="J4489" s="5">
        <f>IF(I4489="","",I4489+6)</f>
        <v/>
      </c>
      <c r="K4489" s="6">
        <f>IF(OR(A4489="",B4489=""),"",DATE(YEAR(B4489),MONTH(B4489),1))</f>
        <v/>
      </c>
      <c r="L4489" s="7">
        <f>IF(COUNTA(A4489,B4489)=0,"",IF(OR(A4489="",B4489=""),"Preencher CPF e entrada",IF(COUNTIFS($A$12:$A$5011,A4489,$B$12:$B$5011,B4489)&gt;1,"CPF + dia duplicado",IF(OR(AND(E4489&lt;&gt;"",E4489&lt;B4489),AND(F4489&lt;&gt;"",F4489&lt;B4489)),"Evento anterior à entrada",IF(AND(F4489&lt;&gt;"",E4489=""),"Conversa sem agendamento",IF(OR(E4489&gt;TODAY(),F4489&gt;TODAY()),"Verificar evento futuro","OK"))))))</f>
        <v/>
      </c>
    </row>
    <row r="4490" spans="9:12">
      <c r="I4490" s="5">
        <f>IF(OR(A4490="",B4490=""),"",B4490-WEEKDAY(B4490,2)+1)</f>
        <v/>
      </c>
      <c r="J4490" s="5">
        <f>IF(I4490="","",I4490+6)</f>
        <v/>
      </c>
      <c r="K4490" s="6">
        <f>IF(OR(A4490="",B4490=""),"",DATE(YEAR(B4490),MONTH(B4490),1))</f>
        <v/>
      </c>
      <c r="L4490" s="7">
        <f>IF(COUNTA(A4490,B4490)=0,"",IF(OR(A4490="",B4490=""),"Preencher CPF e entrada",IF(COUNTIFS($A$12:$A$5011,A4490,$B$12:$B$5011,B4490)&gt;1,"CPF + dia duplicado",IF(OR(AND(E4490&lt;&gt;"",E4490&lt;B4490),AND(F4490&lt;&gt;"",F4490&lt;B4490)),"Evento anterior à entrada",IF(AND(F4490&lt;&gt;"",E4490=""),"Conversa sem agendamento",IF(OR(E4490&gt;TODAY(),F4490&gt;TODAY()),"Verificar evento futuro","OK"))))))</f>
        <v/>
      </c>
    </row>
    <row r="4491" spans="9:12">
      <c r="I4491" s="5">
        <f>IF(OR(A4491="",B4491=""),"",B4491-WEEKDAY(B4491,2)+1)</f>
        <v/>
      </c>
      <c r="J4491" s="5">
        <f>IF(I4491="","",I4491+6)</f>
        <v/>
      </c>
      <c r="K4491" s="6">
        <f>IF(OR(A4491="",B4491=""),"",DATE(YEAR(B4491),MONTH(B4491),1))</f>
        <v/>
      </c>
      <c r="L4491" s="7">
        <f>IF(COUNTA(A4491,B4491)=0,"",IF(OR(A4491="",B4491=""),"Preencher CPF e entrada",IF(COUNTIFS($A$12:$A$5011,A4491,$B$12:$B$5011,B4491)&gt;1,"CPF + dia duplicado",IF(OR(AND(E4491&lt;&gt;"",E4491&lt;B4491),AND(F4491&lt;&gt;"",F4491&lt;B4491)),"Evento anterior à entrada",IF(AND(F4491&lt;&gt;"",E4491=""),"Conversa sem agendamento",IF(OR(E4491&gt;TODAY(),F4491&gt;TODAY()),"Verificar evento futuro","OK"))))))</f>
        <v/>
      </c>
    </row>
    <row r="4492" spans="9:12">
      <c r="I4492" s="5">
        <f>IF(OR(A4492="",B4492=""),"",B4492-WEEKDAY(B4492,2)+1)</f>
        <v/>
      </c>
      <c r="J4492" s="5">
        <f>IF(I4492="","",I4492+6)</f>
        <v/>
      </c>
      <c r="K4492" s="6">
        <f>IF(OR(A4492="",B4492=""),"",DATE(YEAR(B4492),MONTH(B4492),1))</f>
        <v/>
      </c>
      <c r="L4492" s="7">
        <f>IF(COUNTA(A4492,B4492)=0,"",IF(OR(A4492="",B4492=""),"Preencher CPF e entrada",IF(COUNTIFS($A$12:$A$5011,A4492,$B$12:$B$5011,B4492)&gt;1,"CPF + dia duplicado",IF(OR(AND(E4492&lt;&gt;"",E4492&lt;B4492),AND(F4492&lt;&gt;"",F4492&lt;B4492)),"Evento anterior à entrada",IF(AND(F4492&lt;&gt;"",E4492=""),"Conversa sem agendamento",IF(OR(E4492&gt;TODAY(),F4492&gt;TODAY()),"Verificar evento futuro","OK"))))))</f>
        <v/>
      </c>
    </row>
    <row r="4493" spans="9:12">
      <c r="I4493" s="5">
        <f>IF(OR(A4493="",B4493=""),"",B4493-WEEKDAY(B4493,2)+1)</f>
        <v/>
      </c>
      <c r="J4493" s="5">
        <f>IF(I4493="","",I4493+6)</f>
        <v/>
      </c>
      <c r="K4493" s="6">
        <f>IF(OR(A4493="",B4493=""),"",DATE(YEAR(B4493),MONTH(B4493),1))</f>
        <v/>
      </c>
      <c r="L4493" s="7">
        <f>IF(COUNTA(A4493,B4493)=0,"",IF(OR(A4493="",B4493=""),"Preencher CPF e entrada",IF(COUNTIFS($A$12:$A$5011,A4493,$B$12:$B$5011,B4493)&gt;1,"CPF + dia duplicado",IF(OR(AND(E4493&lt;&gt;"",E4493&lt;B4493),AND(F4493&lt;&gt;"",F4493&lt;B4493)),"Evento anterior à entrada",IF(AND(F4493&lt;&gt;"",E4493=""),"Conversa sem agendamento",IF(OR(E4493&gt;TODAY(),F4493&gt;TODAY()),"Verificar evento futuro","OK"))))))</f>
        <v/>
      </c>
    </row>
    <row r="4494" spans="9:12">
      <c r="I4494" s="5">
        <f>IF(OR(A4494="",B4494=""),"",B4494-WEEKDAY(B4494,2)+1)</f>
        <v/>
      </c>
      <c r="J4494" s="5">
        <f>IF(I4494="","",I4494+6)</f>
        <v/>
      </c>
      <c r="K4494" s="6">
        <f>IF(OR(A4494="",B4494=""),"",DATE(YEAR(B4494),MONTH(B4494),1))</f>
        <v/>
      </c>
      <c r="L4494" s="7">
        <f>IF(COUNTA(A4494,B4494)=0,"",IF(OR(A4494="",B4494=""),"Preencher CPF e entrada",IF(COUNTIFS($A$12:$A$5011,A4494,$B$12:$B$5011,B4494)&gt;1,"CPF + dia duplicado",IF(OR(AND(E4494&lt;&gt;"",E4494&lt;B4494),AND(F4494&lt;&gt;"",F4494&lt;B4494)),"Evento anterior à entrada",IF(AND(F4494&lt;&gt;"",E4494=""),"Conversa sem agendamento",IF(OR(E4494&gt;TODAY(),F4494&gt;TODAY()),"Verificar evento futuro","OK"))))))</f>
        <v/>
      </c>
    </row>
    <row r="4495" spans="9:12">
      <c r="I4495" s="5">
        <f>IF(OR(A4495="",B4495=""),"",B4495-WEEKDAY(B4495,2)+1)</f>
        <v/>
      </c>
      <c r="J4495" s="5">
        <f>IF(I4495="","",I4495+6)</f>
        <v/>
      </c>
      <c r="K4495" s="6">
        <f>IF(OR(A4495="",B4495=""),"",DATE(YEAR(B4495),MONTH(B4495),1))</f>
        <v/>
      </c>
      <c r="L4495" s="7">
        <f>IF(COUNTA(A4495,B4495)=0,"",IF(OR(A4495="",B4495=""),"Preencher CPF e entrada",IF(COUNTIFS($A$12:$A$5011,A4495,$B$12:$B$5011,B4495)&gt;1,"CPF + dia duplicado",IF(OR(AND(E4495&lt;&gt;"",E4495&lt;B4495),AND(F4495&lt;&gt;"",F4495&lt;B4495)),"Evento anterior à entrada",IF(AND(F4495&lt;&gt;"",E4495=""),"Conversa sem agendamento",IF(OR(E4495&gt;TODAY(),F4495&gt;TODAY()),"Verificar evento futuro","OK"))))))</f>
        <v/>
      </c>
    </row>
    <row r="4496" spans="9:12">
      <c r="I4496" s="5">
        <f>IF(OR(A4496="",B4496=""),"",B4496-WEEKDAY(B4496,2)+1)</f>
        <v/>
      </c>
      <c r="J4496" s="5">
        <f>IF(I4496="","",I4496+6)</f>
        <v/>
      </c>
      <c r="K4496" s="6">
        <f>IF(OR(A4496="",B4496=""),"",DATE(YEAR(B4496),MONTH(B4496),1))</f>
        <v/>
      </c>
      <c r="L4496" s="7">
        <f>IF(COUNTA(A4496,B4496)=0,"",IF(OR(A4496="",B4496=""),"Preencher CPF e entrada",IF(COUNTIFS($A$12:$A$5011,A4496,$B$12:$B$5011,B4496)&gt;1,"CPF + dia duplicado",IF(OR(AND(E4496&lt;&gt;"",E4496&lt;B4496),AND(F4496&lt;&gt;"",F4496&lt;B4496)),"Evento anterior à entrada",IF(AND(F4496&lt;&gt;"",E4496=""),"Conversa sem agendamento",IF(OR(E4496&gt;TODAY(),F4496&gt;TODAY()),"Verificar evento futuro","OK"))))))</f>
        <v/>
      </c>
    </row>
    <row r="4497" spans="9:12">
      <c r="I4497" s="5">
        <f>IF(OR(A4497="",B4497=""),"",B4497-WEEKDAY(B4497,2)+1)</f>
        <v/>
      </c>
      <c r="J4497" s="5">
        <f>IF(I4497="","",I4497+6)</f>
        <v/>
      </c>
      <c r="K4497" s="6">
        <f>IF(OR(A4497="",B4497=""),"",DATE(YEAR(B4497),MONTH(B4497),1))</f>
        <v/>
      </c>
      <c r="L4497" s="7">
        <f>IF(COUNTA(A4497,B4497)=0,"",IF(OR(A4497="",B4497=""),"Preencher CPF e entrada",IF(COUNTIFS($A$12:$A$5011,A4497,$B$12:$B$5011,B4497)&gt;1,"CPF + dia duplicado",IF(OR(AND(E4497&lt;&gt;"",E4497&lt;B4497),AND(F4497&lt;&gt;"",F4497&lt;B4497)),"Evento anterior à entrada",IF(AND(F4497&lt;&gt;"",E4497=""),"Conversa sem agendamento",IF(OR(E4497&gt;TODAY(),F4497&gt;TODAY()),"Verificar evento futuro","OK"))))))</f>
        <v/>
      </c>
    </row>
    <row r="4498" spans="9:12">
      <c r="I4498" s="5">
        <f>IF(OR(A4498="",B4498=""),"",B4498-WEEKDAY(B4498,2)+1)</f>
        <v/>
      </c>
      <c r="J4498" s="5">
        <f>IF(I4498="","",I4498+6)</f>
        <v/>
      </c>
      <c r="K4498" s="6">
        <f>IF(OR(A4498="",B4498=""),"",DATE(YEAR(B4498),MONTH(B4498),1))</f>
        <v/>
      </c>
      <c r="L4498" s="7">
        <f>IF(COUNTA(A4498,B4498)=0,"",IF(OR(A4498="",B4498=""),"Preencher CPF e entrada",IF(COUNTIFS($A$12:$A$5011,A4498,$B$12:$B$5011,B4498)&gt;1,"CPF + dia duplicado",IF(OR(AND(E4498&lt;&gt;"",E4498&lt;B4498),AND(F4498&lt;&gt;"",F4498&lt;B4498)),"Evento anterior à entrada",IF(AND(F4498&lt;&gt;"",E4498=""),"Conversa sem agendamento",IF(OR(E4498&gt;TODAY(),F4498&gt;TODAY()),"Verificar evento futuro","OK"))))))</f>
        <v/>
      </c>
    </row>
    <row r="4499" spans="9:12">
      <c r="I4499" s="5">
        <f>IF(OR(A4499="",B4499=""),"",B4499-WEEKDAY(B4499,2)+1)</f>
        <v/>
      </c>
      <c r="J4499" s="5">
        <f>IF(I4499="","",I4499+6)</f>
        <v/>
      </c>
      <c r="K4499" s="6">
        <f>IF(OR(A4499="",B4499=""),"",DATE(YEAR(B4499),MONTH(B4499),1))</f>
        <v/>
      </c>
      <c r="L4499" s="7">
        <f>IF(COUNTA(A4499,B4499)=0,"",IF(OR(A4499="",B4499=""),"Preencher CPF e entrada",IF(COUNTIFS($A$12:$A$5011,A4499,$B$12:$B$5011,B4499)&gt;1,"CPF + dia duplicado",IF(OR(AND(E4499&lt;&gt;"",E4499&lt;B4499),AND(F4499&lt;&gt;"",F4499&lt;B4499)),"Evento anterior à entrada",IF(AND(F4499&lt;&gt;"",E4499=""),"Conversa sem agendamento",IF(OR(E4499&gt;TODAY(),F4499&gt;TODAY()),"Verificar evento futuro","OK"))))))</f>
        <v/>
      </c>
    </row>
    <row r="4500" spans="9:12">
      <c r="I4500" s="5">
        <f>IF(OR(A4500="",B4500=""),"",B4500-WEEKDAY(B4500,2)+1)</f>
        <v/>
      </c>
      <c r="J4500" s="5">
        <f>IF(I4500="","",I4500+6)</f>
        <v/>
      </c>
      <c r="K4500" s="6">
        <f>IF(OR(A4500="",B4500=""),"",DATE(YEAR(B4500),MONTH(B4500),1))</f>
        <v/>
      </c>
      <c r="L4500" s="7">
        <f>IF(COUNTA(A4500,B4500)=0,"",IF(OR(A4500="",B4500=""),"Preencher CPF e entrada",IF(COUNTIFS($A$12:$A$5011,A4500,$B$12:$B$5011,B4500)&gt;1,"CPF + dia duplicado",IF(OR(AND(E4500&lt;&gt;"",E4500&lt;B4500),AND(F4500&lt;&gt;"",F4500&lt;B4500)),"Evento anterior à entrada",IF(AND(F4500&lt;&gt;"",E4500=""),"Conversa sem agendamento",IF(OR(E4500&gt;TODAY(),F4500&gt;TODAY()),"Verificar evento futuro","OK"))))))</f>
        <v/>
      </c>
    </row>
    <row r="4501" spans="9:12">
      <c r="I4501" s="5">
        <f>IF(OR(A4501="",B4501=""),"",B4501-WEEKDAY(B4501,2)+1)</f>
        <v/>
      </c>
      <c r="J4501" s="5">
        <f>IF(I4501="","",I4501+6)</f>
        <v/>
      </c>
      <c r="K4501" s="6">
        <f>IF(OR(A4501="",B4501=""),"",DATE(YEAR(B4501),MONTH(B4501),1))</f>
        <v/>
      </c>
      <c r="L4501" s="7">
        <f>IF(COUNTA(A4501,B4501)=0,"",IF(OR(A4501="",B4501=""),"Preencher CPF e entrada",IF(COUNTIFS($A$12:$A$5011,A4501,$B$12:$B$5011,B4501)&gt;1,"CPF + dia duplicado",IF(OR(AND(E4501&lt;&gt;"",E4501&lt;B4501),AND(F4501&lt;&gt;"",F4501&lt;B4501)),"Evento anterior à entrada",IF(AND(F4501&lt;&gt;"",E4501=""),"Conversa sem agendamento",IF(OR(E4501&gt;TODAY(),F4501&gt;TODAY()),"Verificar evento futuro","OK"))))))</f>
        <v/>
      </c>
    </row>
    <row r="4502" spans="9:12">
      <c r="I4502" s="5">
        <f>IF(OR(A4502="",B4502=""),"",B4502-WEEKDAY(B4502,2)+1)</f>
        <v/>
      </c>
      <c r="J4502" s="5">
        <f>IF(I4502="","",I4502+6)</f>
        <v/>
      </c>
      <c r="K4502" s="6">
        <f>IF(OR(A4502="",B4502=""),"",DATE(YEAR(B4502),MONTH(B4502),1))</f>
        <v/>
      </c>
      <c r="L4502" s="7">
        <f>IF(COUNTA(A4502,B4502)=0,"",IF(OR(A4502="",B4502=""),"Preencher CPF e entrada",IF(COUNTIFS($A$12:$A$5011,A4502,$B$12:$B$5011,B4502)&gt;1,"CPF + dia duplicado",IF(OR(AND(E4502&lt;&gt;"",E4502&lt;B4502),AND(F4502&lt;&gt;"",F4502&lt;B4502)),"Evento anterior à entrada",IF(AND(F4502&lt;&gt;"",E4502=""),"Conversa sem agendamento",IF(OR(E4502&gt;TODAY(),F4502&gt;TODAY()),"Verificar evento futuro","OK"))))))</f>
        <v/>
      </c>
    </row>
    <row r="4503" spans="9:12">
      <c r="I4503" s="5">
        <f>IF(OR(A4503="",B4503=""),"",B4503-WEEKDAY(B4503,2)+1)</f>
        <v/>
      </c>
      <c r="J4503" s="5">
        <f>IF(I4503="","",I4503+6)</f>
        <v/>
      </c>
      <c r="K4503" s="6">
        <f>IF(OR(A4503="",B4503=""),"",DATE(YEAR(B4503),MONTH(B4503),1))</f>
        <v/>
      </c>
      <c r="L4503" s="7">
        <f>IF(COUNTA(A4503,B4503)=0,"",IF(OR(A4503="",B4503=""),"Preencher CPF e entrada",IF(COUNTIFS($A$12:$A$5011,A4503,$B$12:$B$5011,B4503)&gt;1,"CPF + dia duplicado",IF(OR(AND(E4503&lt;&gt;"",E4503&lt;B4503),AND(F4503&lt;&gt;"",F4503&lt;B4503)),"Evento anterior à entrada",IF(AND(F4503&lt;&gt;"",E4503=""),"Conversa sem agendamento",IF(OR(E4503&gt;TODAY(),F4503&gt;TODAY()),"Verificar evento futuro","OK"))))))</f>
        <v/>
      </c>
    </row>
    <row r="4504" spans="9:12">
      <c r="I4504" s="5">
        <f>IF(OR(A4504="",B4504=""),"",B4504-WEEKDAY(B4504,2)+1)</f>
        <v/>
      </c>
      <c r="J4504" s="5">
        <f>IF(I4504="","",I4504+6)</f>
        <v/>
      </c>
      <c r="K4504" s="6">
        <f>IF(OR(A4504="",B4504=""),"",DATE(YEAR(B4504),MONTH(B4504),1))</f>
        <v/>
      </c>
      <c r="L4504" s="7">
        <f>IF(COUNTA(A4504,B4504)=0,"",IF(OR(A4504="",B4504=""),"Preencher CPF e entrada",IF(COUNTIFS($A$12:$A$5011,A4504,$B$12:$B$5011,B4504)&gt;1,"CPF + dia duplicado",IF(OR(AND(E4504&lt;&gt;"",E4504&lt;B4504),AND(F4504&lt;&gt;"",F4504&lt;B4504)),"Evento anterior à entrada",IF(AND(F4504&lt;&gt;"",E4504=""),"Conversa sem agendamento",IF(OR(E4504&gt;TODAY(),F4504&gt;TODAY()),"Verificar evento futuro","OK"))))))</f>
        <v/>
      </c>
    </row>
    <row r="4505" spans="9:12">
      <c r="I4505" s="5">
        <f>IF(OR(A4505="",B4505=""),"",B4505-WEEKDAY(B4505,2)+1)</f>
        <v/>
      </c>
      <c r="J4505" s="5">
        <f>IF(I4505="","",I4505+6)</f>
        <v/>
      </c>
      <c r="K4505" s="6">
        <f>IF(OR(A4505="",B4505=""),"",DATE(YEAR(B4505),MONTH(B4505),1))</f>
        <v/>
      </c>
      <c r="L4505" s="7">
        <f>IF(COUNTA(A4505,B4505)=0,"",IF(OR(A4505="",B4505=""),"Preencher CPF e entrada",IF(COUNTIFS($A$12:$A$5011,A4505,$B$12:$B$5011,B4505)&gt;1,"CPF + dia duplicado",IF(OR(AND(E4505&lt;&gt;"",E4505&lt;B4505),AND(F4505&lt;&gt;"",F4505&lt;B4505)),"Evento anterior à entrada",IF(AND(F4505&lt;&gt;"",E4505=""),"Conversa sem agendamento",IF(OR(E4505&gt;TODAY(),F4505&gt;TODAY()),"Verificar evento futuro","OK"))))))</f>
        <v/>
      </c>
    </row>
    <row r="4506" spans="9:12">
      <c r="I4506" s="5">
        <f>IF(OR(A4506="",B4506=""),"",B4506-WEEKDAY(B4506,2)+1)</f>
        <v/>
      </c>
      <c r="J4506" s="5">
        <f>IF(I4506="","",I4506+6)</f>
        <v/>
      </c>
      <c r="K4506" s="6">
        <f>IF(OR(A4506="",B4506=""),"",DATE(YEAR(B4506),MONTH(B4506),1))</f>
        <v/>
      </c>
      <c r="L4506" s="7">
        <f>IF(COUNTA(A4506,B4506)=0,"",IF(OR(A4506="",B4506=""),"Preencher CPF e entrada",IF(COUNTIFS($A$12:$A$5011,A4506,$B$12:$B$5011,B4506)&gt;1,"CPF + dia duplicado",IF(OR(AND(E4506&lt;&gt;"",E4506&lt;B4506),AND(F4506&lt;&gt;"",F4506&lt;B4506)),"Evento anterior à entrada",IF(AND(F4506&lt;&gt;"",E4506=""),"Conversa sem agendamento",IF(OR(E4506&gt;TODAY(),F4506&gt;TODAY()),"Verificar evento futuro","OK"))))))</f>
        <v/>
      </c>
    </row>
    <row r="4507" spans="9:12">
      <c r="I4507" s="5">
        <f>IF(OR(A4507="",B4507=""),"",B4507-WEEKDAY(B4507,2)+1)</f>
        <v/>
      </c>
      <c r="J4507" s="5">
        <f>IF(I4507="","",I4507+6)</f>
        <v/>
      </c>
      <c r="K4507" s="6">
        <f>IF(OR(A4507="",B4507=""),"",DATE(YEAR(B4507),MONTH(B4507),1))</f>
        <v/>
      </c>
      <c r="L4507" s="7">
        <f>IF(COUNTA(A4507,B4507)=0,"",IF(OR(A4507="",B4507=""),"Preencher CPF e entrada",IF(COUNTIFS($A$12:$A$5011,A4507,$B$12:$B$5011,B4507)&gt;1,"CPF + dia duplicado",IF(OR(AND(E4507&lt;&gt;"",E4507&lt;B4507),AND(F4507&lt;&gt;"",F4507&lt;B4507)),"Evento anterior à entrada",IF(AND(F4507&lt;&gt;"",E4507=""),"Conversa sem agendamento",IF(OR(E4507&gt;TODAY(),F4507&gt;TODAY()),"Verificar evento futuro","OK"))))))</f>
        <v/>
      </c>
    </row>
    <row r="4508" spans="9:12">
      <c r="I4508" s="5">
        <f>IF(OR(A4508="",B4508=""),"",B4508-WEEKDAY(B4508,2)+1)</f>
        <v/>
      </c>
      <c r="J4508" s="5">
        <f>IF(I4508="","",I4508+6)</f>
        <v/>
      </c>
      <c r="K4508" s="6">
        <f>IF(OR(A4508="",B4508=""),"",DATE(YEAR(B4508),MONTH(B4508),1))</f>
        <v/>
      </c>
      <c r="L4508" s="7">
        <f>IF(COUNTA(A4508,B4508)=0,"",IF(OR(A4508="",B4508=""),"Preencher CPF e entrada",IF(COUNTIFS($A$12:$A$5011,A4508,$B$12:$B$5011,B4508)&gt;1,"CPF + dia duplicado",IF(OR(AND(E4508&lt;&gt;"",E4508&lt;B4508),AND(F4508&lt;&gt;"",F4508&lt;B4508)),"Evento anterior à entrada",IF(AND(F4508&lt;&gt;"",E4508=""),"Conversa sem agendamento",IF(OR(E4508&gt;TODAY(),F4508&gt;TODAY()),"Verificar evento futuro","OK"))))))</f>
        <v/>
      </c>
    </row>
    <row r="4509" spans="9:12">
      <c r="I4509" s="5">
        <f>IF(OR(A4509="",B4509=""),"",B4509-WEEKDAY(B4509,2)+1)</f>
        <v/>
      </c>
      <c r="J4509" s="5">
        <f>IF(I4509="","",I4509+6)</f>
        <v/>
      </c>
      <c r="K4509" s="6">
        <f>IF(OR(A4509="",B4509=""),"",DATE(YEAR(B4509),MONTH(B4509),1))</f>
        <v/>
      </c>
      <c r="L4509" s="7">
        <f>IF(COUNTA(A4509,B4509)=0,"",IF(OR(A4509="",B4509=""),"Preencher CPF e entrada",IF(COUNTIFS($A$12:$A$5011,A4509,$B$12:$B$5011,B4509)&gt;1,"CPF + dia duplicado",IF(OR(AND(E4509&lt;&gt;"",E4509&lt;B4509),AND(F4509&lt;&gt;"",F4509&lt;B4509)),"Evento anterior à entrada",IF(AND(F4509&lt;&gt;"",E4509=""),"Conversa sem agendamento",IF(OR(E4509&gt;TODAY(),F4509&gt;TODAY()),"Verificar evento futuro","OK"))))))</f>
        <v/>
      </c>
    </row>
    <row r="4510" spans="9:12">
      <c r="I4510" s="5">
        <f>IF(OR(A4510="",B4510=""),"",B4510-WEEKDAY(B4510,2)+1)</f>
        <v/>
      </c>
      <c r="J4510" s="5">
        <f>IF(I4510="","",I4510+6)</f>
        <v/>
      </c>
      <c r="K4510" s="6">
        <f>IF(OR(A4510="",B4510=""),"",DATE(YEAR(B4510),MONTH(B4510),1))</f>
        <v/>
      </c>
      <c r="L4510" s="7">
        <f>IF(COUNTA(A4510,B4510)=0,"",IF(OR(A4510="",B4510=""),"Preencher CPF e entrada",IF(COUNTIFS($A$12:$A$5011,A4510,$B$12:$B$5011,B4510)&gt;1,"CPF + dia duplicado",IF(OR(AND(E4510&lt;&gt;"",E4510&lt;B4510),AND(F4510&lt;&gt;"",F4510&lt;B4510)),"Evento anterior à entrada",IF(AND(F4510&lt;&gt;"",E4510=""),"Conversa sem agendamento",IF(OR(E4510&gt;TODAY(),F4510&gt;TODAY()),"Verificar evento futuro","OK"))))))</f>
        <v/>
      </c>
    </row>
    <row r="4511" spans="9:12">
      <c r="I4511" s="5">
        <f>IF(OR(A4511="",B4511=""),"",B4511-WEEKDAY(B4511,2)+1)</f>
        <v/>
      </c>
      <c r="J4511" s="5">
        <f>IF(I4511="","",I4511+6)</f>
        <v/>
      </c>
      <c r="K4511" s="6">
        <f>IF(OR(A4511="",B4511=""),"",DATE(YEAR(B4511),MONTH(B4511),1))</f>
        <v/>
      </c>
      <c r="L4511" s="7">
        <f>IF(COUNTA(A4511,B4511)=0,"",IF(OR(A4511="",B4511=""),"Preencher CPF e entrada",IF(COUNTIFS($A$12:$A$5011,A4511,$B$12:$B$5011,B4511)&gt;1,"CPF + dia duplicado",IF(OR(AND(E4511&lt;&gt;"",E4511&lt;B4511),AND(F4511&lt;&gt;"",F4511&lt;B4511)),"Evento anterior à entrada",IF(AND(F4511&lt;&gt;"",E4511=""),"Conversa sem agendamento",IF(OR(E4511&gt;TODAY(),F4511&gt;TODAY()),"Verificar evento futuro","OK"))))))</f>
        <v/>
      </c>
    </row>
    <row r="4512" spans="9:12">
      <c r="I4512" s="5">
        <f>IF(OR(A4512="",B4512=""),"",B4512-WEEKDAY(B4512,2)+1)</f>
        <v/>
      </c>
      <c r="J4512" s="5">
        <f>IF(I4512="","",I4512+6)</f>
        <v/>
      </c>
      <c r="K4512" s="6">
        <f>IF(OR(A4512="",B4512=""),"",DATE(YEAR(B4512),MONTH(B4512),1))</f>
        <v/>
      </c>
      <c r="L4512" s="7">
        <f>IF(COUNTA(A4512,B4512)=0,"",IF(OR(A4512="",B4512=""),"Preencher CPF e entrada",IF(COUNTIFS($A$12:$A$5011,A4512,$B$12:$B$5011,B4512)&gt;1,"CPF + dia duplicado",IF(OR(AND(E4512&lt;&gt;"",E4512&lt;B4512),AND(F4512&lt;&gt;"",F4512&lt;B4512)),"Evento anterior à entrada",IF(AND(F4512&lt;&gt;"",E4512=""),"Conversa sem agendamento",IF(OR(E4512&gt;TODAY(),F4512&gt;TODAY()),"Verificar evento futuro","OK"))))))</f>
        <v/>
      </c>
    </row>
    <row r="4513" spans="9:12">
      <c r="I4513" s="5">
        <f>IF(OR(A4513="",B4513=""),"",B4513-WEEKDAY(B4513,2)+1)</f>
        <v/>
      </c>
      <c r="J4513" s="5">
        <f>IF(I4513="","",I4513+6)</f>
        <v/>
      </c>
      <c r="K4513" s="6">
        <f>IF(OR(A4513="",B4513=""),"",DATE(YEAR(B4513),MONTH(B4513),1))</f>
        <v/>
      </c>
      <c r="L4513" s="7">
        <f>IF(COUNTA(A4513,B4513)=0,"",IF(OR(A4513="",B4513=""),"Preencher CPF e entrada",IF(COUNTIFS($A$12:$A$5011,A4513,$B$12:$B$5011,B4513)&gt;1,"CPF + dia duplicado",IF(OR(AND(E4513&lt;&gt;"",E4513&lt;B4513),AND(F4513&lt;&gt;"",F4513&lt;B4513)),"Evento anterior à entrada",IF(AND(F4513&lt;&gt;"",E4513=""),"Conversa sem agendamento",IF(OR(E4513&gt;TODAY(),F4513&gt;TODAY()),"Verificar evento futuro","OK"))))))</f>
        <v/>
      </c>
    </row>
    <row r="4514" spans="9:12">
      <c r="I4514" s="5">
        <f>IF(OR(A4514="",B4514=""),"",B4514-WEEKDAY(B4514,2)+1)</f>
        <v/>
      </c>
      <c r="J4514" s="5">
        <f>IF(I4514="","",I4514+6)</f>
        <v/>
      </c>
      <c r="K4514" s="6">
        <f>IF(OR(A4514="",B4514=""),"",DATE(YEAR(B4514),MONTH(B4514),1))</f>
        <v/>
      </c>
      <c r="L4514" s="7">
        <f>IF(COUNTA(A4514,B4514)=0,"",IF(OR(A4514="",B4514=""),"Preencher CPF e entrada",IF(COUNTIFS($A$12:$A$5011,A4514,$B$12:$B$5011,B4514)&gt;1,"CPF + dia duplicado",IF(OR(AND(E4514&lt;&gt;"",E4514&lt;B4514),AND(F4514&lt;&gt;"",F4514&lt;B4514)),"Evento anterior à entrada",IF(AND(F4514&lt;&gt;"",E4514=""),"Conversa sem agendamento",IF(OR(E4514&gt;TODAY(),F4514&gt;TODAY()),"Verificar evento futuro","OK"))))))</f>
        <v/>
      </c>
    </row>
    <row r="4515" spans="9:12">
      <c r="I4515" s="5">
        <f>IF(OR(A4515="",B4515=""),"",B4515-WEEKDAY(B4515,2)+1)</f>
        <v/>
      </c>
      <c r="J4515" s="5">
        <f>IF(I4515="","",I4515+6)</f>
        <v/>
      </c>
      <c r="K4515" s="6">
        <f>IF(OR(A4515="",B4515=""),"",DATE(YEAR(B4515),MONTH(B4515),1))</f>
        <v/>
      </c>
      <c r="L4515" s="7">
        <f>IF(COUNTA(A4515,B4515)=0,"",IF(OR(A4515="",B4515=""),"Preencher CPF e entrada",IF(COUNTIFS($A$12:$A$5011,A4515,$B$12:$B$5011,B4515)&gt;1,"CPF + dia duplicado",IF(OR(AND(E4515&lt;&gt;"",E4515&lt;B4515),AND(F4515&lt;&gt;"",F4515&lt;B4515)),"Evento anterior à entrada",IF(AND(F4515&lt;&gt;"",E4515=""),"Conversa sem agendamento",IF(OR(E4515&gt;TODAY(),F4515&gt;TODAY()),"Verificar evento futuro","OK"))))))</f>
        <v/>
      </c>
    </row>
    <row r="4516" spans="9:12">
      <c r="I4516" s="5">
        <f>IF(OR(A4516="",B4516=""),"",B4516-WEEKDAY(B4516,2)+1)</f>
        <v/>
      </c>
      <c r="J4516" s="5">
        <f>IF(I4516="","",I4516+6)</f>
        <v/>
      </c>
      <c r="K4516" s="6">
        <f>IF(OR(A4516="",B4516=""),"",DATE(YEAR(B4516),MONTH(B4516),1))</f>
        <v/>
      </c>
      <c r="L4516" s="7">
        <f>IF(COUNTA(A4516,B4516)=0,"",IF(OR(A4516="",B4516=""),"Preencher CPF e entrada",IF(COUNTIFS($A$12:$A$5011,A4516,$B$12:$B$5011,B4516)&gt;1,"CPF + dia duplicado",IF(OR(AND(E4516&lt;&gt;"",E4516&lt;B4516),AND(F4516&lt;&gt;"",F4516&lt;B4516)),"Evento anterior à entrada",IF(AND(F4516&lt;&gt;"",E4516=""),"Conversa sem agendamento",IF(OR(E4516&gt;TODAY(),F4516&gt;TODAY()),"Verificar evento futuro","OK"))))))</f>
        <v/>
      </c>
    </row>
    <row r="4517" spans="9:12">
      <c r="I4517" s="5">
        <f>IF(OR(A4517="",B4517=""),"",B4517-WEEKDAY(B4517,2)+1)</f>
        <v/>
      </c>
      <c r="J4517" s="5">
        <f>IF(I4517="","",I4517+6)</f>
        <v/>
      </c>
      <c r="K4517" s="6">
        <f>IF(OR(A4517="",B4517=""),"",DATE(YEAR(B4517),MONTH(B4517),1))</f>
        <v/>
      </c>
      <c r="L4517" s="7">
        <f>IF(COUNTA(A4517,B4517)=0,"",IF(OR(A4517="",B4517=""),"Preencher CPF e entrada",IF(COUNTIFS($A$12:$A$5011,A4517,$B$12:$B$5011,B4517)&gt;1,"CPF + dia duplicado",IF(OR(AND(E4517&lt;&gt;"",E4517&lt;B4517),AND(F4517&lt;&gt;"",F4517&lt;B4517)),"Evento anterior à entrada",IF(AND(F4517&lt;&gt;"",E4517=""),"Conversa sem agendamento",IF(OR(E4517&gt;TODAY(),F4517&gt;TODAY()),"Verificar evento futuro","OK"))))))</f>
        <v/>
      </c>
    </row>
    <row r="4518" spans="9:12">
      <c r="I4518" s="5">
        <f>IF(OR(A4518="",B4518=""),"",B4518-WEEKDAY(B4518,2)+1)</f>
        <v/>
      </c>
      <c r="J4518" s="5">
        <f>IF(I4518="","",I4518+6)</f>
        <v/>
      </c>
      <c r="K4518" s="6">
        <f>IF(OR(A4518="",B4518=""),"",DATE(YEAR(B4518),MONTH(B4518),1))</f>
        <v/>
      </c>
      <c r="L4518" s="7">
        <f>IF(COUNTA(A4518,B4518)=0,"",IF(OR(A4518="",B4518=""),"Preencher CPF e entrada",IF(COUNTIFS($A$12:$A$5011,A4518,$B$12:$B$5011,B4518)&gt;1,"CPF + dia duplicado",IF(OR(AND(E4518&lt;&gt;"",E4518&lt;B4518),AND(F4518&lt;&gt;"",F4518&lt;B4518)),"Evento anterior à entrada",IF(AND(F4518&lt;&gt;"",E4518=""),"Conversa sem agendamento",IF(OR(E4518&gt;TODAY(),F4518&gt;TODAY()),"Verificar evento futuro","OK"))))))</f>
        <v/>
      </c>
    </row>
    <row r="4519" spans="9:12">
      <c r="I4519" s="5">
        <f>IF(OR(A4519="",B4519=""),"",B4519-WEEKDAY(B4519,2)+1)</f>
        <v/>
      </c>
      <c r="J4519" s="5">
        <f>IF(I4519="","",I4519+6)</f>
        <v/>
      </c>
      <c r="K4519" s="6">
        <f>IF(OR(A4519="",B4519=""),"",DATE(YEAR(B4519),MONTH(B4519),1))</f>
        <v/>
      </c>
      <c r="L4519" s="7">
        <f>IF(COUNTA(A4519,B4519)=0,"",IF(OR(A4519="",B4519=""),"Preencher CPF e entrada",IF(COUNTIFS($A$12:$A$5011,A4519,$B$12:$B$5011,B4519)&gt;1,"CPF + dia duplicado",IF(OR(AND(E4519&lt;&gt;"",E4519&lt;B4519),AND(F4519&lt;&gt;"",F4519&lt;B4519)),"Evento anterior à entrada",IF(AND(F4519&lt;&gt;"",E4519=""),"Conversa sem agendamento",IF(OR(E4519&gt;TODAY(),F4519&gt;TODAY()),"Verificar evento futuro","OK"))))))</f>
        <v/>
      </c>
    </row>
    <row r="4520" spans="9:12">
      <c r="I4520" s="5">
        <f>IF(OR(A4520="",B4520=""),"",B4520-WEEKDAY(B4520,2)+1)</f>
        <v/>
      </c>
      <c r="J4520" s="5">
        <f>IF(I4520="","",I4520+6)</f>
        <v/>
      </c>
      <c r="K4520" s="6">
        <f>IF(OR(A4520="",B4520=""),"",DATE(YEAR(B4520),MONTH(B4520),1))</f>
        <v/>
      </c>
      <c r="L4520" s="7">
        <f>IF(COUNTA(A4520,B4520)=0,"",IF(OR(A4520="",B4520=""),"Preencher CPF e entrada",IF(COUNTIFS($A$12:$A$5011,A4520,$B$12:$B$5011,B4520)&gt;1,"CPF + dia duplicado",IF(OR(AND(E4520&lt;&gt;"",E4520&lt;B4520),AND(F4520&lt;&gt;"",F4520&lt;B4520)),"Evento anterior à entrada",IF(AND(F4520&lt;&gt;"",E4520=""),"Conversa sem agendamento",IF(OR(E4520&gt;TODAY(),F4520&gt;TODAY()),"Verificar evento futuro","OK"))))))</f>
        <v/>
      </c>
    </row>
    <row r="4521" spans="9:12">
      <c r="I4521" s="5">
        <f>IF(OR(A4521="",B4521=""),"",B4521-WEEKDAY(B4521,2)+1)</f>
        <v/>
      </c>
      <c r="J4521" s="5">
        <f>IF(I4521="","",I4521+6)</f>
        <v/>
      </c>
      <c r="K4521" s="6">
        <f>IF(OR(A4521="",B4521=""),"",DATE(YEAR(B4521),MONTH(B4521),1))</f>
        <v/>
      </c>
      <c r="L4521" s="7">
        <f>IF(COUNTA(A4521,B4521)=0,"",IF(OR(A4521="",B4521=""),"Preencher CPF e entrada",IF(COUNTIFS($A$12:$A$5011,A4521,$B$12:$B$5011,B4521)&gt;1,"CPF + dia duplicado",IF(OR(AND(E4521&lt;&gt;"",E4521&lt;B4521),AND(F4521&lt;&gt;"",F4521&lt;B4521)),"Evento anterior à entrada",IF(AND(F4521&lt;&gt;"",E4521=""),"Conversa sem agendamento",IF(OR(E4521&gt;TODAY(),F4521&gt;TODAY()),"Verificar evento futuro","OK"))))))</f>
        <v/>
      </c>
    </row>
    <row r="4522" spans="9:12">
      <c r="I4522" s="5">
        <f>IF(OR(A4522="",B4522=""),"",B4522-WEEKDAY(B4522,2)+1)</f>
        <v/>
      </c>
      <c r="J4522" s="5">
        <f>IF(I4522="","",I4522+6)</f>
        <v/>
      </c>
      <c r="K4522" s="6">
        <f>IF(OR(A4522="",B4522=""),"",DATE(YEAR(B4522),MONTH(B4522),1))</f>
        <v/>
      </c>
      <c r="L4522" s="7">
        <f>IF(COUNTA(A4522,B4522)=0,"",IF(OR(A4522="",B4522=""),"Preencher CPF e entrada",IF(COUNTIFS($A$12:$A$5011,A4522,$B$12:$B$5011,B4522)&gt;1,"CPF + dia duplicado",IF(OR(AND(E4522&lt;&gt;"",E4522&lt;B4522),AND(F4522&lt;&gt;"",F4522&lt;B4522)),"Evento anterior à entrada",IF(AND(F4522&lt;&gt;"",E4522=""),"Conversa sem agendamento",IF(OR(E4522&gt;TODAY(),F4522&gt;TODAY()),"Verificar evento futuro","OK"))))))</f>
        <v/>
      </c>
    </row>
    <row r="4523" spans="9:12">
      <c r="I4523" s="5">
        <f>IF(OR(A4523="",B4523=""),"",B4523-WEEKDAY(B4523,2)+1)</f>
        <v/>
      </c>
      <c r="J4523" s="5">
        <f>IF(I4523="","",I4523+6)</f>
        <v/>
      </c>
      <c r="K4523" s="6">
        <f>IF(OR(A4523="",B4523=""),"",DATE(YEAR(B4523),MONTH(B4523),1))</f>
        <v/>
      </c>
      <c r="L4523" s="7">
        <f>IF(COUNTA(A4523,B4523)=0,"",IF(OR(A4523="",B4523=""),"Preencher CPF e entrada",IF(COUNTIFS($A$12:$A$5011,A4523,$B$12:$B$5011,B4523)&gt;1,"CPF + dia duplicado",IF(OR(AND(E4523&lt;&gt;"",E4523&lt;B4523),AND(F4523&lt;&gt;"",F4523&lt;B4523)),"Evento anterior à entrada",IF(AND(F4523&lt;&gt;"",E4523=""),"Conversa sem agendamento",IF(OR(E4523&gt;TODAY(),F4523&gt;TODAY()),"Verificar evento futuro","OK"))))))</f>
        <v/>
      </c>
    </row>
    <row r="4524" spans="9:12">
      <c r="I4524" s="5">
        <f>IF(OR(A4524="",B4524=""),"",B4524-WEEKDAY(B4524,2)+1)</f>
        <v/>
      </c>
      <c r="J4524" s="5">
        <f>IF(I4524="","",I4524+6)</f>
        <v/>
      </c>
      <c r="K4524" s="6">
        <f>IF(OR(A4524="",B4524=""),"",DATE(YEAR(B4524),MONTH(B4524),1))</f>
        <v/>
      </c>
      <c r="L4524" s="7">
        <f>IF(COUNTA(A4524,B4524)=0,"",IF(OR(A4524="",B4524=""),"Preencher CPF e entrada",IF(COUNTIFS($A$12:$A$5011,A4524,$B$12:$B$5011,B4524)&gt;1,"CPF + dia duplicado",IF(OR(AND(E4524&lt;&gt;"",E4524&lt;B4524),AND(F4524&lt;&gt;"",F4524&lt;B4524)),"Evento anterior à entrada",IF(AND(F4524&lt;&gt;"",E4524=""),"Conversa sem agendamento",IF(OR(E4524&gt;TODAY(),F4524&gt;TODAY()),"Verificar evento futuro","OK"))))))</f>
        <v/>
      </c>
    </row>
    <row r="4525" spans="9:12">
      <c r="I4525" s="5">
        <f>IF(OR(A4525="",B4525=""),"",B4525-WEEKDAY(B4525,2)+1)</f>
        <v/>
      </c>
      <c r="J4525" s="5">
        <f>IF(I4525="","",I4525+6)</f>
        <v/>
      </c>
      <c r="K4525" s="6">
        <f>IF(OR(A4525="",B4525=""),"",DATE(YEAR(B4525),MONTH(B4525),1))</f>
        <v/>
      </c>
      <c r="L4525" s="7">
        <f>IF(COUNTA(A4525,B4525)=0,"",IF(OR(A4525="",B4525=""),"Preencher CPF e entrada",IF(COUNTIFS($A$12:$A$5011,A4525,$B$12:$B$5011,B4525)&gt;1,"CPF + dia duplicado",IF(OR(AND(E4525&lt;&gt;"",E4525&lt;B4525),AND(F4525&lt;&gt;"",F4525&lt;B4525)),"Evento anterior à entrada",IF(AND(F4525&lt;&gt;"",E4525=""),"Conversa sem agendamento",IF(OR(E4525&gt;TODAY(),F4525&gt;TODAY()),"Verificar evento futuro","OK"))))))</f>
        <v/>
      </c>
    </row>
    <row r="4526" spans="9:12">
      <c r="I4526" s="5">
        <f>IF(OR(A4526="",B4526=""),"",B4526-WEEKDAY(B4526,2)+1)</f>
        <v/>
      </c>
      <c r="J4526" s="5">
        <f>IF(I4526="","",I4526+6)</f>
        <v/>
      </c>
      <c r="K4526" s="6">
        <f>IF(OR(A4526="",B4526=""),"",DATE(YEAR(B4526),MONTH(B4526),1))</f>
        <v/>
      </c>
      <c r="L4526" s="7">
        <f>IF(COUNTA(A4526,B4526)=0,"",IF(OR(A4526="",B4526=""),"Preencher CPF e entrada",IF(COUNTIFS($A$12:$A$5011,A4526,$B$12:$B$5011,B4526)&gt;1,"CPF + dia duplicado",IF(OR(AND(E4526&lt;&gt;"",E4526&lt;B4526),AND(F4526&lt;&gt;"",F4526&lt;B4526)),"Evento anterior à entrada",IF(AND(F4526&lt;&gt;"",E4526=""),"Conversa sem agendamento",IF(OR(E4526&gt;TODAY(),F4526&gt;TODAY()),"Verificar evento futuro","OK"))))))</f>
        <v/>
      </c>
    </row>
    <row r="4527" spans="9:12">
      <c r="I4527" s="5">
        <f>IF(OR(A4527="",B4527=""),"",B4527-WEEKDAY(B4527,2)+1)</f>
        <v/>
      </c>
      <c r="J4527" s="5">
        <f>IF(I4527="","",I4527+6)</f>
        <v/>
      </c>
      <c r="K4527" s="6">
        <f>IF(OR(A4527="",B4527=""),"",DATE(YEAR(B4527),MONTH(B4527),1))</f>
        <v/>
      </c>
      <c r="L4527" s="7">
        <f>IF(COUNTA(A4527,B4527)=0,"",IF(OR(A4527="",B4527=""),"Preencher CPF e entrada",IF(COUNTIFS($A$12:$A$5011,A4527,$B$12:$B$5011,B4527)&gt;1,"CPF + dia duplicado",IF(OR(AND(E4527&lt;&gt;"",E4527&lt;B4527),AND(F4527&lt;&gt;"",F4527&lt;B4527)),"Evento anterior à entrada",IF(AND(F4527&lt;&gt;"",E4527=""),"Conversa sem agendamento",IF(OR(E4527&gt;TODAY(),F4527&gt;TODAY()),"Verificar evento futuro","OK"))))))</f>
        <v/>
      </c>
    </row>
    <row r="4528" spans="9:12">
      <c r="I4528" s="5">
        <f>IF(OR(A4528="",B4528=""),"",B4528-WEEKDAY(B4528,2)+1)</f>
        <v/>
      </c>
      <c r="J4528" s="5">
        <f>IF(I4528="","",I4528+6)</f>
        <v/>
      </c>
      <c r="K4528" s="6">
        <f>IF(OR(A4528="",B4528=""),"",DATE(YEAR(B4528),MONTH(B4528),1))</f>
        <v/>
      </c>
      <c r="L4528" s="7">
        <f>IF(COUNTA(A4528,B4528)=0,"",IF(OR(A4528="",B4528=""),"Preencher CPF e entrada",IF(COUNTIFS($A$12:$A$5011,A4528,$B$12:$B$5011,B4528)&gt;1,"CPF + dia duplicado",IF(OR(AND(E4528&lt;&gt;"",E4528&lt;B4528),AND(F4528&lt;&gt;"",F4528&lt;B4528)),"Evento anterior à entrada",IF(AND(F4528&lt;&gt;"",E4528=""),"Conversa sem agendamento",IF(OR(E4528&gt;TODAY(),F4528&gt;TODAY()),"Verificar evento futuro","OK"))))))</f>
        <v/>
      </c>
    </row>
    <row r="4529" spans="9:12">
      <c r="I4529" s="5">
        <f>IF(OR(A4529="",B4529=""),"",B4529-WEEKDAY(B4529,2)+1)</f>
        <v/>
      </c>
      <c r="J4529" s="5">
        <f>IF(I4529="","",I4529+6)</f>
        <v/>
      </c>
      <c r="K4529" s="6">
        <f>IF(OR(A4529="",B4529=""),"",DATE(YEAR(B4529),MONTH(B4529),1))</f>
        <v/>
      </c>
      <c r="L4529" s="7">
        <f>IF(COUNTA(A4529,B4529)=0,"",IF(OR(A4529="",B4529=""),"Preencher CPF e entrada",IF(COUNTIFS($A$12:$A$5011,A4529,$B$12:$B$5011,B4529)&gt;1,"CPF + dia duplicado",IF(OR(AND(E4529&lt;&gt;"",E4529&lt;B4529),AND(F4529&lt;&gt;"",F4529&lt;B4529)),"Evento anterior à entrada",IF(AND(F4529&lt;&gt;"",E4529=""),"Conversa sem agendamento",IF(OR(E4529&gt;TODAY(),F4529&gt;TODAY()),"Verificar evento futuro","OK"))))))</f>
        <v/>
      </c>
    </row>
    <row r="4530" spans="9:12">
      <c r="I4530" s="5">
        <f>IF(OR(A4530="",B4530=""),"",B4530-WEEKDAY(B4530,2)+1)</f>
        <v/>
      </c>
      <c r="J4530" s="5">
        <f>IF(I4530="","",I4530+6)</f>
        <v/>
      </c>
      <c r="K4530" s="6">
        <f>IF(OR(A4530="",B4530=""),"",DATE(YEAR(B4530),MONTH(B4530),1))</f>
        <v/>
      </c>
      <c r="L4530" s="7">
        <f>IF(COUNTA(A4530,B4530)=0,"",IF(OR(A4530="",B4530=""),"Preencher CPF e entrada",IF(COUNTIFS($A$12:$A$5011,A4530,$B$12:$B$5011,B4530)&gt;1,"CPF + dia duplicado",IF(OR(AND(E4530&lt;&gt;"",E4530&lt;B4530),AND(F4530&lt;&gt;"",F4530&lt;B4530)),"Evento anterior à entrada",IF(AND(F4530&lt;&gt;"",E4530=""),"Conversa sem agendamento",IF(OR(E4530&gt;TODAY(),F4530&gt;TODAY()),"Verificar evento futuro","OK"))))))</f>
        <v/>
      </c>
    </row>
    <row r="4531" spans="9:12">
      <c r="I4531" s="5">
        <f>IF(OR(A4531="",B4531=""),"",B4531-WEEKDAY(B4531,2)+1)</f>
        <v/>
      </c>
      <c r="J4531" s="5">
        <f>IF(I4531="","",I4531+6)</f>
        <v/>
      </c>
      <c r="K4531" s="6">
        <f>IF(OR(A4531="",B4531=""),"",DATE(YEAR(B4531),MONTH(B4531),1))</f>
        <v/>
      </c>
      <c r="L4531" s="7">
        <f>IF(COUNTA(A4531,B4531)=0,"",IF(OR(A4531="",B4531=""),"Preencher CPF e entrada",IF(COUNTIFS($A$12:$A$5011,A4531,$B$12:$B$5011,B4531)&gt;1,"CPF + dia duplicado",IF(OR(AND(E4531&lt;&gt;"",E4531&lt;B4531),AND(F4531&lt;&gt;"",F4531&lt;B4531)),"Evento anterior à entrada",IF(AND(F4531&lt;&gt;"",E4531=""),"Conversa sem agendamento",IF(OR(E4531&gt;TODAY(),F4531&gt;TODAY()),"Verificar evento futuro","OK"))))))</f>
        <v/>
      </c>
    </row>
    <row r="4532" spans="9:12">
      <c r="I4532" s="5">
        <f>IF(OR(A4532="",B4532=""),"",B4532-WEEKDAY(B4532,2)+1)</f>
        <v/>
      </c>
      <c r="J4532" s="5">
        <f>IF(I4532="","",I4532+6)</f>
        <v/>
      </c>
      <c r="K4532" s="6">
        <f>IF(OR(A4532="",B4532=""),"",DATE(YEAR(B4532),MONTH(B4532),1))</f>
        <v/>
      </c>
      <c r="L4532" s="7">
        <f>IF(COUNTA(A4532,B4532)=0,"",IF(OR(A4532="",B4532=""),"Preencher CPF e entrada",IF(COUNTIFS($A$12:$A$5011,A4532,$B$12:$B$5011,B4532)&gt;1,"CPF + dia duplicado",IF(OR(AND(E4532&lt;&gt;"",E4532&lt;B4532),AND(F4532&lt;&gt;"",F4532&lt;B4532)),"Evento anterior à entrada",IF(AND(F4532&lt;&gt;"",E4532=""),"Conversa sem agendamento",IF(OR(E4532&gt;TODAY(),F4532&gt;TODAY()),"Verificar evento futuro","OK"))))))</f>
        <v/>
      </c>
    </row>
    <row r="4533" spans="9:12">
      <c r="I4533" s="5">
        <f>IF(OR(A4533="",B4533=""),"",B4533-WEEKDAY(B4533,2)+1)</f>
        <v/>
      </c>
      <c r="J4533" s="5">
        <f>IF(I4533="","",I4533+6)</f>
        <v/>
      </c>
      <c r="K4533" s="6">
        <f>IF(OR(A4533="",B4533=""),"",DATE(YEAR(B4533),MONTH(B4533),1))</f>
        <v/>
      </c>
      <c r="L4533" s="7">
        <f>IF(COUNTA(A4533,B4533)=0,"",IF(OR(A4533="",B4533=""),"Preencher CPF e entrada",IF(COUNTIFS($A$12:$A$5011,A4533,$B$12:$B$5011,B4533)&gt;1,"CPF + dia duplicado",IF(OR(AND(E4533&lt;&gt;"",E4533&lt;B4533),AND(F4533&lt;&gt;"",F4533&lt;B4533)),"Evento anterior à entrada",IF(AND(F4533&lt;&gt;"",E4533=""),"Conversa sem agendamento",IF(OR(E4533&gt;TODAY(),F4533&gt;TODAY()),"Verificar evento futuro","OK"))))))</f>
        <v/>
      </c>
    </row>
    <row r="4534" spans="9:12">
      <c r="I4534" s="5">
        <f>IF(OR(A4534="",B4534=""),"",B4534-WEEKDAY(B4534,2)+1)</f>
        <v/>
      </c>
      <c r="J4534" s="5">
        <f>IF(I4534="","",I4534+6)</f>
        <v/>
      </c>
      <c r="K4534" s="6">
        <f>IF(OR(A4534="",B4534=""),"",DATE(YEAR(B4534),MONTH(B4534),1))</f>
        <v/>
      </c>
      <c r="L4534" s="7">
        <f>IF(COUNTA(A4534,B4534)=0,"",IF(OR(A4534="",B4534=""),"Preencher CPF e entrada",IF(COUNTIFS($A$12:$A$5011,A4534,$B$12:$B$5011,B4534)&gt;1,"CPF + dia duplicado",IF(OR(AND(E4534&lt;&gt;"",E4534&lt;B4534),AND(F4534&lt;&gt;"",F4534&lt;B4534)),"Evento anterior à entrada",IF(AND(F4534&lt;&gt;"",E4534=""),"Conversa sem agendamento",IF(OR(E4534&gt;TODAY(),F4534&gt;TODAY()),"Verificar evento futuro","OK"))))))</f>
        <v/>
      </c>
    </row>
    <row r="4535" spans="9:12">
      <c r="I4535" s="5">
        <f>IF(OR(A4535="",B4535=""),"",B4535-WEEKDAY(B4535,2)+1)</f>
        <v/>
      </c>
      <c r="J4535" s="5">
        <f>IF(I4535="","",I4535+6)</f>
        <v/>
      </c>
      <c r="K4535" s="6">
        <f>IF(OR(A4535="",B4535=""),"",DATE(YEAR(B4535),MONTH(B4535),1))</f>
        <v/>
      </c>
      <c r="L4535" s="7">
        <f>IF(COUNTA(A4535,B4535)=0,"",IF(OR(A4535="",B4535=""),"Preencher CPF e entrada",IF(COUNTIFS($A$12:$A$5011,A4535,$B$12:$B$5011,B4535)&gt;1,"CPF + dia duplicado",IF(OR(AND(E4535&lt;&gt;"",E4535&lt;B4535),AND(F4535&lt;&gt;"",F4535&lt;B4535)),"Evento anterior à entrada",IF(AND(F4535&lt;&gt;"",E4535=""),"Conversa sem agendamento",IF(OR(E4535&gt;TODAY(),F4535&gt;TODAY()),"Verificar evento futuro","OK"))))))</f>
        <v/>
      </c>
    </row>
    <row r="4536" spans="9:12">
      <c r="I4536" s="5">
        <f>IF(OR(A4536="",B4536=""),"",B4536-WEEKDAY(B4536,2)+1)</f>
        <v/>
      </c>
      <c r="J4536" s="5">
        <f>IF(I4536="","",I4536+6)</f>
        <v/>
      </c>
      <c r="K4536" s="6">
        <f>IF(OR(A4536="",B4536=""),"",DATE(YEAR(B4536),MONTH(B4536),1))</f>
        <v/>
      </c>
      <c r="L4536" s="7">
        <f>IF(COUNTA(A4536,B4536)=0,"",IF(OR(A4536="",B4536=""),"Preencher CPF e entrada",IF(COUNTIFS($A$12:$A$5011,A4536,$B$12:$B$5011,B4536)&gt;1,"CPF + dia duplicado",IF(OR(AND(E4536&lt;&gt;"",E4536&lt;B4536),AND(F4536&lt;&gt;"",F4536&lt;B4536)),"Evento anterior à entrada",IF(AND(F4536&lt;&gt;"",E4536=""),"Conversa sem agendamento",IF(OR(E4536&gt;TODAY(),F4536&gt;TODAY()),"Verificar evento futuro","OK"))))))</f>
        <v/>
      </c>
    </row>
    <row r="4537" spans="9:12">
      <c r="I4537" s="5">
        <f>IF(OR(A4537="",B4537=""),"",B4537-WEEKDAY(B4537,2)+1)</f>
        <v/>
      </c>
      <c r="J4537" s="5">
        <f>IF(I4537="","",I4537+6)</f>
        <v/>
      </c>
      <c r="K4537" s="6">
        <f>IF(OR(A4537="",B4537=""),"",DATE(YEAR(B4537),MONTH(B4537),1))</f>
        <v/>
      </c>
      <c r="L4537" s="7">
        <f>IF(COUNTA(A4537,B4537)=0,"",IF(OR(A4537="",B4537=""),"Preencher CPF e entrada",IF(COUNTIFS($A$12:$A$5011,A4537,$B$12:$B$5011,B4537)&gt;1,"CPF + dia duplicado",IF(OR(AND(E4537&lt;&gt;"",E4537&lt;B4537),AND(F4537&lt;&gt;"",F4537&lt;B4537)),"Evento anterior à entrada",IF(AND(F4537&lt;&gt;"",E4537=""),"Conversa sem agendamento",IF(OR(E4537&gt;TODAY(),F4537&gt;TODAY()),"Verificar evento futuro","OK"))))))</f>
        <v/>
      </c>
    </row>
    <row r="4538" spans="9:12">
      <c r="I4538" s="5">
        <f>IF(OR(A4538="",B4538=""),"",B4538-WEEKDAY(B4538,2)+1)</f>
        <v/>
      </c>
      <c r="J4538" s="5">
        <f>IF(I4538="","",I4538+6)</f>
        <v/>
      </c>
      <c r="K4538" s="6">
        <f>IF(OR(A4538="",B4538=""),"",DATE(YEAR(B4538),MONTH(B4538),1))</f>
        <v/>
      </c>
      <c r="L4538" s="7">
        <f>IF(COUNTA(A4538,B4538)=0,"",IF(OR(A4538="",B4538=""),"Preencher CPF e entrada",IF(COUNTIFS($A$12:$A$5011,A4538,$B$12:$B$5011,B4538)&gt;1,"CPF + dia duplicado",IF(OR(AND(E4538&lt;&gt;"",E4538&lt;B4538),AND(F4538&lt;&gt;"",F4538&lt;B4538)),"Evento anterior à entrada",IF(AND(F4538&lt;&gt;"",E4538=""),"Conversa sem agendamento",IF(OR(E4538&gt;TODAY(),F4538&gt;TODAY()),"Verificar evento futuro","OK"))))))</f>
        <v/>
      </c>
    </row>
    <row r="4539" spans="9:12">
      <c r="I4539" s="5">
        <f>IF(OR(A4539="",B4539=""),"",B4539-WEEKDAY(B4539,2)+1)</f>
        <v/>
      </c>
      <c r="J4539" s="5">
        <f>IF(I4539="","",I4539+6)</f>
        <v/>
      </c>
      <c r="K4539" s="6">
        <f>IF(OR(A4539="",B4539=""),"",DATE(YEAR(B4539),MONTH(B4539),1))</f>
        <v/>
      </c>
      <c r="L4539" s="7">
        <f>IF(COUNTA(A4539,B4539)=0,"",IF(OR(A4539="",B4539=""),"Preencher CPF e entrada",IF(COUNTIFS($A$12:$A$5011,A4539,$B$12:$B$5011,B4539)&gt;1,"CPF + dia duplicado",IF(OR(AND(E4539&lt;&gt;"",E4539&lt;B4539),AND(F4539&lt;&gt;"",F4539&lt;B4539)),"Evento anterior à entrada",IF(AND(F4539&lt;&gt;"",E4539=""),"Conversa sem agendamento",IF(OR(E4539&gt;TODAY(),F4539&gt;TODAY()),"Verificar evento futuro","OK"))))))</f>
        <v/>
      </c>
    </row>
    <row r="4540" spans="9:12">
      <c r="I4540" s="5">
        <f>IF(OR(A4540="",B4540=""),"",B4540-WEEKDAY(B4540,2)+1)</f>
        <v/>
      </c>
      <c r="J4540" s="5">
        <f>IF(I4540="","",I4540+6)</f>
        <v/>
      </c>
      <c r="K4540" s="6">
        <f>IF(OR(A4540="",B4540=""),"",DATE(YEAR(B4540),MONTH(B4540),1))</f>
        <v/>
      </c>
      <c r="L4540" s="7">
        <f>IF(COUNTA(A4540,B4540)=0,"",IF(OR(A4540="",B4540=""),"Preencher CPF e entrada",IF(COUNTIFS($A$12:$A$5011,A4540,$B$12:$B$5011,B4540)&gt;1,"CPF + dia duplicado",IF(OR(AND(E4540&lt;&gt;"",E4540&lt;B4540),AND(F4540&lt;&gt;"",F4540&lt;B4540)),"Evento anterior à entrada",IF(AND(F4540&lt;&gt;"",E4540=""),"Conversa sem agendamento",IF(OR(E4540&gt;TODAY(),F4540&gt;TODAY()),"Verificar evento futuro","OK"))))))</f>
        <v/>
      </c>
    </row>
    <row r="4541" spans="9:12">
      <c r="I4541" s="5">
        <f>IF(OR(A4541="",B4541=""),"",B4541-WEEKDAY(B4541,2)+1)</f>
        <v/>
      </c>
      <c r="J4541" s="5">
        <f>IF(I4541="","",I4541+6)</f>
        <v/>
      </c>
      <c r="K4541" s="6">
        <f>IF(OR(A4541="",B4541=""),"",DATE(YEAR(B4541),MONTH(B4541),1))</f>
        <v/>
      </c>
      <c r="L4541" s="7">
        <f>IF(COUNTA(A4541,B4541)=0,"",IF(OR(A4541="",B4541=""),"Preencher CPF e entrada",IF(COUNTIFS($A$12:$A$5011,A4541,$B$12:$B$5011,B4541)&gt;1,"CPF + dia duplicado",IF(OR(AND(E4541&lt;&gt;"",E4541&lt;B4541),AND(F4541&lt;&gt;"",F4541&lt;B4541)),"Evento anterior à entrada",IF(AND(F4541&lt;&gt;"",E4541=""),"Conversa sem agendamento",IF(OR(E4541&gt;TODAY(),F4541&gt;TODAY()),"Verificar evento futuro","OK"))))))</f>
        <v/>
      </c>
    </row>
    <row r="4542" spans="9:12">
      <c r="I4542" s="5">
        <f>IF(OR(A4542="",B4542=""),"",B4542-WEEKDAY(B4542,2)+1)</f>
        <v/>
      </c>
      <c r="J4542" s="5">
        <f>IF(I4542="","",I4542+6)</f>
        <v/>
      </c>
      <c r="K4542" s="6">
        <f>IF(OR(A4542="",B4542=""),"",DATE(YEAR(B4542),MONTH(B4542),1))</f>
        <v/>
      </c>
      <c r="L4542" s="7">
        <f>IF(COUNTA(A4542,B4542)=0,"",IF(OR(A4542="",B4542=""),"Preencher CPF e entrada",IF(COUNTIFS($A$12:$A$5011,A4542,$B$12:$B$5011,B4542)&gt;1,"CPF + dia duplicado",IF(OR(AND(E4542&lt;&gt;"",E4542&lt;B4542),AND(F4542&lt;&gt;"",F4542&lt;B4542)),"Evento anterior à entrada",IF(AND(F4542&lt;&gt;"",E4542=""),"Conversa sem agendamento",IF(OR(E4542&gt;TODAY(),F4542&gt;TODAY()),"Verificar evento futuro","OK"))))))</f>
        <v/>
      </c>
    </row>
    <row r="4543" spans="9:12">
      <c r="I4543" s="5">
        <f>IF(OR(A4543="",B4543=""),"",B4543-WEEKDAY(B4543,2)+1)</f>
        <v/>
      </c>
      <c r="J4543" s="5">
        <f>IF(I4543="","",I4543+6)</f>
        <v/>
      </c>
      <c r="K4543" s="6">
        <f>IF(OR(A4543="",B4543=""),"",DATE(YEAR(B4543),MONTH(B4543),1))</f>
        <v/>
      </c>
      <c r="L4543" s="7">
        <f>IF(COUNTA(A4543,B4543)=0,"",IF(OR(A4543="",B4543=""),"Preencher CPF e entrada",IF(COUNTIFS($A$12:$A$5011,A4543,$B$12:$B$5011,B4543)&gt;1,"CPF + dia duplicado",IF(OR(AND(E4543&lt;&gt;"",E4543&lt;B4543),AND(F4543&lt;&gt;"",F4543&lt;B4543)),"Evento anterior à entrada",IF(AND(F4543&lt;&gt;"",E4543=""),"Conversa sem agendamento",IF(OR(E4543&gt;TODAY(),F4543&gt;TODAY()),"Verificar evento futuro","OK"))))))</f>
        <v/>
      </c>
    </row>
    <row r="4544" spans="9:12">
      <c r="I4544" s="5">
        <f>IF(OR(A4544="",B4544=""),"",B4544-WEEKDAY(B4544,2)+1)</f>
        <v/>
      </c>
      <c r="J4544" s="5">
        <f>IF(I4544="","",I4544+6)</f>
        <v/>
      </c>
      <c r="K4544" s="6">
        <f>IF(OR(A4544="",B4544=""),"",DATE(YEAR(B4544),MONTH(B4544),1))</f>
        <v/>
      </c>
      <c r="L4544" s="7">
        <f>IF(COUNTA(A4544,B4544)=0,"",IF(OR(A4544="",B4544=""),"Preencher CPF e entrada",IF(COUNTIFS($A$12:$A$5011,A4544,$B$12:$B$5011,B4544)&gt;1,"CPF + dia duplicado",IF(OR(AND(E4544&lt;&gt;"",E4544&lt;B4544),AND(F4544&lt;&gt;"",F4544&lt;B4544)),"Evento anterior à entrada",IF(AND(F4544&lt;&gt;"",E4544=""),"Conversa sem agendamento",IF(OR(E4544&gt;TODAY(),F4544&gt;TODAY()),"Verificar evento futuro","OK"))))))</f>
        <v/>
      </c>
    </row>
    <row r="4545" spans="9:12">
      <c r="I4545" s="5">
        <f>IF(OR(A4545="",B4545=""),"",B4545-WEEKDAY(B4545,2)+1)</f>
        <v/>
      </c>
      <c r="J4545" s="5">
        <f>IF(I4545="","",I4545+6)</f>
        <v/>
      </c>
      <c r="K4545" s="6">
        <f>IF(OR(A4545="",B4545=""),"",DATE(YEAR(B4545),MONTH(B4545),1))</f>
        <v/>
      </c>
      <c r="L4545" s="7">
        <f>IF(COUNTA(A4545,B4545)=0,"",IF(OR(A4545="",B4545=""),"Preencher CPF e entrada",IF(COUNTIFS($A$12:$A$5011,A4545,$B$12:$B$5011,B4545)&gt;1,"CPF + dia duplicado",IF(OR(AND(E4545&lt;&gt;"",E4545&lt;B4545),AND(F4545&lt;&gt;"",F4545&lt;B4545)),"Evento anterior à entrada",IF(AND(F4545&lt;&gt;"",E4545=""),"Conversa sem agendamento",IF(OR(E4545&gt;TODAY(),F4545&gt;TODAY()),"Verificar evento futuro","OK"))))))</f>
        <v/>
      </c>
    </row>
    <row r="4546" spans="9:12">
      <c r="I4546" s="5">
        <f>IF(OR(A4546="",B4546=""),"",B4546-WEEKDAY(B4546,2)+1)</f>
        <v/>
      </c>
      <c r="J4546" s="5">
        <f>IF(I4546="","",I4546+6)</f>
        <v/>
      </c>
      <c r="K4546" s="6">
        <f>IF(OR(A4546="",B4546=""),"",DATE(YEAR(B4546),MONTH(B4546),1))</f>
        <v/>
      </c>
      <c r="L4546" s="7">
        <f>IF(COUNTA(A4546,B4546)=0,"",IF(OR(A4546="",B4546=""),"Preencher CPF e entrada",IF(COUNTIFS($A$12:$A$5011,A4546,$B$12:$B$5011,B4546)&gt;1,"CPF + dia duplicado",IF(OR(AND(E4546&lt;&gt;"",E4546&lt;B4546),AND(F4546&lt;&gt;"",F4546&lt;B4546)),"Evento anterior à entrada",IF(AND(F4546&lt;&gt;"",E4546=""),"Conversa sem agendamento",IF(OR(E4546&gt;TODAY(),F4546&gt;TODAY()),"Verificar evento futuro","OK"))))))</f>
        <v/>
      </c>
    </row>
    <row r="4547" spans="9:12">
      <c r="I4547" s="5">
        <f>IF(OR(A4547="",B4547=""),"",B4547-WEEKDAY(B4547,2)+1)</f>
        <v/>
      </c>
      <c r="J4547" s="5">
        <f>IF(I4547="","",I4547+6)</f>
        <v/>
      </c>
      <c r="K4547" s="6">
        <f>IF(OR(A4547="",B4547=""),"",DATE(YEAR(B4547),MONTH(B4547),1))</f>
        <v/>
      </c>
      <c r="L4547" s="7">
        <f>IF(COUNTA(A4547,B4547)=0,"",IF(OR(A4547="",B4547=""),"Preencher CPF e entrada",IF(COUNTIFS($A$12:$A$5011,A4547,$B$12:$B$5011,B4547)&gt;1,"CPF + dia duplicado",IF(OR(AND(E4547&lt;&gt;"",E4547&lt;B4547),AND(F4547&lt;&gt;"",F4547&lt;B4547)),"Evento anterior à entrada",IF(AND(F4547&lt;&gt;"",E4547=""),"Conversa sem agendamento",IF(OR(E4547&gt;TODAY(),F4547&gt;TODAY()),"Verificar evento futuro","OK"))))))</f>
        <v/>
      </c>
    </row>
    <row r="4548" spans="9:12">
      <c r="I4548" s="5">
        <f>IF(OR(A4548="",B4548=""),"",B4548-WEEKDAY(B4548,2)+1)</f>
        <v/>
      </c>
      <c r="J4548" s="5">
        <f>IF(I4548="","",I4548+6)</f>
        <v/>
      </c>
      <c r="K4548" s="6">
        <f>IF(OR(A4548="",B4548=""),"",DATE(YEAR(B4548),MONTH(B4548),1))</f>
        <v/>
      </c>
      <c r="L4548" s="7">
        <f>IF(COUNTA(A4548,B4548)=0,"",IF(OR(A4548="",B4548=""),"Preencher CPF e entrada",IF(COUNTIFS($A$12:$A$5011,A4548,$B$12:$B$5011,B4548)&gt;1,"CPF + dia duplicado",IF(OR(AND(E4548&lt;&gt;"",E4548&lt;B4548),AND(F4548&lt;&gt;"",F4548&lt;B4548)),"Evento anterior à entrada",IF(AND(F4548&lt;&gt;"",E4548=""),"Conversa sem agendamento",IF(OR(E4548&gt;TODAY(),F4548&gt;TODAY()),"Verificar evento futuro","OK"))))))</f>
        <v/>
      </c>
    </row>
    <row r="4549" spans="9:12">
      <c r="I4549" s="5">
        <f>IF(OR(A4549="",B4549=""),"",B4549-WEEKDAY(B4549,2)+1)</f>
        <v/>
      </c>
      <c r="J4549" s="5">
        <f>IF(I4549="","",I4549+6)</f>
        <v/>
      </c>
      <c r="K4549" s="6">
        <f>IF(OR(A4549="",B4549=""),"",DATE(YEAR(B4549),MONTH(B4549),1))</f>
        <v/>
      </c>
      <c r="L4549" s="7">
        <f>IF(COUNTA(A4549,B4549)=0,"",IF(OR(A4549="",B4549=""),"Preencher CPF e entrada",IF(COUNTIFS($A$12:$A$5011,A4549,$B$12:$B$5011,B4549)&gt;1,"CPF + dia duplicado",IF(OR(AND(E4549&lt;&gt;"",E4549&lt;B4549),AND(F4549&lt;&gt;"",F4549&lt;B4549)),"Evento anterior à entrada",IF(AND(F4549&lt;&gt;"",E4549=""),"Conversa sem agendamento",IF(OR(E4549&gt;TODAY(),F4549&gt;TODAY()),"Verificar evento futuro","OK"))))))</f>
        <v/>
      </c>
    </row>
    <row r="4550" spans="9:12">
      <c r="I4550" s="5">
        <f>IF(OR(A4550="",B4550=""),"",B4550-WEEKDAY(B4550,2)+1)</f>
        <v/>
      </c>
      <c r="J4550" s="5">
        <f>IF(I4550="","",I4550+6)</f>
        <v/>
      </c>
      <c r="K4550" s="6">
        <f>IF(OR(A4550="",B4550=""),"",DATE(YEAR(B4550),MONTH(B4550),1))</f>
        <v/>
      </c>
      <c r="L4550" s="7">
        <f>IF(COUNTA(A4550,B4550)=0,"",IF(OR(A4550="",B4550=""),"Preencher CPF e entrada",IF(COUNTIFS($A$12:$A$5011,A4550,$B$12:$B$5011,B4550)&gt;1,"CPF + dia duplicado",IF(OR(AND(E4550&lt;&gt;"",E4550&lt;B4550),AND(F4550&lt;&gt;"",F4550&lt;B4550)),"Evento anterior à entrada",IF(AND(F4550&lt;&gt;"",E4550=""),"Conversa sem agendamento",IF(OR(E4550&gt;TODAY(),F4550&gt;TODAY()),"Verificar evento futuro","OK"))))))</f>
        <v/>
      </c>
    </row>
    <row r="4551" spans="9:12">
      <c r="I4551" s="5">
        <f>IF(OR(A4551="",B4551=""),"",B4551-WEEKDAY(B4551,2)+1)</f>
        <v/>
      </c>
      <c r="J4551" s="5">
        <f>IF(I4551="","",I4551+6)</f>
        <v/>
      </c>
      <c r="K4551" s="6">
        <f>IF(OR(A4551="",B4551=""),"",DATE(YEAR(B4551),MONTH(B4551),1))</f>
        <v/>
      </c>
      <c r="L4551" s="7">
        <f>IF(COUNTA(A4551,B4551)=0,"",IF(OR(A4551="",B4551=""),"Preencher CPF e entrada",IF(COUNTIFS($A$12:$A$5011,A4551,$B$12:$B$5011,B4551)&gt;1,"CPF + dia duplicado",IF(OR(AND(E4551&lt;&gt;"",E4551&lt;B4551),AND(F4551&lt;&gt;"",F4551&lt;B4551)),"Evento anterior à entrada",IF(AND(F4551&lt;&gt;"",E4551=""),"Conversa sem agendamento",IF(OR(E4551&gt;TODAY(),F4551&gt;TODAY()),"Verificar evento futuro","OK"))))))</f>
        <v/>
      </c>
    </row>
    <row r="4552" spans="9:12">
      <c r="I4552" s="5">
        <f>IF(OR(A4552="",B4552=""),"",B4552-WEEKDAY(B4552,2)+1)</f>
        <v/>
      </c>
      <c r="J4552" s="5">
        <f>IF(I4552="","",I4552+6)</f>
        <v/>
      </c>
      <c r="K4552" s="6">
        <f>IF(OR(A4552="",B4552=""),"",DATE(YEAR(B4552),MONTH(B4552),1))</f>
        <v/>
      </c>
      <c r="L4552" s="7">
        <f>IF(COUNTA(A4552,B4552)=0,"",IF(OR(A4552="",B4552=""),"Preencher CPF e entrada",IF(COUNTIFS($A$12:$A$5011,A4552,$B$12:$B$5011,B4552)&gt;1,"CPF + dia duplicado",IF(OR(AND(E4552&lt;&gt;"",E4552&lt;B4552),AND(F4552&lt;&gt;"",F4552&lt;B4552)),"Evento anterior à entrada",IF(AND(F4552&lt;&gt;"",E4552=""),"Conversa sem agendamento",IF(OR(E4552&gt;TODAY(),F4552&gt;TODAY()),"Verificar evento futuro","OK"))))))</f>
        <v/>
      </c>
    </row>
    <row r="4553" spans="9:12">
      <c r="I4553" s="5">
        <f>IF(OR(A4553="",B4553=""),"",B4553-WEEKDAY(B4553,2)+1)</f>
        <v/>
      </c>
      <c r="J4553" s="5">
        <f>IF(I4553="","",I4553+6)</f>
        <v/>
      </c>
      <c r="K4553" s="6">
        <f>IF(OR(A4553="",B4553=""),"",DATE(YEAR(B4553),MONTH(B4553),1))</f>
        <v/>
      </c>
      <c r="L4553" s="7">
        <f>IF(COUNTA(A4553,B4553)=0,"",IF(OR(A4553="",B4553=""),"Preencher CPF e entrada",IF(COUNTIFS($A$12:$A$5011,A4553,$B$12:$B$5011,B4553)&gt;1,"CPF + dia duplicado",IF(OR(AND(E4553&lt;&gt;"",E4553&lt;B4553),AND(F4553&lt;&gt;"",F4553&lt;B4553)),"Evento anterior à entrada",IF(AND(F4553&lt;&gt;"",E4553=""),"Conversa sem agendamento",IF(OR(E4553&gt;TODAY(),F4553&gt;TODAY()),"Verificar evento futuro","OK"))))))</f>
        <v/>
      </c>
    </row>
    <row r="4554" spans="9:12">
      <c r="I4554" s="5">
        <f>IF(OR(A4554="",B4554=""),"",B4554-WEEKDAY(B4554,2)+1)</f>
        <v/>
      </c>
      <c r="J4554" s="5">
        <f>IF(I4554="","",I4554+6)</f>
        <v/>
      </c>
      <c r="K4554" s="6">
        <f>IF(OR(A4554="",B4554=""),"",DATE(YEAR(B4554),MONTH(B4554),1))</f>
        <v/>
      </c>
      <c r="L4554" s="7">
        <f>IF(COUNTA(A4554,B4554)=0,"",IF(OR(A4554="",B4554=""),"Preencher CPF e entrada",IF(COUNTIFS($A$12:$A$5011,A4554,$B$12:$B$5011,B4554)&gt;1,"CPF + dia duplicado",IF(OR(AND(E4554&lt;&gt;"",E4554&lt;B4554),AND(F4554&lt;&gt;"",F4554&lt;B4554)),"Evento anterior à entrada",IF(AND(F4554&lt;&gt;"",E4554=""),"Conversa sem agendamento",IF(OR(E4554&gt;TODAY(),F4554&gt;TODAY()),"Verificar evento futuro","OK"))))))</f>
        <v/>
      </c>
    </row>
    <row r="4555" spans="9:12">
      <c r="I4555" s="5">
        <f>IF(OR(A4555="",B4555=""),"",B4555-WEEKDAY(B4555,2)+1)</f>
        <v/>
      </c>
      <c r="J4555" s="5">
        <f>IF(I4555="","",I4555+6)</f>
        <v/>
      </c>
      <c r="K4555" s="6">
        <f>IF(OR(A4555="",B4555=""),"",DATE(YEAR(B4555),MONTH(B4555),1))</f>
        <v/>
      </c>
      <c r="L4555" s="7">
        <f>IF(COUNTA(A4555,B4555)=0,"",IF(OR(A4555="",B4555=""),"Preencher CPF e entrada",IF(COUNTIFS($A$12:$A$5011,A4555,$B$12:$B$5011,B4555)&gt;1,"CPF + dia duplicado",IF(OR(AND(E4555&lt;&gt;"",E4555&lt;B4555),AND(F4555&lt;&gt;"",F4555&lt;B4555)),"Evento anterior à entrada",IF(AND(F4555&lt;&gt;"",E4555=""),"Conversa sem agendamento",IF(OR(E4555&gt;TODAY(),F4555&gt;TODAY()),"Verificar evento futuro","OK"))))))</f>
        <v/>
      </c>
    </row>
    <row r="4556" spans="9:12">
      <c r="I4556" s="5">
        <f>IF(OR(A4556="",B4556=""),"",B4556-WEEKDAY(B4556,2)+1)</f>
        <v/>
      </c>
      <c r="J4556" s="5">
        <f>IF(I4556="","",I4556+6)</f>
        <v/>
      </c>
      <c r="K4556" s="6">
        <f>IF(OR(A4556="",B4556=""),"",DATE(YEAR(B4556),MONTH(B4556),1))</f>
        <v/>
      </c>
      <c r="L4556" s="7">
        <f>IF(COUNTA(A4556,B4556)=0,"",IF(OR(A4556="",B4556=""),"Preencher CPF e entrada",IF(COUNTIFS($A$12:$A$5011,A4556,$B$12:$B$5011,B4556)&gt;1,"CPF + dia duplicado",IF(OR(AND(E4556&lt;&gt;"",E4556&lt;B4556),AND(F4556&lt;&gt;"",F4556&lt;B4556)),"Evento anterior à entrada",IF(AND(F4556&lt;&gt;"",E4556=""),"Conversa sem agendamento",IF(OR(E4556&gt;TODAY(),F4556&gt;TODAY()),"Verificar evento futuro","OK"))))))</f>
        <v/>
      </c>
    </row>
    <row r="4557" spans="9:12">
      <c r="I4557" s="5">
        <f>IF(OR(A4557="",B4557=""),"",B4557-WEEKDAY(B4557,2)+1)</f>
        <v/>
      </c>
      <c r="J4557" s="5">
        <f>IF(I4557="","",I4557+6)</f>
        <v/>
      </c>
      <c r="K4557" s="6">
        <f>IF(OR(A4557="",B4557=""),"",DATE(YEAR(B4557),MONTH(B4557),1))</f>
        <v/>
      </c>
      <c r="L4557" s="7">
        <f>IF(COUNTA(A4557,B4557)=0,"",IF(OR(A4557="",B4557=""),"Preencher CPF e entrada",IF(COUNTIFS($A$12:$A$5011,A4557,$B$12:$B$5011,B4557)&gt;1,"CPF + dia duplicado",IF(OR(AND(E4557&lt;&gt;"",E4557&lt;B4557),AND(F4557&lt;&gt;"",F4557&lt;B4557)),"Evento anterior à entrada",IF(AND(F4557&lt;&gt;"",E4557=""),"Conversa sem agendamento",IF(OR(E4557&gt;TODAY(),F4557&gt;TODAY()),"Verificar evento futuro","OK"))))))</f>
        <v/>
      </c>
    </row>
    <row r="4558" spans="9:12">
      <c r="I4558" s="5">
        <f>IF(OR(A4558="",B4558=""),"",B4558-WEEKDAY(B4558,2)+1)</f>
        <v/>
      </c>
      <c r="J4558" s="5">
        <f>IF(I4558="","",I4558+6)</f>
        <v/>
      </c>
      <c r="K4558" s="6">
        <f>IF(OR(A4558="",B4558=""),"",DATE(YEAR(B4558),MONTH(B4558),1))</f>
        <v/>
      </c>
      <c r="L4558" s="7">
        <f>IF(COUNTA(A4558,B4558)=0,"",IF(OR(A4558="",B4558=""),"Preencher CPF e entrada",IF(COUNTIFS($A$12:$A$5011,A4558,$B$12:$B$5011,B4558)&gt;1,"CPF + dia duplicado",IF(OR(AND(E4558&lt;&gt;"",E4558&lt;B4558),AND(F4558&lt;&gt;"",F4558&lt;B4558)),"Evento anterior à entrada",IF(AND(F4558&lt;&gt;"",E4558=""),"Conversa sem agendamento",IF(OR(E4558&gt;TODAY(),F4558&gt;TODAY()),"Verificar evento futuro","OK"))))))</f>
        <v/>
      </c>
    </row>
    <row r="4559" spans="9:12">
      <c r="I4559" s="5">
        <f>IF(OR(A4559="",B4559=""),"",B4559-WEEKDAY(B4559,2)+1)</f>
        <v/>
      </c>
      <c r="J4559" s="5">
        <f>IF(I4559="","",I4559+6)</f>
        <v/>
      </c>
      <c r="K4559" s="6">
        <f>IF(OR(A4559="",B4559=""),"",DATE(YEAR(B4559),MONTH(B4559),1))</f>
        <v/>
      </c>
      <c r="L4559" s="7">
        <f>IF(COUNTA(A4559,B4559)=0,"",IF(OR(A4559="",B4559=""),"Preencher CPF e entrada",IF(COUNTIFS($A$12:$A$5011,A4559,$B$12:$B$5011,B4559)&gt;1,"CPF + dia duplicado",IF(OR(AND(E4559&lt;&gt;"",E4559&lt;B4559),AND(F4559&lt;&gt;"",F4559&lt;B4559)),"Evento anterior à entrada",IF(AND(F4559&lt;&gt;"",E4559=""),"Conversa sem agendamento",IF(OR(E4559&gt;TODAY(),F4559&gt;TODAY()),"Verificar evento futuro","OK"))))))</f>
        <v/>
      </c>
    </row>
    <row r="4560" spans="9:12">
      <c r="I4560" s="5">
        <f>IF(OR(A4560="",B4560=""),"",B4560-WEEKDAY(B4560,2)+1)</f>
        <v/>
      </c>
      <c r="J4560" s="5">
        <f>IF(I4560="","",I4560+6)</f>
        <v/>
      </c>
      <c r="K4560" s="6">
        <f>IF(OR(A4560="",B4560=""),"",DATE(YEAR(B4560),MONTH(B4560),1))</f>
        <v/>
      </c>
      <c r="L4560" s="7">
        <f>IF(COUNTA(A4560,B4560)=0,"",IF(OR(A4560="",B4560=""),"Preencher CPF e entrada",IF(COUNTIFS($A$12:$A$5011,A4560,$B$12:$B$5011,B4560)&gt;1,"CPF + dia duplicado",IF(OR(AND(E4560&lt;&gt;"",E4560&lt;B4560),AND(F4560&lt;&gt;"",F4560&lt;B4560)),"Evento anterior à entrada",IF(AND(F4560&lt;&gt;"",E4560=""),"Conversa sem agendamento",IF(OR(E4560&gt;TODAY(),F4560&gt;TODAY()),"Verificar evento futuro","OK"))))))</f>
        <v/>
      </c>
    </row>
    <row r="4561" spans="9:12">
      <c r="I4561" s="5">
        <f>IF(OR(A4561="",B4561=""),"",B4561-WEEKDAY(B4561,2)+1)</f>
        <v/>
      </c>
      <c r="J4561" s="5">
        <f>IF(I4561="","",I4561+6)</f>
        <v/>
      </c>
      <c r="K4561" s="6">
        <f>IF(OR(A4561="",B4561=""),"",DATE(YEAR(B4561),MONTH(B4561),1))</f>
        <v/>
      </c>
      <c r="L4561" s="7">
        <f>IF(COUNTA(A4561,B4561)=0,"",IF(OR(A4561="",B4561=""),"Preencher CPF e entrada",IF(COUNTIFS($A$12:$A$5011,A4561,$B$12:$B$5011,B4561)&gt;1,"CPF + dia duplicado",IF(OR(AND(E4561&lt;&gt;"",E4561&lt;B4561),AND(F4561&lt;&gt;"",F4561&lt;B4561)),"Evento anterior à entrada",IF(AND(F4561&lt;&gt;"",E4561=""),"Conversa sem agendamento",IF(OR(E4561&gt;TODAY(),F4561&gt;TODAY()),"Verificar evento futuro","OK"))))))</f>
        <v/>
      </c>
    </row>
    <row r="4562" spans="9:12">
      <c r="I4562" s="5">
        <f>IF(OR(A4562="",B4562=""),"",B4562-WEEKDAY(B4562,2)+1)</f>
        <v/>
      </c>
      <c r="J4562" s="5">
        <f>IF(I4562="","",I4562+6)</f>
        <v/>
      </c>
      <c r="K4562" s="6">
        <f>IF(OR(A4562="",B4562=""),"",DATE(YEAR(B4562),MONTH(B4562),1))</f>
        <v/>
      </c>
      <c r="L4562" s="7">
        <f>IF(COUNTA(A4562,B4562)=0,"",IF(OR(A4562="",B4562=""),"Preencher CPF e entrada",IF(COUNTIFS($A$12:$A$5011,A4562,$B$12:$B$5011,B4562)&gt;1,"CPF + dia duplicado",IF(OR(AND(E4562&lt;&gt;"",E4562&lt;B4562),AND(F4562&lt;&gt;"",F4562&lt;B4562)),"Evento anterior à entrada",IF(AND(F4562&lt;&gt;"",E4562=""),"Conversa sem agendamento",IF(OR(E4562&gt;TODAY(),F4562&gt;TODAY()),"Verificar evento futuro","OK"))))))</f>
        <v/>
      </c>
    </row>
    <row r="4563" spans="9:12">
      <c r="I4563" s="5">
        <f>IF(OR(A4563="",B4563=""),"",B4563-WEEKDAY(B4563,2)+1)</f>
        <v/>
      </c>
      <c r="J4563" s="5">
        <f>IF(I4563="","",I4563+6)</f>
        <v/>
      </c>
      <c r="K4563" s="6">
        <f>IF(OR(A4563="",B4563=""),"",DATE(YEAR(B4563),MONTH(B4563),1))</f>
        <v/>
      </c>
      <c r="L4563" s="7">
        <f>IF(COUNTA(A4563,B4563)=0,"",IF(OR(A4563="",B4563=""),"Preencher CPF e entrada",IF(COUNTIFS($A$12:$A$5011,A4563,$B$12:$B$5011,B4563)&gt;1,"CPF + dia duplicado",IF(OR(AND(E4563&lt;&gt;"",E4563&lt;B4563),AND(F4563&lt;&gt;"",F4563&lt;B4563)),"Evento anterior à entrada",IF(AND(F4563&lt;&gt;"",E4563=""),"Conversa sem agendamento",IF(OR(E4563&gt;TODAY(),F4563&gt;TODAY()),"Verificar evento futuro","OK"))))))</f>
        <v/>
      </c>
    </row>
    <row r="4564" spans="9:12">
      <c r="I4564" s="5">
        <f>IF(OR(A4564="",B4564=""),"",B4564-WEEKDAY(B4564,2)+1)</f>
        <v/>
      </c>
      <c r="J4564" s="5">
        <f>IF(I4564="","",I4564+6)</f>
        <v/>
      </c>
      <c r="K4564" s="6">
        <f>IF(OR(A4564="",B4564=""),"",DATE(YEAR(B4564),MONTH(B4564),1))</f>
        <v/>
      </c>
      <c r="L4564" s="7">
        <f>IF(COUNTA(A4564,B4564)=0,"",IF(OR(A4564="",B4564=""),"Preencher CPF e entrada",IF(COUNTIFS($A$12:$A$5011,A4564,$B$12:$B$5011,B4564)&gt;1,"CPF + dia duplicado",IF(OR(AND(E4564&lt;&gt;"",E4564&lt;B4564),AND(F4564&lt;&gt;"",F4564&lt;B4564)),"Evento anterior à entrada",IF(AND(F4564&lt;&gt;"",E4564=""),"Conversa sem agendamento",IF(OR(E4564&gt;TODAY(),F4564&gt;TODAY()),"Verificar evento futuro","OK"))))))</f>
        <v/>
      </c>
    </row>
    <row r="4565" spans="9:12">
      <c r="I4565" s="5">
        <f>IF(OR(A4565="",B4565=""),"",B4565-WEEKDAY(B4565,2)+1)</f>
        <v/>
      </c>
      <c r="J4565" s="5">
        <f>IF(I4565="","",I4565+6)</f>
        <v/>
      </c>
      <c r="K4565" s="6">
        <f>IF(OR(A4565="",B4565=""),"",DATE(YEAR(B4565),MONTH(B4565),1))</f>
        <v/>
      </c>
      <c r="L4565" s="7">
        <f>IF(COUNTA(A4565,B4565)=0,"",IF(OR(A4565="",B4565=""),"Preencher CPF e entrada",IF(COUNTIFS($A$12:$A$5011,A4565,$B$12:$B$5011,B4565)&gt;1,"CPF + dia duplicado",IF(OR(AND(E4565&lt;&gt;"",E4565&lt;B4565),AND(F4565&lt;&gt;"",F4565&lt;B4565)),"Evento anterior à entrada",IF(AND(F4565&lt;&gt;"",E4565=""),"Conversa sem agendamento",IF(OR(E4565&gt;TODAY(),F4565&gt;TODAY()),"Verificar evento futuro","OK"))))))</f>
        <v/>
      </c>
    </row>
    <row r="4566" spans="9:12">
      <c r="I4566" s="5">
        <f>IF(OR(A4566="",B4566=""),"",B4566-WEEKDAY(B4566,2)+1)</f>
        <v/>
      </c>
      <c r="J4566" s="5">
        <f>IF(I4566="","",I4566+6)</f>
        <v/>
      </c>
      <c r="K4566" s="6">
        <f>IF(OR(A4566="",B4566=""),"",DATE(YEAR(B4566),MONTH(B4566),1))</f>
        <v/>
      </c>
      <c r="L4566" s="7">
        <f>IF(COUNTA(A4566,B4566)=0,"",IF(OR(A4566="",B4566=""),"Preencher CPF e entrada",IF(COUNTIFS($A$12:$A$5011,A4566,$B$12:$B$5011,B4566)&gt;1,"CPF + dia duplicado",IF(OR(AND(E4566&lt;&gt;"",E4566&lt;B4566),AND(F4566&lt;&gt;"",F4566&lt;B4566)),"Evento anterior à entrada",IF(AND(F4566&lt;&gt;"",E4566=""),"Conversa sem agendamento",IF(OR(E4566&gt;TODAY(),F4566&gt;TODAY()),"Verificar evento futuro","OK"))))))</f>
        <v/>
      </c>
    </row>
    <row r="4567" spans="9:12">
      <c r="I4567" s="5">
        <f>IF(OR(A4567="",B4567=""),"",B4567-WEEKDAY(B4567,2)+1)</f>
        <v/>
      </c>
      <c r="J4567" s="5">
        <f>IF(I4567="","",I4567+6)</f>
        <v/>
      </c>
      <c r="K4567" s="6">
        <f>IF(OR(A4567="",B4567=""),"",DATE(YEAR(B4567),MONTH(B4567),1))</f>
        <v/>
      </c>
      <c r="L4567" s="7">
        <f>IF(COUNTA(A4567,B4567)=0,"",IF(OR(A4567="",B4567=""),"Preencher CPF e entrada",IF(COUNTIFS($A$12:$A$5011,A4567,$B$12:$B$5011,B4567)&gt;1,"CPF + dia duplicado",IF(OR(AND(E4567&lt;&gt;"",E4567&lt;B4567),AND(F4567&lt;&gt;"",F4567&lt;B4567)),"Evento anterior à entrada",IF(AND(F4567&lt;&gt;"",E4567=""),"Conversa sem agendamento",IF(OR(E4567&gt;TODAY(),F4567&gt;TODAY()),"Verificar evento futuro","OK"))))))</f>
        <v/>
      </c>
    </row>
    <row r="4568" spans="9:12">
      <c r="I4568" s="5">
        <f>IF(OR(A4568="",B4568=""),"",B4568-WEEKDAY(B4568,2)+1)</f>
        <v/>
      </c>
      <c r="J4568" s="5">
        <f>IF(I4568="","",I4568+6)</f>
        <v/>
      </c>
      <c r="K4568" s="6">
        <f>IF(OR(A4568="",B4568=""),"",DATE(YEAR(B4568),MONTH(B4568),1))</f>
        <v/>
      </c>
      <c r="L4568" s="7">
        <f>IF(COUNTA(A4568,B4568)=0,"",IF(OR(A4568="",B4568=""),"Preencher CPF e entrada",IF(COUNTIFS($A$12:$A$5011,A4568,$B$12:$B$5011,B4568)&gt;1,"CPF + dia duplicado",IF(OR(AND(E4568&lt;&gt;"",E4568&lt;B4568),AND(F4568&lt;&gt;"",F4568&lt;B4568)),"Evento anterior à entrada",IF(AND(F4568&lt;&gt;"",E4568=""),"Conversa sem agendamento",IF(OR(E4568&gt;TODAY(),F4568&gt;TODAY()),"Verificar evento futuro","OK"))))))</f>
        <v/>
      </c>
    </row>
    <row r="4569" spans="9:12">
      <c r="I4569" s="5">
        <f>IF(OR(A4569="",B4569=""),"",B4569-WEEKDAY(B4569,2)+1)</f>
        <v/>
      </c>
      <c r="J4569" s="5">
        <f>IF(I4569="","",I4569+6)</f>
        <v/>
      </c>
      <c r="K4569" s="6">
        <f>IF(OR(A4569="",B4569=""),"",DATE(YEAR(B4569),MONTH(B4569),1))</f>
        <v/>
      </c>
      <c r="L4569" s="7">
        <f>IF(COUNTA(A4569,B4569)=0,"",IF(OR(A4569="",B4569=""),"Preencher CPF e entrada",IF(COUNTIFS($A$12:$A$5011,A4569,$B$12:$B$5011,B4569)&gt;1,"CPF + dia duplicado",IF(OR(AND(E4569&lt;&gt;"",E4569&lt;B4569),AND(F4569&lt;&gt;"",F4569&lt;B4569)),"Evento anterior à entrada",IF(AND(F4569&lt;&gt;"",E4569=""),"Conversa sem agendamento",IF(OR(E4569&gt;TODAY(),F4569&gt;TODAY()),"Verificar evento futuro","OK"))))))</f>
        <v/>
      </c>
    </row>
    <row r="4570" spans="9:12">
      <c r="I4570" s="5">
        <f>IF(OR(A4570="",B4570=""),"",B4570-WEEKDAY(B4570,2)+1)</f>
        <v/>
      </c>
      <c r="J4570" s="5">
        <f>IF(I4570="","",I4570+6)</f>
        <v/>
      </c>
      <c r="K4570" s="6">
        <f>IF(OR(A4570="",B4570=""),"",DATE(YEAR(B4570),MONTH(B4570),1))</f>
        <v/>
      </c>
      <c r="L4570" s="7">
        <f>IF(COUNTA(A4570,B4570)=0,"",IF(OR(A4570="",B4570=""),"Preencher CPF e entrada",IF(COUNTIFS($A$12:$A$5011,A4570,$B$12:$B$5011,B4570)&gt;1,"CPF + dia duplicado",IF(OR(AND(E4570&lt;&gt;"",E4570&lt;B4570),AND(F4570&lt;&gt;"",F4570&lt;B4570)),"Evento anterior à entrada",IF(AND(F4570&lt;&gt;"",E4570=""),"Conversa sem agendamento",IF(OR(E4570&gt;TODAY(),F4570&gt;TODAY()),"Verificar evento futuro","OK"))))))</f>
        <v/>
      </c>
    </row>
    <row r="4571" spans="9:12">
      <c r="I4571" s="5">
        <f>IF(OR(A4571="",B4571=""),"",B4571-WEEKDAY(B4571,2)+1)</f>
        <v/>
      </c>
      <c r="J4571" s="5">
        <f>IF(I4571="","",I4571+6)</f>
        <v/>
      </c>
      <c r="K4571" s="6">
        <f>IF(OR(A4571="",B4571=""),"",DATE(YEAR(B4571),MONTH(B4571),1))</f>
        <v/>
      </c>
      <c r="L4571" s="7">
        <f>IF(COUNTA(A4571,B4571)=0,"",IF(OR(A4571="",B4571=""),"Preencher CPF e entrada",IF(COUNTIFS($A$12:$A$5011,A4571,$B$12:$B$5011,B4571)&gt;1,"CPF + dia duplicado",IF(OR(AND(E4571&lt;&gt;"",E4571&lt;B4571),AND(F4571&lt;&gt;"",F4571&lt;B4571)),"Evento anterior à entrada",IF(AND(F4571&lt;&gt;"",E4571=""),"Conversa sem agendamento",IF(OR(E4571&gt;TODAY(),F4571&gt;TODAY()),"Verificar evento futuro","OK"))))))</f>
        <v/>
      </c>
    </row>
    <row r="4572" spans="9:12">
      <c r="I4572" s="5">
        <f>IF(OR(A4572="",B4572=""),"",B4572-WEEKDAY(B4572,2)+1)</f>
        <v/>
      </c>
      <c r="J4572" s="5">
        <f>IF(I4572="","",I4572+6)</f>
        <v/>
      </c>
      <c r="K4572" s="6">
        <f>IF(OR(A4572="",B4572=""),"",DATE(YEAR(B4572),MONTH(B4572),1))</f>
        <v/>
      </c>
      <c r="L4572" s="7">
        <f>IF(COUNTA(A4572,B4572)=0,"",IF(OR(A4572="",B4572=""),"Preencher CPF e entrada",IF(COUNTIFS($A$12:$A$5011,A4572,$B$12:$B$5011,B4572)&gt;1,"CPF + dia duplicado",IF(OR(AND(E4572&lt;&gt;"",E4572&lt;B4572),AND(F4572&lt;&gt;"",F4572&lt;B4572)),"Evento anterior à entrada",IF(AND(F4572&lt;&gt;"",E4572=""),"Conversa sem agendamento",IF(OR(E4572&gt;TODAY(),F4572&gt;TODAY()),"Verificar evento futuro","OK"))))))</f>
        <v/>
      </c>
    </row>
    <row r="4573" spans="9:12">
      <c r="I4573" s="5">
        <f>IF(OR(A4573="",B4573=""),"",B4573-WEEKDAY(B4573,2)+1)</f>
        <v/>
      </c>
      <c r="J4573" s="5">
        <f>IF(I4573="","",I4573+6)</f>
        <v/>
      </c>
      <c r="K4573" s="6">
        <f>IF(OR(A4573="",B4573=""),"",DATE(YEAR(B4573),MONTH(B4573),1))</f>
        <v/>
      </c>
      <c r="L4573" s="7">
        <f>IF(COUNTA(A4573,B4573)=0,"",IF(OR(A4573="",B4573=""),"Preencher CPF e entrada",IF(COUNTIFS($A$12:$A$5011,A4573,$B$12:$B$5011,B4573)&gt;1,"CPF + dia duplicado",IF(OR(AND(E4573&lt;&gt;"",E4573&lt;B4573),AND(F4573&lt;&gt;"",F4573&lt;B4573)),"Evento anterior à entrada",IF(AND(F4573&lt;&gt;"",E4573=""),"Conversa sem agendamento",IF(OR(E4573&gt;TODAY(),F4573&gt;TODAY()),"Verificar evento futuro","OK"))))))</f>
        <v/>
      </c>
    </row>
    <row r="4574" spans="9:12">
      <c r="I4574" s="5">
        <f>IF(OR(A4574="",B4574=""),"",B4574-WEEKDAY(B4574,2)+1)</f>
        <v/>
      </c>
      <c r="J4574" s="5">
        <f>IF(I4574="","",I4574+6)</f>
        <v/>
      </c>
      <c r="K4574" s="6">
        <f>IF(OR(A4574="",B4574=""),"",DATE(YEAR(B4574),MONTH(B4574),1))</f>
        <v/>
      </c>
      <c r="L4574" s="7">
        <f>IF(COUNTA(A4574,B4574)=0,"",IF(OR(A4574="",B4574=""),"Preencher CPF e entrada",IF(COUNTIFS($A$12:$A$5011,A4574,$B$12:$B$5011,B4574)&gt;1,"CPF + dia duplicado",IF(OR(AND(E4574&lt;&gt;"",E4574&lt;B4574),AND(F4574&lt;&gt;"",F4574&lt;B4574)),"Evento anterior à entrada",IF(AND(F4574&lt;&gt;"",E4574=""),"Conversa sem agendamento",IF(OR(E4574&gt;TODAY(),F4574&gt;TODAY()),"Verificar evento futuro","OK"))))))</f>
        <v/>
      </c>
    </row>
    <row r="4575" spans="9:12">
      <c r="I4575" s="5">
        <f>IF(OR(A4575="",B4575=""),"",B4575-WEEKDAY(B4575,2)+1)</f>
        <v/>
      </c>
      <c r="J4575" s="5">
        <f>IF(I4575="","",I4575+6)</f>
        <v/>
      </c>
      <c r="K4575" s="6">
        <f>IF(OR(A4575="",B4575=""),"",DATE(YEAR(B4575),MONTH(B4575),1))</f>
        <v/>
      </c>
      <c r="L4575" s="7">
        <f>IF(COUNTA(A4575,B4575)=0,"",IF(OR(A4575="",B4575=""),"Preencher CPF e entrada",IF(COUNTIFS($A$12:$A$5011,A4575,$B$12:$B$5011,B4575)&gt;1,"CPF + dia duplicado",IF(OR(AND(E4575&lt;&gt;"",E4575&lt;B4575),AND(F4575&lt;&gt;"",F4575&lt;B4575)),"Evento anterior à entrada",IF(AND(F4575&lt;&gt;"",E4575=""),"Conversa sem agendamento",IF(OR(E4575&gt;TODAY(),F4575&gt;TODAY()),"Verificar evento futuro","OK"))))))</f>
        <v/>
      </c>
    </row>
    <row r="4576" spans="9:12">
      <c r="I4576" s="5">
        <f>IF(OR(A4576="",B4576=""),"",B4576-WEEKDAY(B4576,2)+1)</f>
        <v/>
      </c>
      <c r="J4576" s="5">
        <f>IF(I4576="","",I4576+6)</f>
        <v/>
      </c>
      <c r="K4576" s="6">
        <f>IF(OR(A4576="",B4576=""),"",DATE(YEAR(B4576),MONTH(B4576),1))</f>
        <v/>
      </c>
      <c r="L4576" s="7">
        <f>IF(COUNTA(A4576,B4576)=0,"",IF(OR(A4576="",B4576=""),"Preencher CPF e entrada",IF(COUNTIFS($A$12:$A$5011,A4576,$B$12:$B$5011,B4576)&gt;1,"CPF + dia duplicado",IF(OR(AND(E4576&lt;&gt;"",E4576&lt;B4576),AND(F4576&lt;&gt;"",F4576&lt;B4576)),"Evento anterior à entrada",IF(AND(F4576&lt;&gt;"",E4576=""),"Conversa sem agendamento",IF(OR(E4576&gt;TODAY(),F4576&gt;TODAY()),"Verificar evento futuro","OK"))))))</f>
        <v/>
      </c>
    </row>
    <row r="4577" spans="9:12">
      <c r="I4577" s="5">
        <f>IF(OR(A4577="",B4577=""),"",B4577-WEEKDAY(B4577,2)+1)</f>
        <v/>
      </c>
      <c r="J4577" s="5">
        <f>IF(I4577="","",I4577+6)</f>
        <v/>
      </c>
      <c r="K4577" s="6">
        <f>IF(OR(A4577="",B4577=""),"",DATE(YEAR(B4577),MONTH(B4577),1))</f>
        <v/>
      </c>
      <c r="L4577" s="7">
        <f>IF(COUNTA(A4577,B4577)=0,"",IF(OR(A4577="",B4577=""),"Preencher CPF e entrada",IF(COUNTIFS($A$12:$A$5011,A4577,$B$12:$B$5011,B4577)&gt;1,"CPF + dia duplicado",IF(OR(AND(E4577&lt;&gt;"",E4577&lt;B4577),AND(F4577&lt;&gt;"",F4577&lt;B4577)),"Evento anterior à entrada",IF(AND(F4577&lt;&gt;"",E4577=""),"Conversa sem agendamento",IF(OR(E4577&gt;TODAY(),F4577&gt;TODAY()),"Verificar evento futuro","OK"))))))</f>
        <v/>
      </c>
    </row>
    <row r="4578" spans="9:12">
      <c r="I4578" s="5">
        <f>IF(OR(A4578="",B4578=""),"",B4578-WEEKDAY(B4578,2)+1)</f>
        <v/>
      </c>
      <c r="J4578" s="5">
        <f>IF(I4578="","",I4578+6)</f>
        <v/>
      </c>
      <c r="K4578" s="6">
        <f>IF(OR(A4578="",B4578=""),"",DATE(YEAR(B4578),MONTH(B4578),1))</f>
        <v/>
      </c>
      <c r="L4578" s="7">
        <f>IF(COUNTA(A4578,B4578)=0,"",IF(OR(A4578="",B4578=""),"Preencher CPF e entrada",IF(COUNTIFS($A$12:$A$5011,A4578,$B$12:$B$5011,B4578)&gt;1,"CPF + dia duplicado",IF(OR(AND(E4578&lt;&gt;"",E4578&lt;B4578),AND(F4578&lt;&gt;"",F4578&lt;B4578)),"Evento anterior à entrada",IF(AND(F4578&lt;&gt;"",E4578=""),"Conversa sem agendamento",IF(OR(E4578&gt;TODAY(),F4578&gt;TODAY()),"Verificar evento futuro","OK"))))))</f>
        <v/>
      </c>
    </row>
    <row r="4579" spans="9:12">
      <c r="I4579" s="5">
        <f>IF(OR(A4579="",B4579=""),"",B4579-WEEKDAY(B4579,2)+1)</f>
        <v/>
      </c>
      <c r="J4579" s="5">
        <f>IF(I4579="","",I4579+6)</f>
        <v/>
      </c>
      <c r="K4579" s="6">
        <f>IF(OR(A4579="",B4579=""),"",DATE(YEAR(B4579),MONTH(B4579),1))</f>
        <v/>
      </c>
      <c r="L4579" s="7">
        <f>IF(COUNTA(A4579,B4579)=0,"",IF(OR(A4579="",B4579=""),"Preencher CPF e entrada",IF(COUNTIFS($A$12:$A$5011,A4579,$B$12:$B$5011,B4579)&gt;1,"CPF + dia duplicado",IF(OR(AND(E4579&lt;&gt;"",E4579&lt;B4579),AND(F4579&lt;&gt;"",F4579&lt;B4579)),"Evento anterior à entrada",IF(AND(F4579&lt;&gt;"",E4579=""),"Conversa sem agendamento",IF(OR(E4579&gt;TODAY(),F4579&gt;TODAY()),"Verificar evento futuro","OK"))))))</f>
        <v/>
      </c>
    </row>
    <row r="4580" spans="9:12">
      <c r="I4580" s="5">
        <f>IF(OR(A4580="",B4580=""),"",B4580-WEEKDAY(B4580,2)+1)</f>
        <v/>
      </c>
      <c r="J4580" s="5">
        <f>IF(I4580="","",I4580+6)</f>
        <v/>
      </c>
      <c r="K4580" s="6">
        <f>IF(OR(A4580="",B4580=""),"",DATE(YEAR(B4580),MONTH(B4580),1))</f>
        <v/>
      </c>
      <c r="L4580" s="7">
        <f>IF(COUNTA(A4580,B4580)=0,"",IF(OR(A4580="",B4580=""),"Preencher CPF e entrada",IF(COUNTIFS($A$12:$A$5011,A4580,$B$12:$B$5011,B4580)&gt;1,"CPF + dia duplicado",IF(OR(AND(E4580&lt;&gt;"",E4580&lt;B4580),AND(F4580&lt;&gt;"",F4580&lt;B4580)),"Evento anterior à entrada",IF(AND(F4580&lt;&gt;"",E4580=""),"Conversa sem agendamento",IF(OR(E4580&gt;TODAY(),F4580&gt;TODAY()),"Verificar evento futuro","OK"))))))</f>
        <v/>
      </c>
    </row>
    <row r="4581" spans="9:12">
      <c r="I4581" s="5">
        <f>IF(OR(A4581="",B4581=""),"",B4581-WEEKDAY(B4581,2)+1)</f>
        <v/>
      </c>
      <c r="J4581" s="5">
        <f>IF(I4581="","",I4581+6)</f>
        <v/>
      </c>
      <c r="K4581" s="6">
        <f>IF(OR(A4581="",B4581=""),"",DATE(YEAR(B4581),MONTH(B4581),1))</f>
        <v/>
      </c>
      <c r="L4581" s="7">
        <f>IF(COUNTA(A4581,B4581)=0,"",IF(OR(A4581="",B4581=""),"Preencher CPF e entrada",IF(COUNTIFS($A$12:$A$5011,A4581,$B$12:$B$5011,B4581)&gt;1,"CPF + dia duplicado",IF(OR(AND(E4581&lt;&gt;"",E4581&lt;B4581),AND(F4581&lt;&gt;"",F4581&lt;B4581)),"Evento anterior à entrada",IF(AND(F4581&lt;&gt;"",E4581=""),"Conversa sem agendamento",IF(OR(E4581&gt;TODAY(),F4581&gt;TODAY()),"Verificar evento futuro","OK"))))))</f>
        <v/>
      </c>
    </row>
    <row r="4582" spans="9:12">
      <c r="I4582" s="5">
        <f>IF(OR(A4582="",B4582=""),"",B4582-WEEKDAY(B4582,2)+1)</f>
        <v/>
      </c>
      <c r="J4582" s="5">
        <f>IF(I4582="","",I4582+6)</f>
        <v/>
      </c>
      <c r="K4582" s="6">
        <f>IF(OR(A4582="",B4582=""),"",DATE(YEAR(B4582),MONTH(B4582),1))</f>
        <v/>
      </c>
      <c r="L4582" s="7">
        <f>IF(COUNTA(A4582,B4582)=0,"",IF(OR(A4582="",B4582=""),"Preencher CPF e entrada",IF(COUNTIFS($A$12:$A$5011,A4582,$B$12:$B$5011,B4582)&gt;1,"CPF + dia duplicado",IF(OR(AND(E4582&lt;&gt;"",E4582&lt;B4582),AND(F4582&lt;&gt;"",F4582&lt;B4582)),"Evento anterior à entrada",IF(AND(F4582&lt;&gt;"",E4582=""),"Conversa sem agendamento",IF(OR(E4582&gt;TODAY(),F4582&gt;TODAY()),"Verificar evento futuro","OK"))))))</f>
        <v/>
      </c>
    </row>
    <row r="4583" spans="9:12">
      <c r="I4583" s="5">
        <f>IF(OR(A4583="",B4583=""),"",B4583-WEEKDAY(B4583,2)+1)</f>
        <v/>
      </c>
      <c r="J4583" s="5">
        <f>IF(I4583="","",I4583+6)</f>
        <v/>
      </c>
      <c r="K4583" s="6">
        <f>IF(OR(A4583="",B4583=""),"",DATE(YEAR(B4583),MONTH(B4583),1))</f>
        <v/>
      </c>
      <c r="L4583" s="7">
        <f>IF(COUNTA(A4583,B4583)=0,"",IF(OR(A4583="",B4583=""),"Preencher CPF e entrada",IF(COUNTIFS($A$12:$A$5011,A4583,$B$12:$B$5011,B4583)&gt;1,"CPF + dia duplicado",IF(OR(AND(E4583&lt;&gt;"",E4583&lt;B4583),AND(F4583&lt;&gt;"",F4583&lt;B4583)),"Evento anterior à entrada",IF(AND(F4583&lt;&gt;"",E4583=""),"Conversa sem agendamento",IF(OR(E4583&gt;TODAY(),F4583&gt;TODAY()),"Verificar evento futuro","OK"))))))</f>
        <v/>
      </c>
    </row>
    <row r="4584" spans="9:12">
      <c r="I4584" s="5">
        <f>IF(OR(A4584="",B4584=""),"",B4584-WEEKDAY(B4584,2)+1)</f>
        <v/>
      </c>
      <c r="J4584" s="5">
        <f>IF(I4584="","",I4584+6)</f>
        <v/>
      </c>
      <c r="K4584" s="6">
        <f>IF(OR(A4584="",B4584=""),"",DATE(YEAR(B4584),MONTH(B4584),1))</f>
        <v/>
      </c>
      <c r="L4584" s="7">
        <f>IF(COUNTA(A4584,B4584)=0,"",IF(OR(A4584="",B4584=""),"Preencher CPF e entrada",IF(COUNTIFS($A$12:$A$5011,A4584,$B$12:$B$5011,B4584)&gt;1,"CPF + dia duplicado",IF(OR(AND(E4584&lt;&gt;"",E4584&lt;B4584),AND(F4584&lt;&gt;"",F4584&lt;B4584)),"Evento anterior à entrada",IF(AND(F4584&lt;&gt;"",E4584=""),"Conversa sem agendamento",IF(OR(E4584&gt;TODAY(),F4584&gt;TODAY()),"Verificar evento futuro","OK"))))))</f>
        <v/>
      </c>
    </row>
    <row r="4585" spans="9:12">
      <c r="I4585" s="5">
        <f>IF(OR(A4585="",B4585=""),"",B4585-WEEKDAY(B4585,2)+1)</f>
        <v/>
      </c>
      <c r="J4585" s="5">
        <f>IF(I4585="","",I4585+6)</f>
        <v/>
      </c>
      <c r="K4585" s="6">
        <f>IF(OR(A4585="",B4585=""),"",DATE(YEAR(B4585),MONTH(B4585),1))</f>
        <v/>
      </c>
      <c r="L4585" s="7">
        <f>IF(COUNTA(A4585,B4585)=0,"",IF(OR(A4585="",B4585=""),"Preencher CPF e entrada",IF(COUNTIFS($A$12:$A$5011,A4585,$B$12:$B$5011,B4585)&gt;1,"CPF + dia duplicado",IF(OR(AND(E4585&lt;&gt;"",E4585&lt;B4585),AND(F4585&lt;&gt;"",F4585&lt;B4585)),"Evento anterior à entrada",IF(AND(F4585&lt;&gt;"",E4585=""),"Conversa sem agendamento",IF(OR(E4585&gt;TODAY(),F4585&gt;TODAY()),"Verificar evento futuro","OK"))))))</f>
        <v/>
      </c>
    </row>
    <row r="4586" spans="9:12">
      <c r="I4586" s="5">
        <f>IF(OR(A4586="",B4586=""),"",B4586-WEEKDAY(B4586,2)+1)</f>
        <v/>
      </c>
      <c r="J4586" s="5">
        <f>IF(I4586="","",I4586+6)</f>
        <v/>
      </c>
      <c r="K4586" s="6">
        <f>IF(OR(A4586="",B4586=""),"",DATE(YEAR(B4586),MONTH(B4586),1))</f>
        <v/>
      </c>
      <c r="L4586" s="7">
        <f>IF(COUNTA(A4586,B4586)=0,"",IF(OR(A4586="",B4586=""),"Preencher CPF e entrada",IF(COUNTIFS($A$12:$A$5011,A4586,$B$12:$B$5011,B4586)&gt;1,"CPF + dia duplicado",IF(OR(AND(E4586&lt;&gt;"",E4586&lt;B4586),AND(F4586&lt;&gt;"",F4586&lt;B4586)),"Evento anterior à entrada",IF(AND(F4586&lt;&gt;"",E4586=""),"Conversa sem agendamento",IF(OR(E4586&gt;TODAY(),F4586&gt;TODAY()),"Verificar evento futuro","OK"))))))</f>
        <v/>
      </c>
    </row>
    <row r="4587" spans="9:12">
      <c r="I4587" s="5">
        <f>IF(OR(A4587="",B4587=""),"",B4587-WEEKDAY(B4587,2)+1)</f>
        <v/>
      </c>
      <c r="J4587" s="5">
        <f>IF(I4587="","",I4587+6)</f>
        <v/>
      </c>
      <c r="K4587" s="6">
        <f>IF(OR(A4587="",B4587=""),"",DATE(YEAR(B4587),MONTH(B4587),1))</f>
        <v/>
      </c>
      <c r="L4587" s="7">
        <f>IF(COUNTA(A4587,B4587)=0,"",IF(OR(A4587="",B4587=""),"Preencher CPF e entrada",IF(COUNTIFS($A$12:$A$5011,A4587,$B$12:$B$5011,B4587)&gt;1,"CPF + dia duplicado",IF(OR(AND(E4587&lt;&gt;"",E4587&lt;B4587),AND(F4587&lt;&gt;"",F4587&lt;B4587)),"Evento anterior à entrada",IF(AND(F4587&lt;&gt;"",E4587=""),"Conversa sem agendamento",IF(OR(E4587&gt;TODAY(),F4587&gt;TODAY()),"Verificar evento futuro","OK"))))))</f>
        <v/>
      </c>
    </row>
    <row r="4588" spans="9:12">
      <c r="I4588" s="5">
        <f>IF(OR(A4588="",B4588=""),"",B4588-WEEKDAY(B4588,2)+1)</f>
        <v/>
      </c>
      <c r="J4588" s="5">
        <f>IF(I4588="","",I4588+6)</f>
        <v/>
      </c>
      <c r="K4588" s="6">
        <f>IF(OR(A4588="",B4588=""),"",DATE(YEAR(B4588),MONTH(B4588),1))</f>
        <v/>
      </c>
      <c r="L4588" s="7">
        <f>IF(COUNTA(A4588,B4588)=0,"",IF(OR(A4588="",B4588=""),"Preencher CPF e entrada",IF(COUNTIFS($A$12:$A$5011,A4588,$B$12:$B$5011,B4588)&gt;1,"CPF + dia duplicado",IF(OR(AND(E4588&lt;&gt;"",E4588&lt;B4588),AND(F4588&lt;&gt;"",F4588&lt;B4588)),"Evento anterior à entrada",IF(AND(F4588&lt;&gt;"",E4588=""),"Conversa sem agendamento",IF(OR(E4588&gt;TODAY(),F4588&gt;TODAY()),"Verificar evento futuro","OK"))))))</f>
        <v/>
      </c>
    </row>
    <row r="4589" spans="9:12">
      <c r="I4589" s="5">
        <f>IF(OR(A4589="",B4589=""),"",B4589-WEEKDAY(B4589,2)+1)</f>
        <v/>
      </c>
      <c r="J4589" s="5">
        <f>IF(I4589="","",I4589+6)</f>
        <v/>
      </c>
      <c r="K4589" s="6">
        <f>IF(OR(A4589="",B4589=""),"",DATE(YEAR(B4589),MONTH(B4589),1))</f>
        <v/>
      </c>
      <c r="L4589" s="7">
        <f>IF(COUNTA(A4589,B4589)=0,"",IF(OR(A4589="",B4589=""),"Preencher CPF e entrada",IF(COUNTIFS($A$12:$A$5011,A4589,$B$12:$B$5011,B4589)&gt;1,"CPF + dia duplicado",IF(OR(AND(E4589&lt;&gt;"",E4589&lt;B4589),AND(F4589&lt;&gt;"",F4589&lt;B4589)),"Evento anterior à entrada",IF(AND(F4589&lt;&gt;"",E4589=""),"Conversa sem agendamento",IF(OR(E4589&gt;TODAY(),F4589&gt;TODAY()),"Verificar evento futuro","OK"))))))</f>
        <v/>
      </c>
    </row>
    <row r="4590" spans="9:12">
      <c r="I4590" s="5">
        <f>IF(OR(A4590="",B4590=""),"",B4590-WEEKDAY(B4590,2)+1)</f>
        <v/>
      </c>
      <c r="J4590" s="5">
        <f>IF(I4590="","",I4590+6)</f>
        <v/>
      </c>
      <c r="K4590" s="6">
        <f>IF(OR(A4590="",B4590=""),"",DATE(YEAR(B4590),MONTH(B4590),1))</f>
        <v/>
      </c>
      <c r="L4590" s="7">
        <f>IF(COUNTA(A4590,B4590)=0,"",IF(OR(A4590="",B4590=""),"Preencher CPF e entrada",IF(COUNTIFS($A$12:$A$5011,A4590,$B$12:$B$5011,B4590)&gt;1,"CPF + dia duplicado",IF(OR(AND(E4590&lt;&gt;"",E4590&lt;B4590),AND(F4590&lt;&gt;"",F4590&lt;B4590)),"Evento anterior à entrada",IF(AND(F4590&lt;&gt;"",E4590=""),"Conversa sem agendamento",IF(OR(E4590&gt;TODAY(),F4590&gt;TODAY()),"Verificar evento futuro","OK"))))))</f>
        <v/>
      </c>
    </row>
    <row r="4591" spans="9:12">
      <c r="I4591" s="5">
        <f>IF(OR(A4591="",B4591=""),"",B4591-WEEKDAY(B4591,2)+1)</f>
        <v/>
      </c>
      <c r="J4591" s="5">
        <f>IF(I4591="","",I4591+6)</f>
        <v/>
      </c>
      <c r="K4591" s="6">
        <f>IF(OR(A4591="",B4591=""),"",DATE(YEAR(B4591),MONTH(B4591),1))</f>
        <v/>
      </c>
      <c r="L4591" s="7">
        <f>IF(COUNTA(A4591,B4591)=0,"",IF(OR(A4591="",B4591=""),"Preencher CPF e entrada",IF(COUNTIFS($A$12:$A$5011,A4591,$B$12:$B$5011,B4591)&gt;1,"CPF + dia duplicado",IF(OR(AND(E4591&lt;&gt;"",E4591&lt;B4591),AND(F4591&lt;&gt;"",F4591&lt;B4591)),"Evento anterior à entrada",IF(AND(F4591&lt;&gt;"",E4591=""),"Conversa sem agendamento",IF(OR(E4591&gt;TODAY(),F4591&gt;TODAY()),"Verificar evento futuro","OK"))))))</f>
        <v/>
      </c>
    </row>
    <row r="4592" spans="9:12">
      <c r="I4592" s="5">
        <f>IF(OR(A4592="",B4592=""),"",B4592-WEEKDAY(B4592,2)+1)</f>
        <v/>
      </c>
      <c r="J4592" s="5">
        <f>IF(I4592="","",I4592+6)</f>
        <v/>
      </c>
      <c r="K4592" s="6">
        <f>IF(OR(A4592="",B4592=""),"",DATE(YEAR(B4592),MONTH(B4592),1))</f>
        <v/>
      </c>
      <c r="L4592" s="7">
        <f>IF(COUNTA(A4592,B4592)=0,"",IF(OR(A4592="",B4592=""),"Preencher CPF e entrada",IF(COUNTIFS($A$12:$A$5011,A4592,$B$12:$B$5011,B4592)&gt;1,"CPF + dia duplicado",IF(OR(AND(E4592&lt;&gt;"",E4592&lt;B4592),AND(F4592&lt;&gt;"",F4592&lt;B4592)),"Evento anterior à entrada",IF(AND(F4592&lt;&gt;"",E4592=""),"Conversa sem agendamento",IF(OR(E4592&gt;TODAY(),F4592&gt;TODAY()),"Verificar evento futuro","OK"))))))</f>
        <v/>
      </c>
    </row>
    <row r="4593" spans="9:12">
      <c r="I4593" s="5">
        <f>IF(OR(A4593="",B4593=""),"",B4593-WEEKDAY(B4593,2)+1)</f>
        <v/>
      </c>
      <c r="J4593" s="5">
        <f>IF(I4593="","",I4593+6)</f>
        <v/>
      </c>
      <c r="K4593" s="6">
        <f>IF(OR(A4593="",B4593=""),"",DATE(YEAR(B4593),MONTH(B4593),1))</f>
        <v/>
      </c>
      <c r="L4593" s="7">
        <f>IF(COUNTA(A4593,B4593)=0,"",IF(OR(A4593="",B4593=""),"Preencher CPF e entrada",IF(COUNTIFS($A$12:$A$5011,A4593,$B$12:$B$5011,B4593)&gt;1,"CPF + dia duplicado",IF(OR(AND(E4593&lt;&gt;"",E4593&lt;B4593),AND(F4593&lt;&gt;"",F4593&lt;B4593)),"Evento anterior à entrada",IF(AND(F4593&lt;&gt;"",E4593=""),"Conversa sem agendamento",IF(OR(E4593&gt;TODAY(),F4593&gt;TODAY()),"Verificar evento futuro","OK"))))))</f>
        <v/>
      </c>
    </row>
    <row r="4594" spans="9:12">
      <c r="I4594" s="5">
        <f>IF(OR(A4594="",B4594=""),"",B4594-WEEKDAY(B4594,2)+1)</f>
        <v/>
      </c>
      <c r="J4594" s="5">
        <f>IF(I4594="","",I4594+6)</f>
        <v/>
      </c>
      <c r="K4594" s="6">
        <f>IF(OR(A4594="",B4594=""),"",DATE(YEAR(B4594),MONTH(B4594),1))</f>
        <v/>
      </c>
      <c r="L4594" s="7">
        <f>IF(COUNTA(A4594,B4594)=0,"",IF(OR(A4594="",B4594=""),"Preencher CPF e entrada",IF(COUNTIFS($A$12:$A$5011,A4594,$B$12:$B$5011,B4594)&gt;1,"CPF + dia duplicado",IF(OR(AND(E4594&lt;&gt;"",E4594&lt;B4594),AND(F4594&lt;&gt;"",F4594&lt;B4594)),"Evento anterior à entrada",IF(AND(F4594&lt;&gt;"",E4594=""),"Conversa sem agendamento",IF(OR(E4594&gt;TODAY(),F4594&gt;TODAY()),"Verificar evento futuro","OK"))))))</f>
        <v/>
      </c>
    </row>
    <row r="4595" spans="9:12">
      <c r="I4595" s="5">
        <f>IF(OR(A4595="",B4595=""),"",B4595-WEEKDAY(B4595,2)+1)</f>
        <v/>
      </c>
      <c r="J4595" s="5">
        <f>IF(I4595="","",I4595+6)</f>
        <v/>
      </c>
      <c r="K4595" s="6">
        <f>IF(OR(A4595="",B4595=""),"",DATE(YEAR(B4595),MONTH(B4595),1))</f>
        <v/>
      </c>
      <c r="L4595" s="7">
        <f>IF(COUNTA(A4595,B4595)=0,"",IF(OR(A4595="",B4595=""),"Preencher CPF e entrada",IF(COUNTIFS($A$12:$A$5011,A4595,$B$12:$B$5011,B4595)&gt;1,"CPF + dia duplicado",IF(OR(AND(E4595&lt;&gt;"",E4595&lt;B4595),AND(F4595&lt;&gt;"",F4595&lt;B4595)),"Evento anterior à entrada",IF(AND(F4595&lt;&gt;"",E4595=""),"Conversa sem agendamento",IF(OR(E4595&gt;TODAY(),F4595&gt;TODAY()),"Verificar evento futuro","OK"))))))</f>
        <v/>
      </c>
    </row>
    <row r="4596" spans="9:12">
      <c r="I4596" s="5">
        <f>IF(OR(A4596="",B4596=""),"",B4596-WEEKDAY(B4596,2)+1)</f>
        <v/>
      </c>
      <c r="J4596" s="5">
        <f>IF(I4596="","",I4596+6)</f>
        <v/>
      </c>
      <c r="K4596" s="6">
        <f>IF(OR(A4596="",B4596=""),"",DATE(YEAR(B4596),MONTH(B4596),1))</f>
        <v/>
      </c>
      <c r="L4596" s="7">
        <f>IF(COUNTA(A4596,B4596)=0,"",IF(OR(A4596="",B4596=""),"Preencher CPF e entrada",IF(COUNTIFS($A$12:$A$5011,A4596,$B$12:$B$5011,B4596)&gt;1,"CPF + dia duplicado",IF(OR(AND(E4596&lt;&gt;"",E4596&lt;B4596),AND(F4596&lt;&gt;"",F4596&lt;B4596)),"Evento anterior à entrada",IF(AND(F4596&lt;&gt;"",E4596=""),"Conversa sem agendamento",IF(OR(E4596&gt;TODAY(),F4596&gt;TODAY()),"Verificar evento futuro","OK"))))))</f>
        <v/>
      </c>
    </row>
    <row r="4597" spans="9:12">
      <c r="I4597" s="5">
        <f>IF(OR(A4597="",B4597=""),"",B4597-WEEKDAY(B4597,2)+1)</f>
        <v/>
      </c>
      <c r="J4597" s="5">
        <f>IF(I4597="","",I4597+6)</f>
        <v/>
      </c>
      <c r="K4597" s="6">
        <f>IF(OR(A4597="",B4597=""),"",DATE(YEAR(B4597),MONTH(B4597),1))</f>
        <v/>
      </c>
      <c r="L4597" s="7">
        <f>IF(COUNTA(A4597,B4597)=0,"",IF(OR(A4597="",B4597=""),"Preencher CPF e entrada",IF(COUNTIFS($A$12:$A$5011,A4597,$B$12:$B$5011,B4597)&gt;1,"CPF + dia duplicado",IF(OR(AND(E4597&lt;&gt;"",E4597&lt;B4597),AND(F4597&lt;&gt;"",F4597&lt;B4597)),"Evento anterior à entrada",IF(AND(F4597&lt;&gt;"",E4597=""),"Conversa sem agendamento",IF(OR(E4597&gt;TODAY(),F4597&gt;TODAY()),"Verificar evento futuro","OK"))))))</f>
        <v/>
      </c>
    </row>
    <row r="4598" spans="9:12">
      <c r="I4598" s="5">
        <f>IF(OR(A4598="",B4598=""),"",B4598-WEEKDAY(B4598,2)+1)</f>
        <v/>
      </c>
      <c r="J4598" s="5">
        <f>IF(I4598="","",I4598+6)</f>
        <v/>
      </c>
      <c r="K4598" s="6">
        <f>IF(OR(A4598="",B4598=""),"",DATE(YEAR(B4598),MONTH(B4598),1))</f>
        <v/>
      </c>
      <c r="L4598" s="7">
        <f>IF(COUNTA(A4598,B4598)=0,"",IF(OR(A4598="",B4598=""),"Preencher CPF e entrada",IF(COUNTIFS($A$12:$A$5011,A4598,$B$12:$B$5011,B4598)&gt;1,"CPF + dia duplicado",IF(OR(AND(E4598&lt;&gt;"",E4598&lt;B4598),AND(F4598&lt;&gt;"",F4598&lt;B4598)),"Evento anterior à entrada",IF(AND(F4598&lt;&gt;"",E4598=""),"Conversa sem agendamento",IF(OR(E4598&gt;TODAY(),F4598&gt;TODAY()),"Verificar evento futuro","OK"))))))</f>
        <v/>
      </c>
    </row>
    <row r="4599" spans="9:12">
      <c r="I4599" s="5">
        <f>IF(OR(A4599="",B4599=""),"",B4599-WEEKDAY(B4599,2)+1)</f>
        <v/>
      </c>
      <c r="J4599" s="5">
        <f>IF(I4599="","",I4599+6)</f>
        <v/>
      </c>
      <c r="K4599" s="6">
        <f>IF(OR(A4599="",B4599=""),"",DATE(YEAR(B4599),MONTH(B4599),1))</f>
        <v/>
      </c>
      <c r="L4599" s="7">
        <f>IF(COUNTA(A4599,B4599)=0,"",IF(OR(A4599="",B4599=""),"Preencher CPF e entrada",IF(COUNTIFS($A$12:$A$5011,A4599,$B$12:$B$5011,B4599)&gt;1,"CPF + dia duplicado",IF(OR(AND(E4599&lt;&gt;"",E4599&lt;B4599),AND(F4599&lt;&gt;"",F4599&lt;B4599)),"Evento anterior à entrada",IF(AND(F4599&lt;&gt;"",E4599=""),"Conversa sem agendamento",IF(OR(E4599&gt;TODAY(),F4599&gt;TODAY()),"Verificar evento futuro","OK"))))))</f>
        <v/>
      </c>
    </row>
    <row r="4600" spans="9:12">
      <c r="I4600" s="5">
        <f>IF(OR(A4600="",B4600=""),"",B4600-WEEKDAY(B4600,2)+1)</f>
        <v/>
      </c>
      <c r="J4600" s="5">
        <f>IF(I4600="","",I4600+6)</f>
        <v/>
      </c>
      <c r="K4600" s="6">
        <f>IF(OR(A4600="",B4600=""),"",DATE(YEAR(B4600),MONTH(B4600),1))</f>
        <v/>
      </c>
      <c r="L4600" s="7">
        <f>IF(COUNTA(A4600,B4600)=0,"",IF(OR(A4600="",B4600=""),"Preencher CPF e entrada",IF(COUNTIFS($A$12:$A$5011,A4600,$B$12:$B$5011,B4600)&gt;1,"CPF + dia duplicado",IF(OR(AND(E4600&lt;&gt;"",E4600&lt;B4600),AND(F4600&lt;&gt;"",F4600&lt;B4600)),"Evento anterior à entrada",IF(AND(F4600&lt;&gt;"",E4600=""),"Conversa sem agendamento",IF(OR(E4600&gt;TODAY(),F4600&gt;TODAY()),"Verificar evento futuro","OK"))))))</f>
        <v/>
      </c>
    </row>
    <row r="4601" spans="9:12">
      <c r="I4601" s="5">
        <f>IF(OR(A4601="",B4601=""),"",B4601-WEEKDAY(B4601,2)+1)</f>
        <v/>
      </c>
      <c r="J4601" s="5">
        <f>IF(I4601="","",I4601+6)</f>
        <v/>
      </c>
      <c r="K4601" s="6">
        <f>IF(OR(A4601="",B4601=""),"",DATE(YEAR(B4601),MONTH(B4601),1))</f>
        <v/>
      </c>
      <c r="L4601" s="7">
        <f>IF(COUNTA(A4601,B4601)=0,"",IF(OR(A4601="",B4601=""),"Preencher CPF e entrada",IF(COUNTIFS($A$12:$A$5011,A4601,$B$12:$B$5011,B4601)&gt;1,"CPF + dia duplicado",IF(OR(AND(E4601&lt;&gt;"",E4601&lt;B4601),AND(F4601&lt;&gt;"",F4601&lt;B4601)),"Evento anterior à entrada",IF(AND(F4601&lt;&gt;"",E4601=""),"Conversa sem agendamento",IF(OR(E4601&gt;TODAY(),F4601&gt;TODAY()),"Verificar evento futuro","OK"))))))</f>
        <v/>
      </c>
    </row>
    <row r="4602" spans="9:12">
      <c r="I4602" s="5">
        <f>IF(OR(A4602="",B4602=""),"",B4602-WEEKDAY(B4602,2)+1)</f>
        <v/>
      </c>
      <c r="J4602" s="5">
        <f>IF(I4602="","",I4602+6)</f>
        <v/>
      </c>
      <c r="K4602" s="6">
        <f>IF(OR(A4602="",B4602=""),"",DATE(YEAR(B4602),MONTH(B4602),1))</f>
        <v/>
      </c>
      <c r="L4602" s="7">
        <f>IF(COUNTA(A4602,B4602)=0,"",IF(OR(A4602="",B4602=""),"Preencher CPF e entrada",IF(COUNTIFS($A$12:$A$5011,A4602,$B$12:$B$5011,B4602)&gt;1,"CPF + dia duplicado",IF(OR(AND(E4602&lt;&gt;"",E4602&lt;B4602),AND(F4602&lt;&gt;"",F4602&lt;B4602)),"Evento anterior à entrada",IF(AND(F4602&lt;&gt;"",E4602=""),"Conversa sem agendamento",IF(OR(E4602&gt;TODAY(),F4602&gt;TODAY()),"Verificar evento futuro","OK"))))))</f>
        <v/>
      </c>
    </row>
    <row r="4603" spans="9:12">
      <c r="I4603" s="5">
        <f>IF(OR(A4603="",B4603=""),"",B4603-WEEKDAY(B4603,2)+1)</f>
        <v/>
      </c>
      <c r="J4603" s="5">
        <f>IF(I4603="","",I4603+6)</f>
        <v/>
      </c>
      <c r="K4603" s="6">
        <f>IF(OR(A4603="",B4603=""),"",DATE(YEAR(B4603),MONTH(B4603),1))</f>
        <v/>
      </c>
      <c r="L4603" s="7">
        <f>IF(COUNTA(A4603,B4603)=0,"",IF(OR(A4603="",B4603=""),"Preencher CPF e entrada",IF(COUNTIFS($A$12:$A$5011,A4603,$B$12:$B$5011,B4603)&gt;1,"CPF + dia duplicado",IF(OR(AND(E4603&lt;&gt;"",E4603&lt;B4603),AND(F4603&lt;&gt;"",F4603&lt;B4603)),"Evento anterior à entrada",IF(AND(F4603&lt;&gt;"",E4603=""),"Conversa sem agendamento",IF(OR(E4603&gt;TODAY(),F4603&gt;TODAY()),"Verificar evento futuro","OK"))))))</f>
        <v/>
      </c>
    </row>
    <row r="4604" spans="9:12">
      <c r="I4604" s="5">
        <f>IF(OR(A4604="",B4604=""),"",B4604-WEEKDAY(B4604,2)+1)</f>
        <v/>
      </c>
      <c r="J4604" s="5">
        <f>IF(I4604="","",I4604+6)</f>
        <v/>
      </c>
      <c r="K4604" s="6">
        <f>IF(OR(A4604="",B4604=""),"",DATE(YEAR(B4604),MONTH(B4604),1))</f>
        <v/>
      </c>
      <c r="L4604" s="7">
        <f>IF(COUNTA(A4604,B4604)=0,"",IF(OR(A4604="",B4604=""),"Preencher CPF e entrada",IF(COUNTIFS($A$12:$A$5011,A4604,$B$12:$B$5011,B4604)&gt;1,"CPF + dia duplicado",IF(OR(AND(E4604&lt;&gt;"",E4604&lt;B4604),AND(F4604&lt;&gt;"",F4604&lt;B4604)),"Evento anterior à entrada",IF(AND(F4604&lt;&gt;"",E4604=""),"Conversa sem agendamento",IF(OR(E4604&gt;TODAY(),F4604&gt;TODAY()),"Verificar evento futuro","OK"))))))</f>
        <v/>
      </c>
    </row>
    <row r="4605" spans="9:12">
      <c r="I4605" s="5">
        <f>IF(OR(A4605="",B4605=""),"",B4605-WEEKDAY(B4605,2)+1)</f>
        <v/>
      </c>
      <c r="J4605" s="5">
        <f>IF(I4605="","",I4605+6)</f>
        <v/>
      </c>
      <c r="K4605" s="6">
        <f>IF(OR(A4605="",B4605=""),"",DATE(YEAR(B4605),MONTH(B4605),1))</f>
        <v/>
      </c>
      <c r="L4605" s="7">
        <f>IF(COUNTA(A4605,B4605)=0,"",IF(OR(A4605="",B4605=""),"Preencher CPF e entrada",IF(COUNTIFS($A$12:$A$5011,A4605,$B$12:$B$5011,B4605)&gt;1,"CPF + dia duplicado",IF(OR(AND(E4605&lt;&gt;"",E4605&lt;B4605),AND(F4605&lt;&gt;"",F4605&lt;B4605)),"Evento anterior à entrada",IF(AND(F4605&lt;&gt;"",E4605=""),"Conversa sem agendamento",IF(OR(E4605&gt;TODAY(),F4605&gt;TODAY()),"Verificar evento futuro","OK"))))))</f>
        <v/>
      </c>
    </row>
    <row r="4606" spans="9:12">
      <c r="I4606" s="5">
        <f>IF(OR(A4606="",B4606=""),"",B4606-WEEKDAY(B4606,2)+1)</f>
        <v/>
      </c>
      <c r="J4606" s="5">
        <f>IF(I4606="","",I4606+6)</f>
        <v/>
      </c>
      <c r="K4606" s="6">
        <f>IF(OR(A4606="",B4606=""),"",DATE(YEAR(B4606),MONTH(B4606),1))</f>
        <v/>
      </c>
      <c r="L4606" s="7">
        <f>IF(COUNTA(A4606,B4606)=0,"",IF(OR(A4606="",B4606=""),"Preencher CPF e entrada",IF(COUNTIFS($A$12:$A$5011,A4606,$B$12:$B$5011,B4606)&gt;1,"CPF + dia duplicado",IF(OR(AND(E4606&lt;&gt;"",E4606&lt;B4606),AND(F4606&lt;&gt;"",F4606&lt;B4606)),"Evento anterior à entrada",IF(AND(F4606&lt;&gt;"",E4606=""),"Conversa sem agendamento",IF(OR(E4606&gt;TODAY(),F4606&gt;TODAY()),"Verificar evento futuro","OK"))))))</f>
        <v/>
      </c>
    </row>
    <row r="4607" spans="9:12">
      <c r="I4607" s="5">
        <f>IF(OR(A4607="",B4607=""),"",B4607-WEEKDAY(B4607,2)+1)</f>
        <v/>
      </c>
      <c r="J4607" s="5">
        <f>IF(I4607="","",I4607+6)</f>
        <v/>
      </c>
      <c r="K4607" s="6">
        <f>IF(OR(A4607="",B4607=""),"",DATE(YEAR(B4607),MONTH(B4607),1))</f>
        <v/>
      </c>
      <c r="L4607" s="7">
        <f>IF(COUNTA(A4607,B4607)=0,"",IF(OR(A4607="",B4607=""),"Preencher CPF e entrada",IF(COUNTIFS($A$12:$A$5011,A4607,$B$12:$B$5011,B4607)&gt;1,"CPF + dia duplicado",IF(OR(AND(E4607&lt;&gt;"",E4607&lt;B4607),AND(F4607&lt;&gt;"",F4607&lt;B4607)),"Evento anterior à entrada",IF(AND(F4607&lt;&gt;"",E4607=""),"Conversa sem agendamento",IF(OR(E4607&gt;TODAY(),F4607&gt;TODAY()),"Verificar evento futuro","OK"))))))</f>
        <v/>
      </c>
    </row>
    <row r="4608" spans="9:12">
      <c r="I4608" s="5">
        <f>IF(OR(A4608="",B4608=""),"",B4608-WEEKDAY(B4608,2)+1)</f>
        <v/>
      </c>
      <c r="J4608" s="5">
        <f>IF(I4608="","",I4608+6)</f>
        <v/>
      </c>
      <c r="K4608" s="6">
        <f>IF(OR(A4608="",B4608=""),"",DATE(YEAR(B4608),MONTH(B4608),1))</f>
        <v/>
      </c>
      <c r="L4608" s="7">
        <f>IF(COUNTA(A4608,B4608)=0,"",IF(OR(A4608="",B4608=""),"Preencher CPF e entrada",IF(COUNTIFS($A$12:$A$5011,A4608,$B$12:$B$5011,B4608)&gt;1,"CPF + dia duplicado",IF(OR(AND(E4608&lt;&gt;"",E4608&lt;B4608),AND(F4608&lt;&gt;"",F4608&lt;B4608)),"Evento anterior à entrada",IF(AND(F4608&lt;&gt;"",E4608=""),"Conversa sem agendamento",IF(OR(E4608&gt;TODAY(),F4608&gt;TODAY()),"Verificar evento futuro","OK"))))))</f>
        <v/>
      </c>
    </row>
    <row r="4609" spans="9:12">
      <c r="I4609" s="5">
        <f>IF(OR(A4609="",B4609=""),"",B4609-WEEKDAY(B4609,2)+1)</f>
        <v/>
      </c>
      <c r="J4609" s="5">
        <f>IF(I4609="","",I4609+6)</f>
        <v/>
      </c>
      <c r="K4609" s="6">
        <f>IF(OR(A4609="",B4609=""),"",DATE(YEAR(B4609),MONTH(B4609),1))</f>
        <v/>
      </c>
      <c r="L4609" s="7">
        <f>IF(COUNTA(A4609,B4609)=0,"",IF(OR(A4609="",B4609=""),"Preencher CPF e entrada",IF(COUNTIFS($A$12:$A$5011,A4609,$B$12:$B$5011,B4609)&gt;1,"CPF + dia duplicado",IF(OR(AND(E4609&lt;&gt;"",E4609&lt;B4609),AND(F4609&lt;&gt;"",F4609&lt;B4609)),"Evento anterior à entrada",IF(AND(F4609&lt;&gt;"",E4609=""),"Conversa sem agendamento",IF(OR(E4609&gt;TODAY(),F4609&gt;TODAY()),"Verificar evento futuro","OK"))))))</f>
        <v/>
      </c>
    </row>
    <row r="4610" spans="9:12">
      <c r="I4610" s="5">
        <f>IF(OR(A4610="",B4610=""),"",B4610-WEEKDAY(B4610,2)+1)</f>
        <v/>
      </c>
      <c r="J4610" s="5">
        <f>IF(I4610="","",I4610+6)</f>
        <v/>
      </c>
      <c r="K4610" s="6">
        <f>IF(OR(A4610="",B4610=""),"",DATE(YEAR(B4610),MONTH(B4610),1))</f>
        <v/>
      </c>
      <c r="L4610" s="7">
        <f>IF(COUNTA(A4610,B4610)=0,"",IF(OR(A4610="",B4610=""),"Preencher CPF e entrada",IF(COUNTIFS($A$12:$A$5011,A4610,$B$12:$B$5011,B4610)&gt;1,"CPF + dia duplicado",IF(OR(AND(E4610&lt;&gt;"",E4610&lt;B4610),AND(F4610&lt;&gt;"",F4610&lt;B4610)),"Evento anterior à entrada",IF(AND(F4610&lt;&gt;"",E4610=""),"Conversa sem agendamento",IF(OR(E4610&gt;TODAY(),F4610&gt;TODAY()),"Verificar evento futuro","OK"))))))</f>
        <v/>
      </c>
    </row>
    <row r="4611" spans="9:12">
      <c r="I4611" s="5">
        <f>IF(OR(A4611="",B4611=""),"",B4611-WEEKDAY(B4611,2)+1)</f>
        <v/>
      </c>
      <c r="J4611" s="5">
        <f>IF(I4611="","",I4611+6)</f>
        <v/>
      </c>
      <c r="K4611" s="6">
        <f>IF(OR(A4611="",B4611=""),"",DATE(YEAR(B4611),MONTH(B4611),1))</f>
        <v/>
      </c>
      <c r="L4611" s="7">
        <f>IF(COUNTA(A4611,B4611)=0,"",IF(OR(A4611="",B4611=""),"Preencher CPF e entrada",IF(COUNTIFS($A$12:$A$5011,A4611,$B$12:$B$5011,B4611)&gt;1,"CPF + dia duplicado",IF(OR(AND(E4611&lt;&gt;"",E4611&lt;B4611),AND(F4611&lt;&gt;"",F4611&lt;B4611)),"Evento anterior à entrada",IF(AND(F4611&lt;&gt;"",E4611=""),"Conversa sem agendamento",IF(OR(E4611&gt;TODAY(),F4611&gt;TODAY()),"Verificar evento futuro","OK"))))))</f>
        <v/>
      </c>
    </row>
    <row r="4612" spans="9:12">
      <c r="I4612" s="5">
        <f>IF(OR(A4612="",B4612=""),"",B4612-WEEKDAY(B4612,2)+1)</f>
        <v/>
      </c>
      <c r="J4612" s="5">
        <f>IF(I4612="","",I4612+6)</f>
        <v/>
      </c>
      <c r="K4612" s="6">
        <f>IF(OR(A4612="",B4612=""),"",DATE(YEAR(B4612),MONTH(B4612),1))</f>
        <v/>
      </c>
      <c r="L4612" s="7">
        <f>IF(COUNTA(A4612,B4612)=0,"",IF(OR(A4612="",B4612=""),"Preencher CPF e entrada",IF(COUNTIFS($A$12:$A$5011,A4612,$B$12:$B$5011,B4612)&gt;1,"CPF + dia duplicado",IF(OR(AND(E4612&lt;&gt;"",E4612&lt;B4612),AND(F4612&lt;&gt;"",F4612&lt;B4612)),"Evento anterior à entrada",IF(AND(F4612&lt;&gt;"",E4612=""),"Conversa sem agendamento",IF(OR(E4612&gt;TODAY(),F4612&gt;TODAY()),"Verificar evento futuro","OK"))))))</f>
        <v/>
      </c>
    </row>
    <row r="4613" spans="9:12">
      <c r="I4613" s="5">
        <f>IF(OR(A4613="",B4613=""),"",B4613-WEEKDAY(B4613,2)+1)</f>
        <v/>
      </c>
      <c r="J4613" s="5">
        <f>IF(I4613="","",I4613+6)</f>
        <v/>
      </c>
      <c r="K4613" s="6">
        <f>IF(OR(A4613="",B4613=""),"",DATE(YEAR(B4613),MONTH(B4613),1))</f>
        <v/>
      </c>
      <c r="L4613" s="7">
        <f>IF(COUNTA(A4613,B4613)=0,"",IF(OR(A4613="",B4613=""),"Preencher CPF e entrada",IF(COUNTIFS($A$12:$A$5011,A4613,$B$12:$B$5011,B4613)&gt;1,"CPF + dia duplicado",IF(OR(AND(E4613&lt;&gt;"",E4613&lt;B4613),AND(F4613&lt;&gt;"",F4613&lt;B4613)),"Evento anterior à entrada",IF(AND(F4613&lt;&gt;"",E4613=""),"Conversa sem agendamento",IF(OR(E4613&gt;TODAY(),F4613&gt;TODAY()),"Verificar evento futuro","OK"))))))</f>
        <v/>
      </c>
    </row>
    <row r="4614" spans="9:12">
      <c r="I4614" s="5">
        <f>IF(OR(A4614="",B4614=""),"",B4614-WEEKDAY(B4614,2)+1)</f>
        <v/>
      </c>
      <c r="J4614" s="5">
        <f>IF(I4614="","",I4614+6)</f>
        <v/>
      </c>
      <c r="K4614" s="6">
        <f>IF(OR(A4614="",B4614=""),"",DATE(YEAR(B4614),MONTH(B4614),1))</f>
        <v/>
      </c>
      <c r="L4614" s="7">
        <f>IF(COUNTA(A4614,B4614)=0,"",IF(OR(A4614="",B4614=""),"Preencher CPF e entrada",IF(COUNTIFS($A$12:$A$5011,A4614,$B$12:$B$5011,B4614)&gt;1,"CPF + dia duplicado",IF(OR(AND(E4614&lt;&gt;"",E4614&lt;B4614),AND(F4614&lt;&gt;"",F4614&lt;B4614)),"Evento anterior à entrada",IF(AND(F4614&lt;&gt;"",E4614=""),"Conversa sem agendamento",IF(OR(E4614&gt;TODAY(),F4614&gt;TODAY()),"Verificar evento futuro","OK"))))))</f>
        <v/>
      </c>
    </row>
    <row r="4615" spans="9:12">
      <c r="I4615" s="5">
        <f>IF(OR(A4615="",B4615=""),"",B4615-WEEKDAY(B4615,2)+1)</f>
        <v/>
      </c>
      <c r="J4615" s="5">
        <f>IF(I4615="","",I4615+6)</f>
        <v/>
      </c>
      <c r="K4615" s="6">
        <f>IF(OR(A4615="",B4615=""),"",DATE(YEAR(B4615),MONTH(B4615),1))</f>
        <v/>
      </c>
      <c r="L4615" s="7">
        <f>IF(COUNTA(A4615,B4615)=0,"",IF(OR(A4615="",B4615=""),"Preencher CPF e entrada",IF(COUNTIFS($A$12:$A$5011,A4615,$B$12:$B$5011,B4615)&gt;1,"CPF + dia duplicado",IF(OR(AND(E4615&lt;&gt;"",E4615&lt;B4615),AND(F4615&lt;&gt;"",F4615&lt;B4615)),"Evento anterior à entrada",IF(AND(F4615&lt;&gt;"",E4615=""),"Conversa sem agendamento",IF(OR(E4615&gt;TODAY(),F4615&gt;TODAY()),"Verificar evento futuro","OK"))))))</f>
        <v/>
      </c>
    </row>
    <row r="4616" spans="9:12">
      <c r="I4616" s="5">
        <f>IF(OR(A4616="",B4616=""),"",B4616-WEEKDAY(B4616,2)+1)</f>
        <v/>
      </c>
      <c r="J4616" s="5">
        <f>IF(I4616="","",I4616+6)</f>
        <v/>
      </c>
      <c r="K4616" s="6">
        <f>IF(OR(A4616="",B4616=""),"",DATE(YEAR(B4616),MONTH(B4616),1))</f>
        <v/>
      </c>
      <c r="L4616" s="7">
        <f>IF(COUNTA(A4616,B4616)=0,"",IF(OR(A4616="",B4616=""),"Preencher CPF e entrada",IF(COUNTIFS($A$12:$A$5011,A4616,$B$12:$B$5011,B4616)&gt;1,"CPF + dia duplicado",IF(OR(AND(E4616&lt;&gt;"",E4616&lt;B4616),AND(F4616&lt;&gt;"",F4616&lt;B4616)),"Evento anterior à entrada",IF(AND(F4616&lt;&gt;"",E4616=""),"Conversa sem agendamento",IF(OR(E4616&gt;TODAY(),F4616&gt;TODAY()),"Verificar evento futuro","OK"))))))</f>
        <v/>
      </c>
    </row>
    <row r="4617" spans="9:12">
      <c r="I4617" s="5">
        <f>IF(OR(A4617="",B4617=""),"",B4617-WEEKDAY(B4617,2)+1)</f>
        <v/>
      </c>
      <c r="J4617" s="5">
        <f>IF(I4617="","",I4617+6)</f>
        <v/>
      </c>
      <c r="K4617" s="6">
        <f>IF(OR(A4617="",B4617=""),"",DATE(YEAR(B4617),MONTH(B4617),1))</f>
        <v/>
      </c>
      <c r="L4617" s="7">
        <f>IF(COUNTA(A4617,B4617)=0,"",IF(OR(A4617="",B4617=""),"Preencher CPF e entrada",IF(COUNTIFS($A$12:$A$5011,A4617,$B$12:$B$5011,B4617)&gt;1,"CPF + dia duplicado",IF(OR(AND(E4617&lt;&gt;"",E4617&lt;B4617),AND(F4617&lt;&gt;"",F4617&lt;B4617)),"Evento anterior à entrada",IF(AND(F4617&lt;&gt;"",E4617=""),"Conversa sem agendamento",IF(OR(E4617&gt;TODAY(),F4617&gt;TODAY()),"Verificar evento futuro","OK"))))))</f>
        <v/>
      </c>
    </row>
    <row r="4618" spans="9:12">
      <c r="I4618" s="5">
        <f>IF(OR(A4618="",B4618=""),"",B4618-WEEKDAY(B4618,2)+1)</f>
        <v/>
      </c>
      <c r="J4618" s="5">
        <f>IF(I4618="","",I4618+6)</f>
        <v/>
      </c>
      <c r="K4618" s="6">
        <f>IF(OR(A4618="",B4618=""),"",DATE(YEAR(B4618),MONTH(B4618),1))</f>
        <v/>
      </c>
      <c r="L4618" s="7">
        <f>IF(COUNTA(A4618,B4618)=0,"",IF(OR(A4618="",B4618=""),"Preencher CPF e entrada",IF(COUNTIFS($A$12:$A$5011,A4618,$B$12:$B$5011,B4618)&gt;1,"CPF + dia duplicado",IF(OR(AND(E4618&lt;&gt;"",E4618&lt;B4618),AND(F4618&lt;&gt;"",F4618&lt;B4618)),"Evento anterior à entrada",IF(AND(F4618&lt;&gt;"",E4618=""),"Conversa sem agendamento",IF(OR(E4618&gt;TODAY(),F4618&gt;TODAY()),"Verificar evento futuro","OK"))))))</f>
        <v/>
      </c>
    </row>
    <row r="4619" spans="9:12">
      <c r="I4619" s="5">
        <f>IF(OR(A4619="",B4619=""),"",B4619-WEEKDAY(B4619,2)+1)</f>
        <v/>
      </c>
      <c r="J4619" s="5">
        <f>IF(I4619="","",I4619+6)</f>
        <v/>
      </c>
      <c r="K4619" s="6">
        <f>IF(OR(A4619="",B4619=""),"",DATE(YEAR(B4619),MONTH(B4619),1))</f>
        <v/>
      </c>
      <c r="L4619" s="7">
        <f>IF(COUNTA(A4619,B4619)=0,"",IF(OR(A4619="",B4619=""),"Preencher CPF e entrada",IF(COUNTIFS($A$12:$A$5011,A4619,$B$12:$B$5011,B4619)&gt;1,"CPF + dia duplicado",IF(OR(AND(E4619&lt;&gt;"",E4619&lt;B4619),AND(F4619&lt;&gt;"",F4619&lt;B4619)),"Evento anterior à entrada",IF(AND(F4619&lt;&gt;"",E4619=""),"Conversa sem agendamento",IF(OR(E4619&gt;TODAY(),F4619&gt;TODAY()),"Verificar evento futuro","OK"))))))</f>
        <v/>
      </c>
    </row>
    <row r="4620" spans="9:12">
      <c r="I4620" s="5">
        <f>IF(OR(A4620="",B4620=""),"",B4620-WEEKDAY(B4620,2)+1)</f>
        <v/>
      </c>
      <c r="J4620" s="5">
        <f>IF(I4620="","",I4620+6)</f>
        <v/>
      </c>
      <c r="K4620" s="6">
        <f>IF(OR(A4620="",B4620=""),"",DATE(YEAR(B4620),MONTH(B4620),1))</f>
        <v/>
      </c>
      <c r="L4620" s="7">
        <f>IF(COUNTA(A4620,B4620)=0,"",IF(OR(A4620="",B4620=""),"Preencher CPF e entrada",IF(COUNTIFS($A$12:$A$5011,A4620,$B$12:$B$5011,B4620)&gt;1,"CPF + dia duplicado",IF(OR(AND(E4620&lt;&gt;"",E4620&lt;B4620),AND(F4620&lt;&gt;"",F4620&lt;B4620)),"Evento anterior à entrada",IF(AND(F4620&lt;&gt;"",E4620=""),"Conversa sem agendamento",IF(OR(E4620&gt;TODAY(),F4620&gt;TODAY()),"Verificar evento futuro","OK"))))))</f>
        <v/>
      </c>
    </row>
    <row r="4621" spans="9:12">
      <c r="I4621" s="5">
        <f>IF(OR(A4621="",B4621=""),"",B4621-WEEKDAY(B4621,2)+1)</f>
        <v/>
      </c>
      <c r="J4621" s="5">
        <f>IF(I4621="","",I4621+6)</f>
        <v/>
      </c>
      <c r="K4621" s="6">
        <f>IF(OR(A4621="",B4621=""),"",DATE(YEAR(B4621),MONTH(B4621),1))</f>
        <v/>
      </c>
      <c r="L4621" s="7">
        <f>IF(COUNTA(A4621,B4621)=0,"",IF(OR(A4621="",B4621=""),"Preencher CPF e entrada",IF(COUNTIFS($A$12:$A$5011,A4621,$B$12:$B$5011,B4621)&gt;1,"CPF + dia duplicado",IF(OR(AND(E4621&lt;&gt;"",E4621&lt;B4621),AND(F4621&lt;&gt;"",F4621&lt;B4621)),"Evento anterior à entrada",IF(AND(F4621&lt;&gt;"",E4621=""),"Conversa sem agendamento",IF(OR(E4621&gt;TODAY(),F4621&gt;TODAY()),"Verificar evento futuro","OK"))))))</f>
        <v/>
      </c>
    </row>
    <row r="4622" spans="9:12">
      <c r="I4622" s="5">
        <f>IF(OR(A4622="",B4622=""),"",B4622-WEEKDAY(B4622,2)+1)</f>
        <v/>
      </c>
      <c r="J4622" s="5">
        <f>IF(I4622="","",I4622+6)</f>
        <v/>
      </c>
      <c r="K4622" s="6">
        <f>IF(OR(A4622="",B4622=""),"",DATE(YEAR(B4622),MONTH(B4622),1))</f>
        <v/>
      </c>
      <c r="L4622" s="7">
        <f>IF(COUNTA(A4622,B4622)=0,"",IF(OR(A4622="",B4622=""),"Preencher CPF e entrada",IF(COUNTIFS($A$12:$A$5011,A4622,$B$12:$B$5011,B4622)&gt;1,"CPF + dia duplicado",IF(OR(AND(E4622&lt;&gt;"",E4622&lt;B4622),AND(F4622&lt;&gt;"",F4622&lt;B4622)),"Evento anterior à entrada",IF(AND(F4622&lt;&gt;"",E4622=""),"Conversa sem agendamento",IF(OR(E4622&gt;TODAY(),F4622&gt;TODAY()),"Verificar evento futuro","OK"))))))</f>
        <v/>
      </c>
    </row>
    <row r="4623" spans="9:12">
      <c r="I4623" s="5">
        <f>IF(OR(A4623="",B4623=""),"",B4623-WEEKDAY(B4623,2)+1)</f>
        <v/>
      </c>
      <c r="J4623" s="5">
        <f>IF(I4623="","",I4623+6)</f>
        <v/>
      </c>
      <c r="K4623" s="6">
        <f>IF(OR(A4623="",B4623=""),"",DATE(YEAR(B4623),MONTH(B4623),1))</f>
        <v/>
      </c>
      <c r="L4623" s="7">
        <f>IF(COUNTA(A4623,B4623)=0,"",IF(OR(A4623="",B4623=""),"Preencher CPF e entrada",IF(COUNTIFS($A$12:$A$5011,A4623,$B$12:$B$5011,B4623)&gt;1,"CPF + dia duplicado",IF(OR(AND(E4623&lt;&gt;"",E4623&lt;B4623),AND(F4623&lt;&gt;"",F4623&lt;B4623)),"Evento anterior à entrada",IF(AND(F4623&lt;&gt;"",E4623=""),"Conversa sem agendamento",IF(OR(E4623&gt;TODAY(),F4623&gt;TODAY()),"Verificar evento futuro","OK"))))))</f>
        <v/>
      </c>
    </row>
    <row r="4624" spans="9:12">
      <c r="I4624" s="5">
        <f>IF(OR(A4624="",B4624=""),"",B4624-WEEKDAY(B4624,2)+1)</f>
        <v/>
      </c>
      <c r="J4624" s="5">
        <f>IF(I4624="","",I4624+6)</f>
        <v/>
      </c>
      <c r="K4624" s="6">
        <f>IF(OR(A4624="",B4624=""),"",DATE(YEAR(B4624),MONTH(B4624),1))</f>
        <v/>
      </c>
      <c r="L4624" s="7">
        <f>IF(COUNTA(A4624,B4624)=0,"",IF(OR(A4624="",B4624=""),"Preencher CPF e entrada",IF(COUNTIFS($A$12:$A$5011,A4624,$B$12:$B$5011,B4624)&gt;1,"CPF + dia duplicado",IF(OR(AND(E4624&lt;&gt;"",E4624&lt;B4624),AND(F4624&lt;&gt;"",F4624&lt;B4624)),"Evento anterior à entrada",IF(AND(F4624&lt;&gt;"",E4624=""),"Conversa sem agendamento",IF(OR(E4624&gt;TODAY(),F4624&gt;TODAY()),"Verificar evento futuro","OK"))))))</f>
        <v/>
      </c>
    </row>
    <row r="4625" spans="9:12">
      <c r="I4625" s="5">
        <f>IF(OR(A4625="",B4625=""),"",B4625-WEEKDAY(B4625,2)+1)</f>
        <v/>
      </c>
      <c r="J4625" s="5">
        <f>IF(I4625="","",I4625+6)</f>
        <v/>
      </c>
      <c r="K4625" s="6">
        <f>IF(OR(A4625="",B4625=""),"",DATE(YEAR(B4625),MONTH(B4625),1))</f>
        <v/>
      </c>
      <c r="L4625" s="7">
        <f>IF(COUNTA(A4625,B4625)=0,"",IF(OR(A4625="",B4625=""),"Preencher CPF e entrada",IF(COUNTIFS($A$12:$A$5011,A4625,$B$12:$B$5011,B4625)&gt;1,"CPF + dia duplicado",IF(OR(AND(E4625&lt;&gt;"",E4625&lt;B4625),AND(F4625&lt;&gt;"",F4625&lt;B4625)),"Evento anterior à entrada",IF(AND(F4625&lt;&gt;"",E4625=""),"Conversa sem agendamento",IF(OR(E4625&gt;TODAY(),F4625&gt;TODAY()),"Verificar evento futuro","OK"))))))</f>
        <v/>
      </c>
    </row>
    <row r="4626" spans="9:12">
      <c r="I4626" s="5">
        <f>IF(OR(A4626="",B4626=""),"",B4626-WEEKDAY(B4626,2)+1)</f>
        <v/>
      </c>
      <c r="J4626" s="5">
        <f>IF(I4626="","",I4626+6)</f>
        <v/>
      </c>
      <c r="K4626" s="6">
        <f>IF(OR(A4626="",B4626=""),"",DATE(YEAR(B4626),MONTH(B4626),1))</f>
        <v/>
      </c>
      <c r="L4626" s="7">
        <f>IF(COUNTA(A4626,B4626)=0,"",IF(OR(A4626="",B4626=""),"Preencher CPF e entrada",IF(COUNTIFS($A$12:$A$5011,A4626,$B$12:$B$5011,B4626)&gt;1,"CPF + dia duplicado",IF(OR(AND(E4626&lt;&gt;"",E4626&lt;B4626),AND(F4626&lt;&gt;"",F4626&lt;B4626)),"Evento anterior à entrada",IF(AND(F4626&lt;&gt;"",E4626=""),"Conversa sem agendamento",IF(OR(E4626&gt;TODAY(),F4626&gt;TODAY()),"Verificar evento futuro","OK"))))))</f>
        <v/>
      </c>
    </row>
    <row r="4627" spans="9:12">
      <c r="I4627" s="5">
        <f>IF(OR(A4627="",B4627=""),"",B4627-WEEKDAY(B4627,2)+1)</f>
        <v/>
      </c>
      <c r="J4627" s="5">
        <f>IF(I4627="","",I4627+6)</f>
        <v/>
      </c>
      <c r="K4627" s="6">
        <f>IF(OR(A4627="",B4627=""),"",DATE(YEAR(B4627),MONTH(B4627),1))</f>
        <v/>
      </c>
      <c r="L4627" s="7">
        <f>IF(COUNTA(A4627,B4627)=0,"",IF(OR(A4627="",B4627=""),"Preencher CPF e entrada",IF(COUNTIFS($A$12:$A$5011,A4627,$B$12:$B$5011,B4627)&gt;1,"CPF + dia duplicado",IF(OR(AND(E4627&lt;&gt;"",E4627&lt;B4627),AND(F4627&lt;&gt;"",F4627&lt;B4627)),"Evento anterior à entrada",IF(AND(F4627&lt;&gt;"",E4627=""),"Conversa sem agendamento",IF(OR(E4627&gt;TODAY(),F4627&gt;TODAY()),"Verificar evento futuro","OK"))))))</f>
        <v/>
      </c>
    </row>
    <row r="4628" spans="9:12">
      <c r="I4628" s="5">
        <f>IF(OR(A4628="",B4628=""),"",B4628-WEEKDAY(B4628,2)+1)</f>
        <v/>
      </c>
      <c r="J4628" s="5">
        <f>IF(I4628="","",I4628+6)</f>
        <v/>
      </c>
      <c r="K4628" s="6">
        <f>IF(OR(A4628="",B4628=""),"",DATE(YEAR(B4628),MONTH(B4628),1))</f>
        <v/>
      </c>
      <c r="L4628" s="7">
        <f>IF(COUNTA(A4628,B4628)=0,"",IF(OR(A4628="",B4628=""),"Preencher CPF e entrada",IF(COUNTIFS($A$12:$A$5011,A4628,$B$12:$B$5011,B4628)&gt;1,"CPF + dia duplicado",IF(OR(AND(E4628&lt;&gt;"",E4628&lt;B4628),AND(F4628&lt;&gt;"",F4628&lt;B4628)),"Evento anterior à entrada",IF(AND(F4628&lt;&gt;"",E4628=""),"Conversa sem agendamento",IF(OR(E4628&gt;TODAY(),F4628&gt;TODAY()),"Verificar evento futuro","OK"))))))</f>
        <v/>
      </c>
    </row>
    <row r="4629" spans="9:12">
      <c r="I4629" s="5">
        <f>IF(OR(A4629="",B4629=""),"",B4629-WEEKDAY(B4629,2)+1)</f>
        <v/>
      </c>
      <c r="J4629" s="5">
        <f>IF(I4629="","",I4629+6)</f>
        <v/>
      </c>
      <c r="K4629" s="6">
        <f>IF(OR(A4629="",B4629=""),"",DATE(YEAR(B4629),MONTH(B4629),1))</f>
        <v/>
      </c>
      <c r="L4629" s="7">
        <f>IF(COUNTA(A4629,B4629)=0,"",IF(OR(A4629="",B4629=""),"Preencher CPF e entrada",IF(COUNTIFS($A$12:$A$5011,A4629,$B$12:$B$5011,B4629)&gt;1,"CPF + dia duplicado",IF(OR(AND(E4629&lt;&gt;"",E4629&lt;B4629),AND(F4629&lt;&gt;"",F4629&lt;B4629)),"Evento anterior à entrada",IF(AND(F4629&lt;&gt;"",E4629=""),"Conversa sem agendamento",IF(OR(E4629&gt;TODAY(),F4629&gt;TODAY()),"Verificar evento futuro","OK"))))))</f>
        <v/>
      </c>
    </row>
    <row r="4630" spans="9:12">
      <c r="I4630" s="5">
        <f>IF(OR(A4630="",B4630=""),"",B4630-WEEKDAY(B4630,2)+1)</f>
        <v/>
      </c>
      <c r="J4630" s="5">
        <f>IF(I4630="","",I4630+6)</f>
        <v/>
      </c>
      <c r="K4630" s="6">
        <f>IF(OR(A4630="",B4630=""),"",DATE(YEAR(B4630),MONTH(B4630),1))</f>
        <v/>
      </c>
      <c r="L4630" s="7">
        <f>IF(COUNTA(A4630,B4630)=0,"",IF(OR(A4630="",B4630=""),"Preencher CPF e entrada",IF(COUNTIFS($A$12:$A$5011,A4630,$B$12:$B$5011,B4630)&gt;1,"CPF + dia duplicado",IF(OR(AND(E4630&lt;&gt;"",E4630&lt;B4630),AND(F4630&lt;&gt;"",F4630&lt;B4630)),"Evento anterior à entrada",IF(AND(F4630&lt;&gt;"",E4630=""),"Conversa sem agendamento",IF(OR(E4630&gt;TODAY(),F4630&gt;TODAY()),"Verificar evento futuro","OK"))))))</f>
        <v/>
      </c>
    </row>
    <row r="4631" spans="9:12">
      <c r="I4631" s="5">
        <f>IF(OR(A4631="",B4631=""),"",B4631-WEEKDAY(B4631,2)+1)</f>
        <v/>
      </c>
      <c r="J4631" s="5">
        <f>IF(I4631="","",I4631+6)</f>
        <v/>
      </c>
      <c r="K4631" s="6">
        <f>IF(OR(A4631="",B4631=""),"",DATE(YEAR(B4631),MONTH(B4631),1))</f>
        <v/>
      </c>
      <c r="L4631" s="7">
        <f>IF(COUNTA(A4631,B4631)=0,"",IF(OR(A4631="",B4631=""),"Preencher CPF e entrada",IF(COUNTIFS($A$12:$A$5011,A4631,$B$12:$B$5011,B4631)&gt;1,"CPF + dia duplicado",IF(OR(AND(E4631&lt;&gt;"",E4631&lt;B4631),AND(F4631&lt;&gt;"",F4631&lt;B4631)),"Evento anterior à entrada",IF(AND(F4631&lt;&gt;"",E4631=""),"Conversa sem agendamento",IF(OR(E4631&gt;TODAY(),F4631&gt;TODAY()),"Verificar evento futuro","OK"))))))</f>
        <v/>
      </c>
    </row>
    <row r="4632" spans="9:12">
      <c r="I4632" s="5">
        <f>IF(OR(A4632="",B4632=""),"",B4632-WEEKDAY(B4632,2)+1)</f>
        <v/>
      </c>
      <c r="J4632" s="5">
        <f>IF(I4632="","",I4632+6)</f>
        <v/>
      </c>
      <c r="K4632" s="6">
        <f>IF(OR(A4632="",B4632=""),"",DATE(YEAR(B4632),MONTH(B4632),1))</f>
        <v/>
      </c>
      <c r="L4632" s="7">
        <f>IF(COUNTA(A4632,B4632)=0,"",IF(OR(A4632="",B4632=""),"Preencher CPF e entrada",IF(COUNTIFS($A$12:$A$5011,A4632,$B$12:$B$5011,B4632)&gt;1,"CPF + dia duplicado",IF(OR(AND(E4632&lt;&gt;"",E4632&lt;B4632),AND(F4632&lt;&gt;"",F4632&lt;B4632)),"Evento anterior à entrada",IF(AND(F4632&lt;&gt;"",E4632=""),"Conversa sem agendamento",IF(OR(E4632&gt;TODAY(),F4632&gt;TODAY()),"Verificar evento futuro","OK"))))))</f>
        <v/>
      </c>
    </row>
    <row r="4633" spans="9:12">
      <c r="I4633" s="5">
        <f>IF(OR(A4633="",B4633=""),"",B4633-WEEKDAY(B4633,2)+1)</f>
        <v/>
      </c>
      <c r="J4633" s="5">
        <f>IF(I4633="","",I4633+6)</f>
        <v/>
      </c>
      <c r="K4633" s="6">
        <f>IF(OR(A4633="",B4633=""),"",DATE(YEAR(B4633),MONTH(B4633),1))</f>
        <v/>
      </c>
      <c r="L4633" s="7">
        <f>IF(COUNTA(A4633,B4633)=0,"",IF(OR(A4633="",B4633=""),"Preencher CPF e entrada",IF(COUNTIFS($A$12:$A$5011,A4633,$B$12:$B$5011,B4633)&gt;1,"CPF + dia duplicado",IF(OR(AND(E4633&lt;&gt;"",E4633&lt;B4633),AND(F4633&lt;&gt;"",F4633&lt;B4633)),"Evento anterior à entrada",IF(AND(F4633&lt;&gt;"",E4633=""),"Conversa sem agendamento",IF(OR(E4633&gt;TODAY(),F4633&gt;TODAY()),"Verificar evento futuro","OK"))))))</f>
        <v/>
      </c>
    </row>
    <row r="4634" spans="9:12">
      <c r="I4634" s="5">
        <f>IF(OR(A4634="",B4634=""),"",B4634-WEEKDAY(B4634,2)+1)</f>
        <v/>
      </c>
      <c r="J4634" s="5">
        <f>IF(I4634="","",I4634+6)</f>
        <v/>
      </c>
      <c r="K4634" s="6">
        <f>IF(OR(A4634="",B4634=""),"",DATE(YEAR(B4634),MONTH(B4634),1))</f>
        <v/>
      </c>
      <c r="L4634" s="7">
        <f>IF(COUNTA(A4634,B4634)=0,"",IF(OR(A4634="",B4634=""),"Preencher CPF e entrada",IF(COUNTIFS($A$12:$A$5011,A4634,$B$12:$B$5011,B4634)&gt;1,"CPF + dia duplicado",IF(OR(AND(E4634&lt;&gt;"",E4634&lt;B4634),AND(F4634&lt;&gt;"",F4634&lt;B4634)),"Evento anterior à entrada",IF(AND(F4634&lt;&gt;"",E4634=""),"Conversa sem agendamento",IF(OR(E4634&gt;TODAY(),F4634&gt;TODAY()),"Verificar evento futuro","OK"))))))</f>
        <v/>
      </c>
    </row>
    <row r="4635" spans="9:12">
      <c r="I4635" s="5">
        <f>IF(OR(A4635="",B4635=""),"",B4635-WEEKDAY(B4635,2)+1)</f>
        <v/>
      </c>
      <c r="J4635" s="5">
        <f>IF(I4635="","",I4635+6)</f>
        <v/>
      </c>
      <c r="K4635" s="6">
        <f>IF(OR(A4635="",B4635=""),"",DATE(YEAR(B4635),MONTH(B4635),1))</f>
        <v/>
      </c>
      <c r="L4635" s="7">
        <f>IF(COUNTA(A4635,B4635)=0,"",IF(OR(A4635="",B4635=""),"Preencher CPF e entrada",IF(COUNTIFS($A$12:$A$5011,A4635,$B$12:$B$5011,B4635)&gt;1,"CPF + dia duplicado",IF(OR(AND(E4635&lt;&gt;"",E4635&lt;B4635),AND(F4635&lt;&gt;"",F4635&lt;B4635)),"Evento anterior à entrada",IF(AND(F4635&lt;&gt;"",E4635=""),"Conversa sem agendamento",IF(OR(E4635&gt;TODAY(),F4635&gt;TODAY()),"Verificar evento futuro","OK"))))))</f>
        <v/>
      </c>
    </row>
    <row r="4636" spans="9:12">
      <c r="I4636" s="5">
        <f>IF(OR(A4636="",B4636=""),"",B4636-WEEKDAY(B4636,2)+1)</f>
        <v/>
      </c>
      <c r="J4636" s="5">
        <f>IF(I4636="","",I4636+6)</f>
        <v/>
      </c>
      <c r="K4636" s="6">
        <f>IF(OR(A4636="",B4636=""),"",DATE(YEAR(B4636),MONTH(B4636),1))</f>
        <v/>
      </c>
      <c r="L4636" s="7">
        <f>IF(COUNTA(A4636,B4636)=0,"",IF(OR(A4636="",B4636=""),"Preencher CPF e entrada",IF(COUNTIFS($A$12:$A$5011,A4636,$B$12:$B$5011,B4636)&gt;1,"CPF + dia duplicado",IF(OR(AND(E4636&lt;&gt;"",E4636&lt;B4636),AND(F4636&lt;&gt;"",F4636&lt;B4636)),"Evento anterior à entrada",IF(AND(F4636&lt;&gt;"",E4636=""),"Conversa sem agendamento",IF(OR(E4636&gt;TODAY(),F4636&gt;TODAY()),"Verificar evento futuro","OK"))))))</f>
        <v/>
      </c>
    </row>
    <row r="4637" spans="9:12">
      <c r="I4637" s="5">
        <f>IF(OR(A4637="",B4637=""),"",B4637-WEEKDAY(B4637,2)+1)</f>
        <v/>
      </c>
      <c r="J4637" s="5">
        <f>IF(I4637="","",I4637+6)</f>
        <v/>
      </c>
      <c r="K4637" s="6">
        <f>IF(OR(A4637="",B4637=""),"",DATE(YEAR(B4637),MONTH(B4637),1))</f>
        <v/>
      </c>
      <c r="L4637" s="7">
        <f>IF(COUNTA(A4637,B4637)=0,"",IF(OR(A4637="",B4637=""),"Preencher CPF e entrada",IF(COUNTIFS($A$12:$A$5011,A4637,$B$12:$B$5011,B4637)&gt;1,"CPF + dia duplicado",IF(OR(AND(E4637&lt;&gt;"",E4637&lt;B4637),AND(F4637&lt;&gt;"",F4637&lt;B4637)),"Evento anterior à entrada",IF(AND(F4637&lt;&gt;"",E4637=""),"Conversa sem agendamento",IF(OR(E4637&gt;TODAY(),F4637&gt;TODAY()),"Verificar evento futuro","OK"))))))</f>
        <v/>
      </c>
    </row>
    <row r="4638" spans="9:12">
      <c r="I4638" s="5">
        <f>IF(OR(A4638="",B4638=""),"",B4638-WEEKDAY(B4638,2)+1)</f>
        <v/>
      </c>
      <c r="J4638" s="5">
        <f>IF(I4638="","",I4638+6)</f>
        <v/>
      </c>
      <c r="K4638" s="6">
        <f>IF(OR(A4638="",B4638=""),"",DATE(YEAR(B4638),MONTH(B4638),1))</f>
        <v/>
      </c>
      <c r="L4638" s="7">
        <f>IF(COUNTA(A4638,B4638)=0,"",IF(OR(A4638="",B4638=""),"Preencher CPF e entrada",IF(COUNTIFS($A$12:$A$5011,A4638,$B$12:$B$5011,B4638)&gt;1,"CPF + dia duplicado",IF(OR(AND(E4638&lt;&gt;"",E4638&lt;B4638),AND(F4638&lt;&gt;"",F4638&lt;B4638)),"Evento anterior à entrada",IF(AND(F4638&lt;&gt;"",E4638=""),"Conversa sem agendamento",IF(OR(E4638&gt;TODAY(),F4638&gt;TODAY()),"Verificar evento futuro","OK"))))))</f>
        <v/>
      </c>
    </row>
    <row r="4639" spans="9:12">
      <c r="I4639" s="5">
        <f>IF(OR(A4639="",B4639=""),"",B4639-WEEKDAY(B4639,2)+1)</f>
        <v/>
      </c>
      <c r="J4639" s="5">
        <f>IF(I4639="","",I4639+6)</f>
        <v/>
      </c>
      <c r="K4639" s="6">
        <f>IF(OR(A4639="",B4639=""),"",DATE(YEAR(B4639),MONTH(B4639),1))</f>
        <v/>
      </c>
      <c r="L4639" s="7">
        <f>IF(COUNTA(A4639,B4639)=0,"",IF(OR(A4639="",B4639=""),"Preencher CPF e entrada",IF(COUNTIFS($A$12:$A$5011,A4639,$B$12:$B$5011,B4639)&gt;1,"CPF + dia duplicado",IF(OR(AND(E4639&lt;&gt;"",E4639&lt;B4639),AND(F4639&lt;&gt;"",F4639&lt;B4639)),"Evento anterior à entrada",IF(AND(F4639&lt;&gt;"",E4639=""),"Conversa sem agendamento",IF(OR(E4639&gt;TODAY(),F4639&gt;TODAY()),"Verificar evento futuro","OK"))))))</f>
        <v/>
      </c>
    </row>
    <row r="4640" spans="9:12">
      <c r="I4640" s="5">
        <f>IF(OR(A4640="",B4640=""),"",B4640-WEEKDAY(B4640,2)+1)</f>
        <v/>
      </c>
      <c r="J4640" s="5">
        <f>IF(I4640="","",I4640+6)</f>
        <v/>
      </c>
      <c r="K4640" s="6">
        <f>IF(OR(A4640="",B4640=""),"",DATE(YEAR(B4640),MONTH(B4640),1))</f>
        <v/>
      </c>
      <c r="L4640" s="7">
        <f>IF(COUNTA(A4640,B4640)=0,"",IF(OR(A4640="",B4640=""),"Preencher CPF e entrada",IF(COUNTIFS($A$12:$A$5011,A4640,$B$12:$B$5011,B4640)&gt;1,"CPF + dia duplicado",IF(OR(AND(E4640&lt;&gt;"",E4640&lt;B4640),AND(F4640&lt;&gt;"",F4640&lt;B4640)),"Evento anterior à entrada",IF(AND(F4640&lt;&gt;"",E4640=""),"Conversa sem agendamento",IF(OR(E4640&gt;TODAY(),F4640&gt;TODAY()),"Verificar evento futuro","OK"))))))</f>
        <v/>
      </c>
    </row>
    <row r="4641" spans="9:12">
      <c r="I4641" s="5">
        <f>IF(OR(A4641="",B4641=""),"",B4641-WEEKDAY(B4641,2)+1)</f>
        <v/>
      </c>
      <c r="J4641" s="5">
        <f>IF(I4641="","",I4641+6)</f>
        <v/>
      </c>
      <c r="K4641" s="6">
        <f>IF(OR(A4641="",B4641=""),"",DATE(YEAR(B4641),MONTH(B4641),1))</f>
        <v/>
      </c>
      <c r="L4641" s="7">
        <f>IF(COUNTA(A4641,B4641)=0,"",IF(OR(A4641="",B4641=""),"Preencher CPF e entrada",IF(COUNTIFS($A$12:$A$5011,A4641,$B$12:$B$5011,B4641)&gt;1,"CPF + dia duplicado",IF(OR(AND(E4641&lt;&gt;"",E4641&lt;B4641),AND(F4641&lt;&gt;"",F4641&lt;B4641)),"Evento anterior à entrada",IF(AND(F4641&lt;&gt;"",E4641=""),"Conversa sem agendamento",IF(OR(E4641&gt;TODAY(),F4641&gt;TODAY()),"Verificar evento futuro","OK"))))))</f>
        <v/>
      </c>
    </row>
    <row r="4642" spans="9:12">
      <c r="I4642" s="5">
        <f>IF(OR(A4642="",B4642=""),"",B4642-WEEKDAY(B4642,2)+1)</f>
        <v/>
      </c>
      <c r="J4642" s="5">
        <f>IF(I4642="","",I4642+6)</f>
        <v/>
      </c>
      <c r="K4642" s="6">
        <f>IF(OR(A4642="",B4642=""),"",DATE(YEAR(B4642),MONTH(B4642),1))</f>
        <v/>
      </c>
      <c r="L4642" s="7">
        <f>IF(COUNTA(A4642,B4642)=0,"",IF(OR(A4642="",B4642=""),"Preencher CPF e entrada",IF(COUNTIFS($A$12:$A$5011,A4642,$B$12:$B$5011,B4642)&gt;1,"CPF + dia duplicado",IF(OR(AND(E4642&lt;&gt;"",E4642&lt;B4642),AND(F4642&lt;&gt;"",F4642&lt;B4642)),"Evento anterior à entrada",IF(AND(F4642&lt;&gt;"",E4642=""),"Conversa sem agendamento",IF(OR(E4642&gt;TODAY(),F4642&gt;TODAY()),"Verificar evento futuro","OK"))))))</f>
        <v/>
      </c>
    </row>
    <row r="4643" spans="9:12">
      <c r="I4643" s="5">
        <f>IF(OR(A4643="",B4643=""),"",B4643-WEEKDAY(B4643,2)+1)</f>
        <v/>
      </c>
      <c r="J4643" s="5">
        <f>IF(I4643="","",I4643+6)</f>
        <v/>
      </c>
      <c r="K4643" s="6">
        <f>IF(OR(A4643="",B4643=""),"",DATE(YEAR(B4643),MONTH(B4643),1))</f>
        <v/>
      </c>
      <c r="L4643" s="7">
        <f>IF(COUNTA(A4643,B4643)=0,"",IF(OR(A4643="",B4643=""),"Preencher CPF e entrada",IF(COUNTIFS($A$12:$A$5011,A4643,$B$12:$B$5011,B4643)&gt;1,"CPF + dia duplicado",IF(OR(AND(E4643&lt;&gt;"",E4643&lt;B4643),AND(F4643&lt;&gt;"",F4643&lt;B4643)),"Evento anterior à entrada",IF(AND(F4643&lt;&gt;"",E4643=""),"Conversa sem agendamento",IF(OR(E4643&gt;TODAY(),F4643&gt;TODAY()),"Verificar evento futuro","OK"))))))</f>
        <v/>
      </c>
    </row>
    <row r="4644" spans="9:12">
      <c r="I4644" s="5">
        <f>IF(OR(A4644="",B4644=""),"",B4644-WEEKDAY(B4644,2)+1)</f>
        <v/>
      </c>
      <c r="J4644" s="5">
        <f>IF(I4644="","",I4644+6)</f>
        <v/>
      </c>
      <c r="K4644" s="6">
        <f>IF(OR(A4644="",B4644=""),"",DATE(YEAR(B4644),MONTH(B4644),1))</f>
        <v/>
      </c>
      <c r="L4644" s="7">
        <f>IF(COUNTA(A4644,B4644)=0,"",IF(OR(A4644="",B4644=""),"Preencher CPF e entrada",IF(COUNTIFS($A$12:$A$5011,A4644,$B$12:$B$5011,B4644)&gt;1,"CPF + dia duplicado",IF(OR(AND(E4644&lt;&gt;"",E4644&lt;B4644),AND(F4644&lt;&gt;"",F4644&lt;B4644)),"Evento anterior à entrada",IF(AND(F4644&lt;&gt;"",E4644=""),"Conversa sem agendamento",IF(OR(E4644&gt;TODAY(),F4644&gt;TODAY()),"Verificar evento futuro","OK"))))))</f>
        <v/>
      </c>
    </row>
    <row r="4645" spans="9:12">
      <c r="I4645" s="5">
        <f>IF(OR(A4645="",B4645=""),"",B4645-WEEKDAY(B4645,2)+1)</f>
        <v/>
      </c>
      <c r="J4645" s="5">
        <f>IF(I4645="","",I4645+6)</f>
        <v/>
      </c>
      <c r="K4645" s="6">
        <f>IF(OR(A4645="",B4645=""),"",DATE(YEAR(B4645),MONTH(B4645),1))</f>
        <v/>
      </c>
      <c r="L4645" s="7">
        <f>IF(COUNTA(A4645,B4645)=0,"",IF(OR(A4645="",B4645=""),"Preencher CPF e entrada",IF(COUNTIFS($A$12:$A$5011,A4645,$B$12:$B$5011,B4645)&gt;1,"CPF + dia duplicado",IF(OR(AND(E4645&lt;&gt;"",E4645&lt;B4645),AND(F4645&lt;&gt;"",F4645&lt;B4645)),"Evento anterior à entrada",IF(AND(F4645&lt;&gt;"",E4645=""),"Conversa sem agendamento",IF(OR(E4645&gt;TODAY(),F4645&gt;TODAY()),"Verificar evento futuro","OK"))))))</f>
        <v/>
      </c>
    </row>
    <row r="4646" spans="9:12">
      <c r="I4646" s="5">
        <f>IF(OR(A4646="",B4646=""),"",B4646-WEEKDAY(B4646,2)+1)</f>
        <v/>
      </c>
      <c r="J4646" s="5">
        <f>IF(I4646="","",I4646+6)</f>
        <v/>
      </c>
      <c r="K4646" s="6">
        <f>IF(OR(A4646="",B4646=""),"",DATE(YEAR(B4646),MONTH(B4646),1))</f>
        <v/>
      </c>
      <c r="L4646" s="7">
        <f>IF(COUNTA(A4646,B4646)=0,"",IF(OR(A4646="",B4646=""),"Preencher CPF e entrada",IF(COUNTIFS($A$12:$A$5011,A4646,$B$12:$B$5011,B4646)&gt;1,"CPF + dia duplicado",IF(OR(AND(E4646&lt;&gt;"",E4646&lt;B4646),AND(F4646&lt;&gt;"",F4646&lt;B4646)),"Evento anterior à entrada",IF(AND(F4646&lt;&gt;"",E4646=""),"Conversa sem agendamento",IF(OR(E4646&gt;TODAY(),F4646&gt;TODAY()),"Verificar evento futuro","OK"))))))</f>
        <v/>
      </c>
    </row>
    <row r="4647" spans="9:12">
      <c r="I4647" s="5">
        <f>IF(OR(A4647="",B4647=""),"",B4647-WEEKDAY(B4647,2)+1)</f>
        <v/>
      </c>
      <c r="J4647" s="5">
        <f>IF(I4647="","",I4647+6)</f>
        <v/>
      </c>
      <c r="K4647" s="6">
        <f>IF(OR(A4647="",B4647=""),"",DATE(YEAR(B4647),MONTH(B4647),1))</f>
        <v/>
      </c>
      <c r="L4647" s="7">
        <f>IF(COUNTA(A4647,B4647)=0,"",IF(OR(A4647="",B4647=""),"Preencher CPF e entrada",IF(COUNTIFS($A$12:$A$5011,A4647,$B$12:$B$5011,B4647)&gt;1,"CPF + dia duplicado",IF(OR(AND(E4647&lt;&gt;"",E4647&lt;B4647),AND(F4647&lt;&gt;"",F4647&lt;B4647)),"Evento anterior à entrada",IF(AND(F4647&lt;&gt;"",E4647=""),"Conversa sem agendamento",IF(OR(E4647&gt;TODAY(),F4647&gt;TODAY()),"Verificar evento futuro","OK"))))))</f>
        <v/>
      </c>
    </row>
    <row r="4648" spans="9:12">
      <c r="I4648" s="5">
        <f>IF(OR(A4648="",B4648=""),"",B4648-WEEKDAY(B4648,2)+1)</f>
        <v/>
      </c>
      <c r="J4648" s="5">
        <f>IF(I4648="","",I4648+6)</f>
        <v/>
      </c>
      <c r="K4648" s="6">
        <f>IF(OR(A4648="",B4648=""),"",DATE(YEAR(B4648),MONTH(B4648),1))</f>
        <v/>
      </c>
      <c r="L4648" s="7">
        <f>IF(COUNTA(A4648,B4648)=0,"",IF(OR(A4648="",B4648=""),"Preencher CPF e entrada",IF(COUNTIFS($A$12:$A$5011,A4648,$B$12:$B$5011,B4648)&gt;1,"CPF + dia duplicado",IF(OR(AND(E4648&lt;&gt;"",E4648&lt;B4648),AND(F4648&lt;&gt;"",F4648&lt;B4648)),"Evento anterior à entrada",IF(AND(F4648&lt;&gt;"",E4648=""),"Conversa sem agendamento",IF(OR(E4648&gt;TODAY(),F4648&gt;TODAY()),"Verificar evento futuro","OK"))))))</f>
        <v/>
      </c>
    </row>
    <row r="4649" spans="9:12">
      <c r="I4649" s="5">
        <f>IF(OR(A4649="",B4649=""),"",B4649-WEEKDAY(B4649,2)+1)</f>
        <v/>
      </c>
      <c r="J4649" s="5">
        <f>IF(I4649="","",I4649+6)</f>
        <v/>
      </c>
      <c r="K4649" s="6">
        <f>IF(OR(A4649="",B4649=""),"",DATE(YEAR(B4649),MONTH(B4649),1))</f>
        <v/>
      </c>
      <c r="L4649" s="7">
        <f>IF(COUNTA(A4649,B4649)=0,"",IF(OR(A4649="",B4649=""),"Preencher CPF e entrada",IF(COUNTIFS($A$12:$A$5011,A4649,$B$12:$B$5011,B4649)&gt;1,"CPF + dia duplicado",IF(OR(AND(E4649&lt;&gt;"",E4649&lt;B4649),AND(F4649&lt;&gt;"",F4649&lt;B4649)),"Evento anterior à entrada",IF(AND(F4649&lt;&gt;"",E4649=""),"Conversa sem agendamento",IF(OR(E4649&gt;TODAY(),F4649&gt;TODAY()),"Verificar evento futuro","OK"))))))</f>
        <v/>
      </c>
    </row>
    <row r="4650" spans="9:12">
      <c r="I4650" s="5">
        <f>IF(OR(A4650="",B4650=""),"",B4650-WEEKDAY(B4650,2)+1)</f>
        <v/>
      </c>
      <c r="J4650" s="5">
        <f>IF(I4650="","",I4650+6)</f>
        <v/>
      </c>
      <c r="K4650" s="6">
        <f>IF(OR(A4650="",B4650=""),"",DATE(YEAR(B4650),MONTH(B4650),1))</f>
        <v/>
      </c>
      <c r="L4650" s="7">
        <f>IF(COUNTA(A4650,B4650)=0,"",IF(OR(A4650="",B4650=""),"Preencher CPF e entrada",IF(COUNTIFS($A$12:$A$5011,A4650,$B$12:$B$5011,B4650)&gt;1,"CPF + dia duplicado",IF(OR(AND(E4650&lt;&gt;"",E4650&lt;B4650),AND(F4650&lt;&gt;"",F4650&lt;B4650)),"Evento anterior à entrada",IF(AND(F4650&lt;&gt;"",E4650=""),"Conversa sem agendamento",IF(OR(E4650&gt;TODAY(),F4650&gt;TODAY()),"Verificar evento futuro","OK"))))))</f>
        <v/>
      </c>
    </row>
    <row r="4651" spans="9:12">
      <c r="I4651" s="5">
        <f>IF(OR(A4651="",B4651=""),"",B4651-WEEKDAY(B4651,2)+1)</f>
        <v/>
      </c>
      <c r="J4651" s="5">
        <f>IF(I4651="","",I4651+6)</f>
        <v/>
      </c>
      <c r="K4651" s="6">
        <f>IF(OR(A4651="",B4651=""),"",DATE(YEAR(B4651),MONTH(B4651),1))</f>
        <v/>
      </c>
      <c r="L4651" s="7">
        <f>IF(COUNTA(A4651,B4651)=0,"",IF(OR(A4651="",B4651=""),"Preencher CPF e entrada",IF(COUNTIFS($A$12:$A$5011,A4651,$B$12:$B$5011,B4651)&gt;1,"CPF + dia duplicado",IF(OR(AND(E4651&lt;&gt;"",E4651&lt;B4651),AND(F4651&lt;&gt;"",F4651&lt;B4651)),"Evento anterior à entrada",IF(AND(F4651&lt;&gt;"",E4651=""),"Conversa sem agendamento",IF(OR(E4651&gt;TODAY(),F4651&gt;TODAY()),"Verificar evento futuro","OK"))))))</f>
        <v/>
      </c>
    </row>
    <row r="4652" spans="9:12">
      <c r="I4652" s="5">
        <f>IF(OR(A4652="",B4652=""),"",B4652-WEEKDAY(B4652,2)+1)</f>
        <v/>
      </c>
      <c r="J4652" s="5">
        <f>IF(I4652="","",I4652+6)</f>
        <v/>
      </c>
      <c r="K4652" s="6">
        <f>IF(OR(A4652="",B4652=""),"",DATE(YEAR(B4652),MONTH(B4652),1))</f>
        <v/>
      </c>
      <c r="L4652" s="7">
        <f>IF(COUNTA(A4652,B4652)=0,"",IF(OR(A4652="",B4652=""),"Preencher CPF e entrada",IF(COUNTIFS($A$12:$A$5011,A4652,$B$12:$B$5011,B4652)&gt;1,"CPF + dia duplicado",IF(OR(AND(E4652&lt;&gt;"",E4652&lt;B4652),AND(F4652&lt;&gt;"",F4652&lt;B4652)),"Evento anterior à entrada",IF(AND(F4652&lt;&gt;"",E4652=""),"Conversa sem agendamento",IF(OR(E4652&gt;TODAY(),F4652&gt;TODAY()),"Verificar evento futuro","OK"))))))</f>
        <v/>
      </c>
    </row>
    <row r="4653" spans="9:12">
      <c r="I4653" s="5">
        <f>IF(OR(A4653="",B4653=""),"",B4653-WEEKDAY(B4653,2)+1)</f>
        <v/>
      </c>
      <c r="J4653" s="5">
        <f>IF(I4653="","",I4653+6)</f>
        <v/>
      </c>
      <c r="K4653" s="6">
        <f>IF(OR(A4653="",B4653=""),"",DATE(YEAR(B4653),MONTH(B4653),1))</f>
        <v/>
      </c>
      <c r="L4653" s="7">
        <f>IF(COUNTA(A4653,B4653)=0,"",IF(OR(A4653="",B4653=""),"Preencher CPF e entrada",IF(COUNTIFS($A$12:$A$5011,A4653,$B$12:$B$5011,B4653)&gt;1,"CPF + dia duplicado",IF(OR(AND(E4653&lt;&gt;"",E4653&lt;B4653),AND(F4653&lt;&gt;"",F4653&lt;B4653)),"Evento anterior à entrada",IF(AND(F4653&lt;&gt;"",E4653=""),"Conversa sem agendamento",IF(OR(E4653&gt;TODAY(),F4653&gt;TODAY()),"Verificar evento futuro","OK"))))))</f>
        <v/>
      </c>
    </row>
    <row r="4654" spans="9:12">
      <c r="I4654" s="5">
        <f>IF(OR(A4654="",B4654=""),"",B4654-WEEKDAY(B4654,2)+1)</f>
        <v/>
      </c>
      <c r="J4654" s="5">
        <f>IF(I4654="","",I4654+6)</f>
        <v/>
      </c>
      <c r="K4654" s="6">
        <f>IF(OR(A4654="",B4654=""),"",DATE(YEAR(B4654),MONTH(B4654),1))</f>
        <v/>
      </c>
      <c r="L4654" s="7">
        <f>IF(COUNTA(A4654,B4654)=0,"",IF(OR(A4654="",B4654=""),"Preencher CPF e entrada",IF(COUNTIFS($A$12:$A$5011,A4654,$B$12:$B$5011,B4654)&gt;1,"CPF + dia duplicado",IF(OR(AND(E4654&lt;&gt;"",E4654&lt;B4654),AND(F4654&lt;&gt;"",F4654&lt;B4654)),"Evento anterior à entrada",IF(AND(F4654&lt;&gt;"",E4654=""),"Conversa sem agendamento",IF(OR(E4654&gt;TODAY(),F4654&gt;TODAY()),"Verificar evento futuro","OK"))))))</f>
        <v/>
      </c>
    </row>
    <row r="4655" spans="9:12">
      <c r="I4655" s="5">
        <f>IF(OR(A4655="",B4655=""),"",B4655-WEEKDAY(B4655,2)+1)</f>
        <v/>
      </c>
      <c r="J4655" s="5">
        <f>IF(I4655="","",I4655+6)</f>
        <v/>
      </c>
      <c r="K4655" s="6">
        <f>IF(OR(A4655="",B4655=""),"",DATE(YEAR(B4655),MONTH(B4655),1))</f>
        <v/>
      </c>
      <c r="L4655" s="7">
        <f>IF(COUNTA(A4655,B4655)=0,"",IF(OR(A4655="",B4655=""),"Preencher CPF e entrada",IF(COUNTIFS($A$12:$A$5011,A4655,$B$12:$B$5011,B4655)&gt;1,"CPF + dia duplicado",IF(OR(AND(E4655&lt;&gt;"",E4655&lt;B4655),AND(F4655&lt;&gt;"",F4655&lt;B4655)),"Evento anterior à entrada",IF(AND(F4655&lt;&gt;"",E4655=""),"Conversa sem agendamento",IF(OR(E4655&gt;TODAY(),F4655&gt;TODAY()),"Verificar evento futuro","OK"))))))</f>
        <v/>
      </c>
    </row>
    <row r="4656" spans="9:12">
      <c r="I4656" s="5">
        <f>IF(OR(A4656="",B4656=""),"",B4656-WEEKDAY(B4656,2)+1)</f>
        <v/>
      </c>
      <c r="J4656" s="5">
        <f>IF(I4656="","",I4656+6)</f>
        <v/>
      </c>
      <c r="K4656" s="6">
        <f>IF(OR(A4656="",B4656=""),"",DATE(YEAR(B4656),MONTH(B4656),1))</f>
        <v/>
      </c>
      <c r="L4656" s="7">
        <f>IF(COUNTA(A4656,B4656)=0,"",IF(OR(A4656="",B4656=""),"Preencher CPF e entrada",IF(COUNTIFS($A$12:$A$5011,A4656,$B$12:$B$5011,B4656)&gt;1,"CPF + dia duplicado",IF(OR(AND(E4656&lt;&gt;"",E4656&lt;B4656),AND(F4656&lt;&gt;"",F4656&lt;B4656)),"Evento anterior à entrada",IF(AND(F4656&lt;&gt;"",E4656=""),"Conversa sem agendamento",IF(OR(E4656&gt;TODAY(),F4656&gt;TODAY()),"Verificar evento futuro","OK"))))))</f>
        <v/>
      </c>
    </row>
    <row r="4657" spans="9:12">
      <c r="I4657" s="5">
        <f>IF(OR(A4657="",B4657=""),"",B4657-WEEKDAY(B4657,2)+1)</f>
        <v/>
      </c>
      <c r="J4657" s="5">
        <f>IF(I4657="","",I4657+6)</f>
        <v/>
      </c>
      <c r="K4657" s="6">
        <f>IF(OR(A4657="",B4657=""),"",DATE(YEAR(B4657),MONTH(B4657),1))</f>
        <v/>
      </c>
      <c r="L4657" s="7">
        <f>IF(COUNTA(A4657,B4657)=0,"",IF(OR(A4657="",B4657=""),"Preencher CPF e entrada",IF(COUNTIFS($A$12:$A$5011,A4657,$B$12:$B$5011,B4657)&gt;1,"CPF + dia duplicado",IF(OR(AND(E4657&lt;&gt;"",E4657&lt;B4657),AND(F4657&lt;&gt;"",F4657&lt;B4657)),"Evento anterior à entrada",IF(AND(F4657&lt;&gt;"",E4657=""),"Conversa sem agendamento",IF(OR(E4657&gt;TODAY(),F4657&gt;TODAY()),"Verificar evento futuro","OK"))))))</f>
        <v/>
      </c>
    </row>
    <row r="4658" spans="9:12">
      <c r="I4658" s="5">
        <f>IF(OR(A4658="",B4658=""),"",B4658-WEEKDAY(B4658,2)+1)</f>
        <v/>
      </c>
      <c r="J4658" s="5">
        <f>IF(I4658="","",I4658+6)</f>
        <v/>
      </c>
      <c r="K4658" s="6">
        <f>IF(OR(A4658="",B4658=""),"",DATE(YEAR(B4658),MONTH(B4658),1))</f>
        <v/>
      </c>
      <c r="L4658" s="7">
        <f>IF(COUNTA(A4658,B4658)=0,"",IF(OR(A4658="",B4658=""),"Preencher CPF e entrada",IF(COUNTIFS($A$12:$A$5011,A4658,$B$12:$B$5011,B4658)&gt;1,"CPF + dia duplicado",IF(OR(AND(E4658&lt;&gt;"",E4658&lt;B4658),AND(F4658&lt;&gt;"",F4658&lt;B4658)),"Evento anterior à entrada",IF(AND(F4658&lt;&gt;"",E4658=""),"Conversa sem agendamento",IF(OR(E4658&gt;TODAY(),F4658&gt;TODAY()),"Verificar evento futuro","OK"))))))</f>
        <v/>
      </c>
    </row>
    <row r="4659" spans="9:12">
      <c r="I4659" s="5">
        <f>IF(OR(A4659="",B4659=""),"",B4659-WEEKDAY(B4659,2)+1)</f>
        <v/>
      </c>
      <c r="J4659" s="5">
        <f>IF(I4659="","",I4659+6)</f>
        <v/>
      </c>
      <c r="K4659" s="6">
        <f>IF(OR(A4659="",B4659=""),"",DATE(YEAR(B4659),MONTH(B4659),1))</f>
        <v/>
      </c>
      <c r="L4659" s="7">
        <f>IF(COUNTA(A4659,B4659)=0,"",IF(OR(A4659="",B4659=""),"Preencher CPF e entrada",IF(COUNTIFS($A$12:$A$5011,A4659,$B$12:$B$5011,B4659)&gt;1,"CPF + dia duplicado",IF(OR(AND(E4659&lt;&gt;"",E4659&lt;B4659),AND(F4659&lt;&gt;"",F4659&lt;B4659)),"Evento anterior à entrada",IF(AND(F4659&lt;&gt;"",E4659=""),"Conversa sem agendamento",IF(OR(E4659&gt;TODAY(),F4659&gt;TODAY()),"Verificar evento futuro","OK"))))))</f>
        <v/>
      </c>
    </row>
    <row r="4660" spans="9:12">
      <c r="I4660" s="5">
        <f>IF(OR(A4660="",B4660=""),"",B4660-WEEKDAY(B4660,2)+1)</f>
        <v/>
      </c>
      <c r="J4660" s="5">
        <f>IF(I4660="","",I4660+6)</f>
        <v/>
      </c>
      <c r="K4660" s="6">
        <f>IF(OR(A4660="",B4660=""),"",DATE(YEAR(B4660),MONTH(B4660),1))</f>
        <v/>
      </c>
      <c r="L4660" s="7">
        <f>IF(COUNTA(A4660,B4660)=0,"",IF(OR(A4660="",B4660=""),"Preencher CPF e entrada",IF(COUNTIFS($A$12:$A$5011,A4660,$B$12:$B$5011,B4660)&gt;1,"CPF + dia duplicado",IF(OR(AND(E4660&lt;&gt;"",E4660&lt;B4660),AND(F4660&lt;&gt;"",F4660&lt;B4660)),"Evento anterior à entrada",IF(AND(F4660&lt;&gt;"",E4660=""),"Conversa sem agendamento",IF(OR(E4660&gt;TODAY(),F4660&gt;TODAY()),"Verificar evento futuro","OK"))))))</f>
        <v/>
      </c>
    </row>
    <row r="4661" spans="9:12">
      <c r="I4661" s="5">
        <f>IF(OR(A4661="",B4661=""),"",B4661-WEEKDAY(B4661,2)+1)</f>
        <v/>
      </c>
      <c r="J4661" s="5">
        <f>IF(I4661="","",I4661+6)</f>
        <v/>
      </c>
      <c r="K4661" s="6">
        <f>IF(OR(A4661="",B4661=""),"",DATE(YEAR(B4661),MONTH(B4661),1))</f>
        <v/>
      </c>
      <c r="L4661" s="7">
        <f>IF(COUNTA(A4661,B4661)=0,"",IF(OR(A4661="",B4661=""),"Preencher CPF e entrada",IF(COUNTIFS($A$12:$A$5011,A4661,$B$12:$B$5011,B4661)&gt;1,"CPF + dia duplicado",IF(OR(AND(E4661&lt;&gt;"",E4661&lt;B4661),AND(F4661&lt;&gt;"",F4661&lt;B4661)),"Evento anterior à entrada",IF(AND(F4661&lt;&gt;"",E4661=""),"Conversa sem agendamento",IF(OR(E4661&gt;TODAY(),F4661&gt;TODAY()),"Verificar evento futuro","OK"))))))</f>
        <v/>
      </c>
    </row>
    <row r="4662" spans="9:12">
      <c r="I4662" s="5">
        <f>IF(OR(A4662="",B4662=""),"",B4662-WEEKDAY(B4662,2)+1)</f>
        <v/>
      </c>
      <c r="J4662" s="5">
        <f>IF(I4662="","",I4662+6)</f>
        <v/>
      </c>
      <c r="K4662" s="6">
        <f>IF(OR(A4662="",B4662=""),"",DATE(YEAR(B4662),MONTH(B4662),1))</f>
        <v/>
      </c>
      <c r="L4662" s="7">
        <f>IF(COUNTA(A4662,B4662)=0,"",IF(OR(A4662="",B4662=""),"Preencher CPF e entrada",IF(COUNTIFS($A$12:$A$5011,A4662,$B$12:$B$5011,B4662)&gt;1,"CPF + dia duplicado",IF(OR(AND(E4662&lt;&gt;"",E4662&lt;B4662),AND(F4662&lt;&gt;"",F4662&lt;B4662)),"Evento anterior à entrada",IF(AND(F4662&lt;&gt;"",E4662=""),"Conversa sem agendamento",IF(OR(E4662&gt;TODAY(),F4662&gt;TODAY()),"Verificar evento futuro","OK"))))))</f>
        <v/>
      </c>
    </row>
    <row r="4663" spans="9:12">
      <c r="I4663" s="5">
        <f>IF(OR(A4663="",B4663=""),"",B4663-WEEKDAY(B4663,2)+1)</f>
        <v/>
      </c>
      <c r="J4663" s="5">
        <f>IF(I4663="","",I4663+6)</f>
        <v/>
      </c>
      <c r="K4663" s="6">
        <f>IF(OR(A4663="",B4663=""),"",DATE(YEAR(B4663),MONTH(B4663),1))</f>
        <v/>
      </c>
      <c r="L4663" s="7">
        <f>IF(COUNTA(A4663,B4663)=0,"",IF(OR(A4663="",B4663=""),"Preencher CPF e entrada",IF(COUNTIFS($A$12:$A$5011,A4663,$B$12:$B$5011,B4663)&gt;1,"CPF + dia duplicado",IF(OR(AND(E4663&lt;&gt;"",E4663&lt;B4663),AND(F4663&lt;&gt;"",F4663&lt;B4663)),"Evento anterior à entrada",IF(AND(F4663&lt;&gt;"",E4663=""),"Conversa sem agendamento",IF(OR(E4663&gt;TODAY(),F4663&gt;TODAY()),"Verificar evento futuro","OK"))))))</f>
        <v/>
      </c>
    </row>
    <row r="4664" spans="9:12">
      <c r="I4664" s="5">
        <f>IF(OR(A4664="",B4664=""),"",B4664-WEEKDAY(B4664,2)+1)</f>
        <v/>
      </c>
      <c r="J4664" s="5">
        <f>IF(I4664="","",I4664+6)</f>
        <v/>
      </c>
      <c r="K4664" s="6">
        <f>IF(OR(A4664="",B4664=""),"",DATE(YEAR(B4664),MONTH(B4664),1))</f>
        <v/>
      </c>
      <c r="L4664" s="7">
        <f>IF(COUNTA(A4664,B4664)=0,"",IF(OR(A4664="",B4664=""),"Preencher CPF e entrada",IF(COUNTIFS($A$12:$A$5011,A4664,$B$12:$B$5011,B4664)&gt;1,"CPF + dia duplicado",IF(OR(AND(E4664&lt;&gt;"",E4664&lt;B4664),AND(F4664&lt;&gt;"",F4664&lt;B4664)),"Evento anterior à entrada",IF(AND(F4664&lt;&gt;"",E4664=""),"Conversa sem agendamento",IF(OR(E4664&gt;TODAY(),F4664&gt;TODAY()),"Verificar evento futuro","OK"))))))</f>
        <v/>
      </c>
    </row>
    <row r="4665" spans="9:12">
      <c r="I4665" s="5">
        <f>IF(OR(A4665="",B4665=""),"",B4665-WEEKDAY(B4665,2)+1)</f>
        <v/>
      </c>
      <c r="J4665" s="5">
        <f>IF(I4665="","",I4665+6)</f>
        <v/>
      </c>
      <c r="K4665" s="6">
        <f>IF(OR(A4665="",B4665=""),"",DATE(YEAR(B4665),MONTH(B4665),1))</f>
        <v/>
      </c>
      <c r="L4665" s="7">
        <f>IF(COUNTA(A4665,B4665)=0,"",IF(OR(A4665="",B4665=""),"Preencher CPF e entrada",IF(COUNTIFS($A$12:$A$5011,A4665,$B$12:$B$5011,B4665)&gt;1,"CPF + dia duplicado",IF(OR(AND(E4665&lt;&gt;"",E4665&lt;B4665),AND(F4665&lt;&gt;"",F4665&lt;B4665)),"Evento anterior à entrada",IF(AND(F4665&lt;&gt;"",E4665=""),"Conversa sem agendamento",IF(OR(E4665&gt;TODAY(),F4665&gt;TODAY()),"Verificar evento futuro","OK"))))))</f>
        <v/>
      </c>
    </row>
    <row r="4666" spans="9:12">
      <c r="I4666" s="5">
        <f>IF(OR(A4666="",B4666=""),"",B4666-WEEKDAY(B4666,2)+1)</f>
        <v/>
      </c>
      <c r="J4666" s="5">
        <f>IF(I4666="","",I4666+6)</f>
        <v/>
      </c>
      <c r="K4666" s="6">
        <f>IF(OR(A4666="",B4666=""),"",DATE(YEAR(B4666),MONTH(B4666),1))</f>
        <v/>
      </c>
      <c r="L4666" s="7">
        <f>IF(COUNTA(A4666,B4666)=0,"",IF(OR(A4666="",B4666=""),"Preencher CPF e entrada",IF(COUNTIFS($A$12:$A$5011,A4666,$B$12:$B$5011,B4666)&gt;1,"CPF + dia duplicado",IF(OR(AND(E4666&lt;&gt;"",E4666&lt;B4666),AND(F4666&lt;&gt;"",F4666&lt;B4666)),"Evento anterior à entrada",IF(AND(F4666&lt;&gt;"",E4666=""),"Conversa sem agendamento",IF(OR(E4666&gt;TODAY(),F4666&gt;TODAY()),"Verificar evento futuro","OK"))))))</f>
        <v/>
      </c>
    </row>
    <row r="4667" spans="9:12">
      <c r="I4667" s="5">
        <f>IF(OR(A4667="",B4667=""),"",B4667-WEEKDAY(B4667,2)+1)</f>
        <v/>
      </c>
      <c r="J4667" s="5">
        <f>IF(I4667="","",I4667+6)</f>
        <v/>
      </c>
      <c r="K4667" s="6">
        <f>IF(OR(A4667="",B4667=""),"",DATE(YEAR(B4667),MONTH(B4667),1))</f>
        <v/>
      </c>
      <c r="L4667" s="7">
        <f>IF(COUNTA(A4667,B4667)=0,"",IF(OR(A4667="",B4667=""),"Preencher CPF e entrada",IF(COUNTIFS($A$12:$A$5011,A4667,$B$12:$B$5011,B4667)&gt;1,"CPF + dia duplicado",IF(OR(AND(E4667&lt;&gt;"",E4667&lt;B4667),AND(F4667&lt;&gt;"",F4667&lt;B4667)),"Evento anterior à entrada",IF(AND(F4667&lt;&gt;"",E4667=""),"Conversa sem agendamento",IF(OR(E4667&gt;TODAY(),F4667&gt;TODAY()),"Verificar evento futuro","OK"))))))</f>
        <v/>
      </c>
    </row>
    <row r="4668" spans="9:12">
      <c r="I4668" s="5">
        <f>IF(OR(A4668="",B4668=""),"",B4668-WEEKDAY(B4668,2)+1)</f>
        <v/>
      </c>
      <c r="J4668" s="5">
        <f>IF(I4668="","",I4668+6)</f>
        <v/>
      </c>
      <c r="K4668" s="6">
        <f>IF(OR(A4668="",B4668=""),"",DATE(YEAR(B4668),MONTH(B4668),1))</f>
        <v/>
      </c>
      <c r="L4668" s="7">
        <f>IF(COUNTA(A4668,B4668)=0,"",IF(OR(A4668="",B4668=""),"Preencher CPF e entrada",IF(COUNTIFS($A$12:$A$5011,A4668,$B$12:$B$5011,B4668)&gt;1,"CPF + dia duplicado",IF(OR(AND(E4668&lt;&gt;"",E4668&lt;B4668),AND(F4668&lt;&gt;"",F4668&lt;B4668)),"Evento anterior à entrada",IF(AND(F4668&lt;&gt;"",E4668=""),"Conversa sem agendamento",IF(OR(E4668&gt;TODAY(),F4668&gt;TODAY()),"Verificar evento futuro","OK"))))))</f>
        <v/>
      </c>
    </row>
    <row r="4669" spans="9:12">
      <c r="I4669" s="5">
        <f>IF(OR(A4669="",B4669=""),"",B4669-WEEKDAY(B4669,2)+1)</f>
        <v/>
      </c>
      <c r="J4669" s="5">
        <f>IF(I4669="","",I4669+6)</f>
        <v/>
      </c>
      <c r="K4669" s="6">
        <f>IF(OR(A4669="",B4669=""),"",DATE(YEAR(B4669),MONTH(B4669),1))</f>
        <v/>
      </c>
      <c r="L4669" s="7">
        <f>IF(COUNTA(A4669,B4669)=0,"",IF(OR(A4669="",B4669=""),"Preencher CPF e entrada",IF(COUNTIFS($A$12:$A$5011,A4669,$B$12:$B$5011,B4669)&gt;1,"CPF + dia duplicado",IF(OR(AND(E4669&lt;&gt;"",E4669&lt;B4669),AND(F4669&lt;&gt;"",F4669&lt;B4669)),"Evento anterior à entrada",IF(AND(F4669&lt;&gt;"",E4669=""),"Conversa sem agendamento",IF(OR(E4669&gt;TODAY(),F4669&gt;TODAY()),"Verificar evento futuro","OK"))))))</f>
        <v/>
      </c>
    </row>
    <row r="4670" spans="9:12">
      <c r="I4670" s="5">
        <f>IF(OR(A4670="",B4670=""),"",B4670-WEEKDAY(B4670,2)+1)</f>
        <v/>
      </c>
      <c r="J4670" s="5">
        <f>IF(I4670="","",I4670+6)</f>
        <v/>
      </c>
      <c r="K4670" s="6">
        <f>IF(OR(A4670="",B4670=""),"",DATE(YEAR(B4670),MONTH(B4670),1))</f>
        <v/>
      </c>
      <c r="L4670" s="7">
        <f>IF(COUNTA(A4670,B4670)=0,"",IF(OR(A4670="",B4670=""),"Preencher CPF e entrada",IF(COUNTIFS($A$12:$A$5011,A4670,$B$12:$B$5011,B4670)&gt;1,"CPF + dia duplicado",IF(OR(AND(E4670&lt;&gt;"",E4670&lt;B4670),AND(F4670&lt;&gt;"",F4670&lt;B4670)),"Evento anterior à entrada",IF(AND(F4670&lt;&gt;"",E4670=""),"Conversa sem agendamento",IF(OR(E4670&gt;TODAY(),F4670&gt;TODAY()),"Verificar evento futuro","OK"))))))</f>
        <v/>
      </c>
    </row>
    <row r="4671" spans="9:12">
      <c r="I4671" s="5">
        <f>IF(OR(A4671="",B4671=""),"",B4671-WEEKDAY(B4671,2)+1)</f>
        <v/>
      </c>
      <c r="J4671" s="5">
        <f>IF(I4671="","",I4671+6)</f>
        <v/>
      </c>
      <c r="K4671" s="6">
        <f>IF(OR(A4671="",B4671=""),"",DATE(YEAR(B4671),MONTH(B4671),1))</f>
        <v/>
      </c>
      <c r="L4671" s="7">
        <f>IF(COUNTA(A4671,B4671)=0,"",IF(OR(A4671="",B4671=""),"Preencher CPF e entrada",IF(COUNTIFS($A$12:$A$5011,A4671,$B$12:$B$5011,B4671)&gt;1,"CPF + dia duplicado",IF(OR(AND(E4671&lt;&gt;"",E4671&lt;B4671),AND(F4671&lt;&gt;"",F4671&lt;B4671)),"Evento anterior à entrada",IF(AND(F4671&lt;&gt;"",E4671=""),"Conversa sem agendamento",IF(OR(E4671&gt;TODAY(),F4671&gt;TODAY()),"Verificar evento futuro","OK"))))))</f>
        <v/>
      </c>
    </row>
    <row r="4672" spans="9:12">
      <c r="I4672" s="5">
        <f>IF(OR(A4672="",B4672=""),"",B4672-WEEKDAY(B4672,2)+1)</f>
        <v/>
      </c>
      <c r="J4672" s="5">
        <f>IF(I4672="","",I4672+6)</f>
        <v/>
      </c>
      <c r="K4672" s="6">
        <f>IF(OR(A4672="",B4672=""),"",DATE(YEAR(B4672),MONTH(B4672),1))</f>
        <v/>
      </c>
      <c r="L4672" s="7">
        <f>IF(COUNTA(A4672,B4672)=0,"",IF(OR(A4672="",B4672=""),"Preencher CPF e entrada",IF(COUNTIFS($A$12:$A$5011,A4672,$B$12:$B$5011,B4672)&gt;1,"CPF + dia duplicado",IF(OR(AND(E4672&lt;&gt;"",E4672&lt;B4672),AND(F4672&lt;&gt;"",F4672&lt;B4672)),"Evento anterior à entrada",IF(AND(F4672&lt;&gt;"",E4672=""),"Conversa sem agendamento",IF(OR(E4672&gt;TODAY(),F4672&gt;TODAY()),"Verificar evento futuro","OK"))))))</f>
        <v/>
      </c>
    </row>
    <row r="4673" spans="9:12">
      <c r="I4673" s="5">
        <f>IF(OR(A4673="",B4673=""),"",B4673-WEEKDAY(B4673,2)+1)</f>
        <v/>
      </c>
      <c r="J4673" s="5">
        <f>IF(I4673="","",I4673+6)</f>
        <v/>
      </c>
      <c r="K4673" s="6">
        <f>IF(OR(A4673="",B4673=""),"",DATE(YEAR(B4673),MONTH(B4673),1))</f>
        <v/>
      </c>
      <c r="L4673" s="7">
        <f>IF(COUNTA(A4673,B4673)=0,"",IF(OR(A4673="",B4673=""),"Preencher CPF e entrada",IF(COUNTIFS($A$12:$A$5011,A4673,$B$12:$B$5011,B4673)&gt;1,"CPF + dia duplicado",IF(OR(AND(E4673&lt;&gt;"",E4673&lt;B4673),AND(F4673&lt;&gt;"",F4673&lt;B4673)),"Evento anterior à entrada",IF(AND(F4673&lt;&gt;"",E4673=""),"Conversa sem agendamento",IF(OR(E4673&gt;TODAY(),F4673&gt;TODAY()),"Verificar evento futuro","OK"))))))</f>
        <v/>
      </c>
    </row>
    <row r="4674" spans="9:12">
      <c r="I4674" s="5">
        <f>IF(OR(A4674="",B4674=""),"",B4674-WEEKDAY(B4674,2)+1)</f>
        <v/>
      </c>
      <c r="J4674" s="5">
        <f>IF(I4674="","",I4674+6)</f>
        <v/>
      </c>
      <c r="K4674" s="6">
        <f>IF(OR(A4674="",B4674=""),"",DATE(YEAR(B4674),MONTH(B4674),1))</f>
        <v/>
      </c>
      <c r="L4674" s="7">
        <f>IF(COUNTA(A4674,B4674)=0,"",IF(OR(A4674="",B4674=""),"Preencher CPF e entrada",IF(COUNTIFS($A$12:$A$5011,A4674,$B$12:$B$5011,B4674)&gt;1,"CPF + dia duplicado",IF(OR(AND(E4674&lt;&gt;"",E4674&lt;B4674),AND(F4674&lt;&gt;"",F4674&lt;B4674)),"Evento anterior à entrada",IF(AND(F4674&lt;&gt;"",E4674=""),"Conversa sem agendamento",IF(OR(E4674&gt;TODAY(),F4674&gt;TODAY()),"Verificar evento futuro","OK"))))))</f>
        <v/>
      </c>
    </row>
    <row r="4675" spans="9:12">
      <c r="I4675" s="5">
        <f>IF(OR(A4675="",B4675=""),"",B4675-WEEKDAY(B4675,2)+1)</f>
        <v/>
      </c>
      <c r="J4675" s="5">
        <f>IF(I4675="","",I4675+6)</f>
        <v/>
      </c>
      <c r="K4675" s="6">
        <f>IF(OR(A4675="",B4675=""),"",DATE(YEAR(B4675),MONTH(B4675),1))</f>
        <v/>
      </c>
      <c r="L4675" s="7">
        <f>IF(COUNTA(A4675,B4675)=0,"",IF(OR(A4675="",B4675=""),"Preencher CPF e entrada",IF(COUNTIFS($A$12:$A$5011,A4675,$B$12:$B$5011,B4675)&gt;1,"CPF + dia duplicado",IF(OR(AND(E4675&lt;&gt;"",E4675&lt;B4675),AND(F4675&lt;&gt;"",F4675&lt;B4675)),"Evento anterior à entrada",IF(AND(F4675&lt;&gt;"",E4675=""),"Conversa sem agendamento",IF(OR(E4675&gt;TODAY(),F4675&gt;TODAY()),"Verificar evento futuro","OK"))))))</f>
        <v/>
      </c>
    </row>
    <row r="4676" spans="9:12">
      <c r="I4676" s="5">
        <f>IF(OR(A4676="",B4676=""),"",B4676-WEEKDAY(B4676,2)+1)</f>
        <v/>
      </c>
      <c r="J4676" s="5">
        <f>IF(I4676="","",I4676+6)</f>
        <v/>
      </c>
      <c r="K4676" s="6">
        <f>IF(OR(A4676="",B4676=""),"",DATE(YEAR(B4676),MONTH(B4676),1))</f>
        <v/>
      </c>
      <c r="L4676" s="7">
        <f>IF(COUNTA(A4676,B4676)=0,"",IF(OR(A4676="",B4676=""),"Preencher CPF e entrada",IF(COUNTIFS($A$12:$A$5011,A4676,$B$12:$B$5011,B4676)&gt;1,"CPF + dia duplicado",IF(OR(AND(E4676&lt;&gt;"",E4676&lt;B4676),AND(F4676&lt;&gt;"",F4676&lt;B4676)),"Evento anterior à entrada",IF(AND(F4676&lt;&gt;"",E4676=""),"Conversa sem agendamento",IF(OR(E4676&gt;TODAY(),F4676&gt;TODAY()),"Verificar evento futuro","OK"))))))</f>
        <v/>
      </c>
    </row>
    <row r="4677" spans="9:12">
      <c r="I4677" s="5">
        <f>IF(OR(A4677="",B4677=""),"",B4677-WEEKDAY(B4677,2)+1)</f>
        <v/>
      </c>
      <c r="J4677" s="5">
        <f>IF(I4677="","",I4677+6)</f>
        <v/>
      </c>
      <c r="K4677" s="6">
        <f>IF(OR(A4677="",B4677=""),"",DATE(YEAR(B4677),MONTH(B4677),1))</f>
        <v/>
      </c>
      <c r="L4677" s="7">
        <f>IF(COUNTA(A4677,B4677)=0,"",IF(OR(A4677="",B4677=""),"Preencher CPF e entrada",IF(COUNTIFS($A$12:$A$5011,A4677,$B$12:$B$5011,B4677)&gt;1,"CPF + dia duplicado",IF(OR(AND(E4677&lt;&gt;"",E4677&lt;B4677),AND(F4677&lt;&gt;"",F4677&lt;B4677)),"Evento anterior à entrada",IF(AND(F4677&lt;&gt;"",E4677=""),"Conversa sem agendamento",IF(OR(E4677&gt;TODAY(),F4677&gt;TODAY()),"Verificar evento futuro","OK"))))))</f>
        <v/>
      </c>
    </row>
    <row r="4678" spans="9:12">
      <c r="I4678" s="5">
        <f>IF(OR(A4678="",B4678=""),"",B4678-WEEKDAY(B4678,2)+1)</f>
        <v/>
      </c>
      <c r="J4678" s="5">
        <f>IF(I4678="","",I4678+6)</f>
        <v/>
      </c>
      <c r="K4678" s="6">
        <f>IF(OR(A4678="",B4678=""),"",DATE(YEAR(B4678),MONTH(B4678),1))</f>
        <v/>
      </c>
      <c r="L4678" s="7">
        <f>IF(COUNTA(A4678,B4678)=0,"",IF(OR(A4678="",B4678=""),"Preencher CPF e entrada",IF(COUNTIFS($A$12:$A$5011,A4678,$B$12:$B$5011,B4678)&gt;1,"CPF + dia duplicado",IF(OR(AND(E4678&lt;&gt;"",E4678&lt;B4678),AND(F4678&lt;&gt;"",F4678&lt;B4678)),"Evento anterior à entrada",IF(AND(F4678&lt;&gt;"",E4678=""),"Conversa sem agendamento",IF(OR(E4678&gt;TODAY(),F4678&gt;TODAY()),"Verificar evento futuro","OK"))))))</f>
        <v/>
      </c>
    </row>
    <row r="4679" spans="9:12">
      <c r="I4679" s="5">
        <f>IF(OR(A4679="",B4679=""),"",B4679-WEEKDAY(B4679,2)+1)</f>
        <v/>
      </c>
      <c r="J4679" s="5">
        <f>IF(I4679="","",I4679+6)</f>
        <v/>
      </c>
      <c r="K4679" s="6">
        <f>IF(OR(A4679="",B4679=""),"",DATE(YEAR(B4679),MONTH(B4679),1))</f>
        <v/>
      </c>
      <c r="L4679" s="7">
        <f>IF(COUNTA(A4679,B4679)=0,"",IF(OR(A4679="",B4679=""),"Preencher CPF e entrada",IF(COUNTIFS($A$12:$A$5011,A4679,$B$12:$B$5011,B4679)&gt;1,"CPF + dia duplicado",IF(OR(AND(E4679&lt;&gt;"",E4679&lt;B4679),AND(F4679&lt;&gt;"",F4679&lt;B4679)),"Evento anterior à entrada",IF(AND(F4679&lt;&gt;"",E4679=""),"Conversa sem agendamento",IF(OR(E4679&gt;TODAY(),F4679&gt;TODAY()),"Verificar evento futuro","OK"))))))</f>
        <v/>
      </c>
    </row>
    <row r="4680" spans="9:12">
      <c r="I4680" s="5">
        <f>IF(OR(A4680="",B4680=""),"",B4680-WEEKDAY(B4680,2)+1)</f>
        <v/>
      </c>
      <c r="J4680" s="5">
        <f>IF(I4680="","",I4680+6)</f>
        <v/>
      </c>
      <c r="K4680" s="6">
        <f>IF(OR(A4680="",B4680=""),"",DATE(YEAR(B4680),MONTH(B4680),1))</f>
        <v/>
      </c>
      <c r="L4680" s="7">
        <f>IF(COUNTA(A4680,B4680)=0,"",IF(OR(A4680="",B4680=""),"Preencher CPF e entrada",IF(COUNTIFS($A$12:$A$5011,A4680,$B$12:$B$5011,B4680)&gt;1,"CPF + dia duplicado",IF(OR(AND(E4680&lt;&gt;"",E4680&lt;B4680),AND(F4680&lt;&gt;"",F4680&lt;B4680)),"Evento anterior à entrada",IF(AND(F4680&lt;&gt;"",E4680=""),"Conversa sem agendamento",IF(OR(E4680&gt;TODAY(),F4680&gt;TODAY()),"Verificar evento futuro","OK"))))))</f>
        <v/>
      </c>
    </row>
    <row r="4681" spans="9:12">
      <c r="I4681" s="5">
        <f>IF(OR(A4681="",B4681=""),"",B4681-WEEKDAY(B4681,2)+1)</f>
        <v/>
      </c>
      <c r="J4681" s="5">
        <f>IF(I4681="","",I4681+6)</f>
        <v/>
      </c>
      <c r="K4681" s="6">
        <f>IF(OR(A4681="",B4681=""),"",DATE(YEAR(B4681),MONTH(B4681),1))</f>
        <v/>
      </c>
      <c r="L4681" s="7">
        <f>IF(COUNTA(A4681,B4681)=0,"",IF(OR(A4681="",B4681=""),"Preencher CPF e entrada",IF(COUNTIFS($A$12:$A$5011,A4681,$B$12:$B$5011,B4681)&gt;1,"CPF + dia duplicado",IF(OR(AND(E4681&lt;&gt;"",E4681&lt;B4681),AND(F4681&lt;&gt;"",F4681&lt;B4681)),"Evento anterior à entrada",IF(AND(F4681&lt;&gt;"",E4681=""),"Conversa sem agendamento",IF(OR(E4681&gt;TODAY(),F4681&gt;TODAY()),"Verificar evento futuro","OK"))))))</f>
        <v/>
      </c>
    </row>
    <row r="4682" spans="9:12">
      <c r="I4682" s="5">
        <f>IF(OR(A4682="",B4682=""),"",B4682-WEEKDAY(B4682,2)+1)</f>
        <v/>
      </c>
      <c r="J4682" s="5">
        <f>IF(I4682="","",I4682+6)</f>
        <v/>
      </c>
      <c r="K4682" s="6">
        <f>IF(OR(A4682="",B4682=""),"",DATE(YEAR(B4682),MONTH(B4682),1))</f>
        <v/>
      </c>
      <c r="L4682" s="7">
        <f>IF(COUNTA(A4682,B4682)=0,"",IF(OR(A4682="",B4682=""),"Preencher CPF e entrada",IF(COUNTIFS($A$12:$A$5011,A4682,$B$12:$B$5011,B4682)&gt;1,"CPF + dia duplicado",IF(OR(AND(E4682&lt;&gt;"",E4682&lt;B4682),AND(F4682&lt;&gt;"",F4682&lt;B4682)),"Evento anterior à entrada",IF(AND(F4682&lt;&gt;"",E4682=""),"Conversa sem agendamento",IF(OR(E4682&gt;TODAY(),F4682&gt;TODAY()),"Verificar evento futuro","OK"))))))</f>
        <v/>
      </c>
    </row>
    <row r="4683" spans="9:12">
      <c r="I4683" s="5">
        <f>IF(OR(A4683="",B4683=""),"",B4683-WEEKDAY(B4683,2)+1)</f>
        <v/>
      </c>
      <c r="J4683" s="5">
        <f>IF(I4683="","",I4683+6)</f>
        <v/>
      </c>
      <c r="K4683" s="6">
        <f>IF(OR(A4683="",B4683=""),"",DATE(YEAR(B4683),MONTH(B4683),1))</f>
        <v/>
      </c>
      <c r="L4683" s="7">
        <f>IF(COUNTA(A4683,B4683)=0,"",IF(OR(A4683="",B4683=""),"Preencher CPF e entrada",IF(COUNTIFS($A$12:$A$5011,A4683,$B$12:$B$5011,B4683)&gt;1,"CPF + dia duplicado",IF(OR(AND(E4683&lt;&gt;"",E4683&lt;B4683),AND(F4683&lt;&gt;"",F4683&lt;B4683)),"Evento anterior à entrada",IF(AND(F4683&lt;&gt;"",E4683=""),"Conversa sem agendamento",IF(OR(E4683&gt;TODAY(),F4683&gt;TODAY()),"Verificar evento futuro","OK"))))))</f>
        <v/>
      </c>
    </row>
    <row r="4684" spans="9:12">
      <c r="I4684" s="5">
        <f>IF(OR(A4684="",B4684=""),"",B4684-WEEKDAY(B4684,2)+1)</f>
        <v/>
      </c>
      <c r="J4684" s="5">
        <f>IF(I4684="","",I4684+6)</f>
        <v/>
      </c>
      <c r="K4684" s="6">
        <f>IF(OR(A4684="",B4684=""),"",DATE(YEAR(B4684),MONTH(B4684),1))</f>
        <v/>
      </c>
      <c r="L4684" s="7">
        <f>IF(COUNTA(A4684,B4684)=0,"",IF(OR(A4684="",B4684=""),"Preencher CPF e entrada",IF(COUNTIFS($A$12:$A$5011,A4684,$B$12:$B$5011,B4684)&gt;1,"CPF + dia duplicado",IF(OR(AND(E4684&lt;&gt;"",E4684&lt;B4684),AND(F4684&lt;&gt;"",F4684&lt;B4684)),"Evento anterior à entrada",IF(AND(F4684&lt;&gt;"",E4684=""),"Conversa sem agendamento",IF(OR(E4684&gt;TODAY(),F4684&gt;TODAY()),"Verificar evento futuro","OK"))))))</f>
        <v/>
      </c>
    </row>
    <row r="4685" spans="9:12">
      <c r="I4685" s="5">
        <f>IF(OR(A4685="",B4685=""),"",B4685-WEEKDAY(B4685,2)+1)</f>
        <v/>
      </c>
      <c r="J4685" s="5">
        <f>IF(I4685="","",I4685+6)</f>
        <v/>
      </c>
      <c r="K4685" s="6">
        <f>IF(OR(A4685="",B4685=""),"",DATE(YEAR(B4685),MONTH(B4685),1))</f>
        <v/>
      </c>
      <c r="L4685" s="7">
        <f>IF(COUNTA(A4685,B4685)=0,"",IF(OR(A4685="",B4685=""),"Preencher CPF e entrada",IF(COUNTIFS($A$12:$A$5011,A4685,$B$12:$B$5011,B4685)&gt;1,"CPF + dia duplicado",IF(OR(AND(E4685&lt;&gt;"",E4685&lt;B4685),AND(F4685&lt;&gt;"",F4685&lt;B4685)),"Evento anterior à entrada",IF(AND(F4685&lt;&gt;"",E4685=""),"Conversa sem agendamento",IF(OR(E4685&gt;TODAY(),F4685&gt;TODAY()),"Verificar evento futuro","OK"))))))</f>
        <v/>
      </c>
    </row>
    <row r="4686" spans="9:12">
      <c r="I4686" s="5">
        <f>IF(OR(A4686="",B4686=""),"",B4686-WEEKDAY(B4686,2)+1)</f>
        <v/>
      </c>
      <c r="J4686" s="5">
        <f>IF(I4686="","",I4686+6)</f>
        <v/>
      </c>
      <c r="K4686" s="6">
        <f>IF(OR(A4686="",B4686=""),"",DATE(YEAR(B4686),MONTH(B4686),1))</f>
        <v/>
      </c>
      <c r="L4686" s="7">
        <f>IF(COUNTA(A4686,B4686)=0,"",IF(OR(A4686="",B4686=""),"Preencher CPF e entrada",IF(COUNTIFS($A$12:$A$5011,A4686,$B$12:$B$5011,B4686)&gt;1,"CPF + dia duplicado",IF(OR(AND(E4686&lt;&gt;"",E4686&lt;B4686),AND(F4686&lt;&gt;"",F4686&lt;B4686)),"Evento anterior à entrada",IF(AND(F4686&lt;&gt;"",E4686=""),"Conversa sem agendamento",IF(OR(E4686&gt;TODAY(),F4686&gt;TODAY()),"Verificar evento futuro","OK"))))))</f>
        <v/>
      </c>
    </row>
    <row r="4687" spans="9:12">
      <c r="I4687" s="5">
        <f>IF(OR(A4687="",B4687=""),"",B4687-WEEKDAY(B4687,2)+1)</f>
        <v/>
      </c>
      <c r="J4687" s="5">
        <f>IF(I4687="","",I4687+6)</f>
        <v/>
      </c>
      <c r="K4687" s="6">
        <f>IF(OR(A4687="",B4687=""),"",DATE(YEAR(B4687),MONTH(B4687),1))</f>
        <v/>
      </c>
      <c r="L4687" s="7">
        <f>IF(COUNTA(A4687,B4687)=0,"",IF(OR(A4687="",B4687=""),"Preencher CPF e entrada",IF(COUNTIFS($A$12:$A$5011,A4687,$B$12:$B$5011,B4687)&gt;1,"CPF + dia duplicado",IF(OR(AND(E4687&lt;&gt;"",E4687&lt;B4687),AND(F4687&lt;&gt;"",F4687&lt;B4687)),"Evento anterior à entrada",IF(AND(F4687&lt;&gt;"",E4687=""),"Conversa sem agendamento",IF(OR(E4687&gt;TODAY(),F4687&gt;TODAY()),"Verificar evento futuro","OK"))))))</f>
        <v/>
      </c>
    </row>
    <row r="4688" spans="9:12">
      <c r="I4688" s="5">
        <f>IF(OR(A4688="",B4688=""),"",B4688-WEEKDAY(B4688,2)+1)</f>
        <v/>
      </c>
      <c r="J4688" s="5">
        <f>IF(I4688="","",I4688+6)</f>
        <v/>
      </c>
      <c r="K4688" s="6">
        <f>IF(OR(A4688="",B4688=""),"",DATE(YEAR(B4688),MONTH(B4688),1))</f>
        <v/>
      </c>
      <c r="L4688" s="7">
        <f>IF(COUNTA(A4688,B4688)=0,"",IF(OR(A4688="",B4688=""),"Preencher CPF e entrada",IF(COUNTIFS($A$12:$A$5011,A4688,$B$12:$B$5011,B4688)&gt;1,"CPF + dia duplicado",IF(OR(AND(E4688&lt;&gt;"",E4688&lt;B4688),AND(F4688&lt;&gt;"",F4688&lt;B4688)),"Evento anterior à entrada",IF(AND(F4688&lt;&gt;"",E4688=""),"Conversa sem agendamento",IF(OR(E4688&gt;TODAY(),F4688&gt;TODAY()),"Verificar evento futuro","OK"))))))</f>
        <v/>
      </c>
    </row>
    <row r="4689" spans="9:12">
      <c r="I4689" s="5">
        <f>IF(OR(A4689="",B4689=""),"",B4689-WEEKDAY(B4689,2)+1)</f>
        <v/>
      </c>
      <c r="J4689" s="5">
        <f>IF(I4689="","",I4689+6)</f>
        <v/>
      </c>
      <c r="K4689" s="6">
        <f>IF(OR(A4689="",B4689=""),"",DATE(YEAR(B4689),MONTH(B4689),1))</f>
        <v/>
      </c>
      <c r="L4689" s="7">
        <f>IF(COUNTA(A4689,B4689)=0,"",IF(OR(A4689="",B4689=""),"Preencher CPF e entrada",IF(COUNTIFS($A$12:$A$5011,A4689,$B$12:$B$5011,B4689)&gt;1,"CPF + dia duplicado",IF(OR(AND(E4689&lt;&gt;"",E4689&lt;B4689),AND(F4689&lt;&gt;"",F4689&lt;B4689)),"Evento anterior à entrada",IF(AND(F4689&lt;&gt;"",E4689=""),"Conversa sem agendamento",IF(OR(E4689&gt;TODAY(),F4689&gt;TODAY()),"Verificar evento futuro","OK"))))))</f>
        <v/>
      </c>
    </row>
    <row r="4690" spans="9:12">
      <c r="I4690" s="5">
        <f>IF(OR(A4690="",B4690=""),"",B4690-WEEKDAY(B4690,2)+1)</f>
        <v/>
      </c>
      <c r="J4690" s="5">
        <f>IF(I4690="","",I4690+6)</f>
        <v/>
      </c>
      <c r="K4690" s="6">
        <f>IF(OR(A4690="",B4690=""),"",DATE(YEAR(B4690),MONTH(B4690),1))</f>
        <v/>
      </c>
      <c r="L4690" s="7">
        <f>IF(COUNTA(A4690,B4690)=0,"",IF(OR(A4690="",B4690=""),"Preencher CPF e entrada",IF(COUNTIFS($A$12:$A$5011,A4690,$B$12:$B$5011,B4690)&gt;1,"CPF + dia duplicado",IF(OR(AND(E4690&lt;&gt;"",E4690&lt;B4690),AND(F4690&lt;&gt;"",F4690&lt;B4690)),"Evento anterior à entrada",IF(AND(F4690&lt;&gt;"",E4690=""),"Conversa sem agendamento",IF(OR(E4690&gt;TODAY(),F4690&gt;TODAY()),"Verificar evento futuro","OK"))))))</f>
        <v/>
      </c>
    </row>
    <row r="4691" spans="9:12">
      <c r="I4691" s="5">
        <f>IF(OR(A4691="",B4691=""),"",B4691-WEEKDAY(B4691,2)+1)</f>
        <v/>
      </c>
      <c r="J4691" s="5">
        <f>IF(I4691="","",I4691+6)</f>
        <v/>
      </c>
      <c r="K4691" s="6">
        <f>IF(OR(A4691="",B4691=""),"",DATE(YEAR(B4691),MONTH(B4691),1))</f>
        <v/>
      </c>
      <c r="L4691" s="7">
        <f>IF(COUNTA(A4691,B4691)=0,"",IF(OR(A4691="",B4691=""),"Preencher CPF e entrada",IF(COUNTIFS($A$12:$A$5011,A4691,$B$12:$B$5011,B4691)&gt;1,"CPF + dia duplicado",IF(OR(AND(E4691&lt;&gt;"",E4691&lt;B4691),AND(F4691&lt;&gt;"",F4691&lt;B4691)),"Evento anterior à entrada",IF(AND(F4691&lt;&gt;"",E4691=""),"Conversa sem agendamento",IF(OR(E4691&gt;TODAY(),F4691&gt;TODAY()),"Verificar evento futuro","OK"))))))</f>
        <v/>
      </c>
    </row>
    <row r="4692" spans="9:12">
      <c r="I4692" s="5">
        <f>IF(OR(A4692="",B4692=""),"",B4692-WEEKDAY(B4692,2)+1)</f>
        <v/>
      </c>
      <c r="J4692" s="5">
        <f>IF(I4692="","",I4692+6)</f>
        <v/>
      </c>
      <c r="K4692" s="6">
        <f>IF(OR(A4692="",B4692=""),"",DATE(YEAR(B4692),MONTH(B4692),1))</f>
        <v/>
      </c>
      <c r="L4692" s="7">
        <f>IF(COUNTA(A4692,B4692)=0,"",IF(OR(A4692="",B4692=""),"Preencher CPF e entrada",IF(COUNTIFS($A$12:$A$5011,A4692,$B$12:$B$5011,B4692)&gt;1,"CPF + dia duplicado",IF(OR(AND(E4692&lt;&gt;"",E4692&lt;B4692),AND(F4692&lt;&gt;"",F4692&lt;B4692)),"Evento anterior à entrada",IF(AND(F4692&lt;&gt;"",E4692=""),"Conversa sem agendamento",IF(OR(E4692&gt;TODAY(),F4692&gt;TODAY()),"Verificar evento futuro","OK"))))))</f>
        <v/>
      </c>
    </row>
    <row r="4693" spans="9:12">
      <c r="I4693" s="5">
        <f>IF(OR(A4693="",B4693=""),"",B4693-WEEKDAY(B4693,2)+1)</f>
        <v/>
      </c>
      <c r="J4693" s="5">
        <f>IF(I4693="","",I4693+6)</f>
        <v/>
      </c>
      <c r="K4693" s="6">
        <f>IF(OR(A4693="",B4693=""),"",DATE(YEAR(B4693),MONTH(B4693),1))</f>
        <v/>
      </c>
      <c r="L4693" s="7">
        <f>IF(COUNTA(A4693,B4693)=0,"",IF(OR(A4693="",B4693=""),"Preencher CPF e entrada",IF(COUNTIFS($A$12:$A$5011,A4693,$B$12:$B$5011,B4693)&gt;1,"CPF + dia duplicado",IF(OR(AND(E4693&lt;&gt;"",E4693&lt;B4693),AND(F4693&lt;&gt;"",F4693&lt;B4693)),"Evento anterior à entrada",IF(AND(F4693&lt;&gt;"",E4693=""),"Conversa sem agendamento",IF(OR(E4693&gt;TODAY(),F4693&gt;TODAY()),"Verificar evento futuro","OK"))))))</f>
        <v/>
      </c>
    </row>
    <row r="4694" spans="9:12">
      <c r="I4694" s="5">
        <f>IF(OR(A4694="",B4694=""),"",B4694-WEEKDAY(B4694,2)+1)</f>
        <v/>
      </c>
      <c r="J4694" s="5">
        <f>IF(I4694="","",I4694+6)</f>
        <v/>
      </c>
      <c r="K4694" s="6">
        <f>IF(OR(A4694="",B4694=""),"",DATE(YEAR(B4694),MONTH(B4694),1))</f>
        <v/>
      </c>
      <c r="L4694" s="7">
        <f>IF(COUNTA(A4694,B4694)=0,"",IF(OR(A4694="",B4694=""),"Preencher CPF e entrada",IF(COUNTIFS($A$12:$A$5011,A4694,$B$12:$B$5011,B4694)&gt;1,"CPF + dia duplicado",IF(OR(AND(E4694&lt;&gt;"",E4694&lt;B4694),AND(F4694&lt;&gt;"",F4694&lt;B4694)),"Evento anterior à entrada",IF(AND(F4694&lt;&gt;"",E4694=""),"Conversa sem agendamento",IF(OR(E4694&gt;TODAY(),F4694&gt;TODAY()),"Verificar evento futuro","OK"))))))</f>
        <v/>
      </c>
    </row>
    <row r="4695" spans="9:12">
      <c r="I4695" s="5">
        <f>IF(OR(A4695="",B4695=""),"",B4695-WEEKDAY(B4695,2)+1)</f>
        <v/>
      </c>
      <c r="J4695" s="5">
        <f>IF(I4695="","",I4695+6)</f>
        <v/>
      </c>
      <c r="K4695" s="6">
        <f>IF(OR(A4695="",B4695=""),"",DATE(YEAR(B4695),MONTH(B4695),1))</f>
        <v/>
      </c>
      <c r="L4695" s="7">
        <f>IF(COUNTA(A4695,B4695)=0,"",IF(OR(A4695="",B4695=""),"Preencher CPF e entrada",IF(COUNTIFS($A$12:$A$5011,A4695,$B$12:$B$5011,B4695)&gt;1,"CPF + dia duplicado",IF(OR(AND(E4695&lt;&gt;"",E4695&lt;B4695),AND(F4695&lt;&gt;"",F4695&lt;B4695)),"Evento anterior à entrada",IF(AND(F4695&lt;&gt;"",E4695=""),"Conversa sem agendamento",IF(OR(E4695&gt;TODAY(),F4695&gt;TODAY()),"Verificar evento futuro","OK"))))))</f>
        <v/>
      </c>
    </row>
    <row r="4696" spans="9:12">
      <c r="I4696" s="5">
        <f>IF(OR(A4696="",B4696=""),"",B4696-WEEKDAY(B4696,2)+1)</f>
        <v/>
      </c>
      <c r="J4696" s="5">
        <f>IF(I4696="","",I4696+6)</f>
        <v/>
      </c>
      <c r="K4696" s="6">
        <f>IF(OR(A4696="",B4696=""),"",DATE(YEAR(B4696),MONTH(B4696),1))</f>
        <v/>
      </c>
      <c r="L4696" s="7">
        <f>IF(COUNTA(A4696,B4696)=0,"",IF(OR(A4696="",B4696=""),"Preencher CPF e entrada",IF(COUNTIFS($A$12:$A$5011,A4696,$B$12:$B$5011,B4696)&gt;1,"CPF + dia duplicado",IF(OR(AND(E4696&lt;&gt;"",E4696&lt;B4696),AND(F4696&lt;&gt;"",F4696&lt;B4696)),"Evento anterior à entrada",IF(AND(F4696&lt;&gt;"",E4696=""),"Conversa sem agendamento",IF(OR(E4696&gt;TODAY(),F4696&gt;TODAY()),"Verificar evento futuro","OK"))))))</f>
        <v/>
      </c>
    </row>
    <row r="4697" spans="9:12">
      <c r="I4697" s="5">
        <f>IF(OR(A4697="",B4697=""),"",B4697-WEEKDAY(B4697,2)+1)</f>
        <v/>
      </c>
      <c r="J4697" s="5">
        <f>IF(I4697="","",I4697+6)</f>
        <v/>
      </c>
      <c r="K4697" s="6">
        <f>IF(OR(A4697="",B4697=""),"",DATE(YEAR(B4697),MONTH(B4697),1))</f>
        <v/>
      </c>
      <c r="L4697" s="7">
        <f>IF(COUNTA(A4697,B4697)=0,"",IF(OR(A4697="",B4697=""),"Preencher CPF e entrada",IF(COUNTIFS($A$12:$A$5011,A4697,$B$12:$B$5011,B4697)&gt;1,"CPF + dia duplicado",IF(OR(AND(E4697&lt;&gt;"",E4697&lt;B4697),AND(F4697&lt;&gt;"",F4697&lt;B4697)),"Evento anterior à entrada",IF(AND(F4697&lt;&gt;"",E4697=""),"Conversa sem agendamento",IF(OR(E4697&gt;TODAY(),F4697&gt;TODAY()),"Verificar evento futuro","OK"))))))</f>
        <v/>
      </c>
    </row>
    <row r="4698" spans="9:12">
      <c r="I4698" s="5">
        <f>IF(OR(A4698="",B4698=""),"",B4698-WEEKDAY(B4698,2)+1)</f>
        <v/>
      </c>
      <c r="J4698" s="5">
        <f>IF(I4698="","",I4698+6)</f>
        <v/>
      </c>
      <c r="K4698" s="6">
        <f>IF(OR(A4698="",B4698=""),"",DATE(YEAR(B4698),MONTH(B4698),1))</f>
        <v/>
      </c>
      <c r="L4698" s="7">
        <f>IF(COUNTA(A4698,B4698)=0,"",IF(OR(A4698="",B4698=""),"Preencher CPF e entrada",IF(COUNTIFS($A$12:$A$5011,A4698,$B$12:$B$5011,B4698)&gt;1,"CPF + dia duplicado",IF(OR(AND(E4698&lt;&gt;"",E4698&lt;B4698),AND(F4698&lt;&gt;"",F4698&lt;B4698)),"Evento anterior à entrada",IF(AND(F4698&lt;&gt;"",E4698=""),"Conversa sem agendamento",IF(OR(E4698&gt;TODAY(),F4698&gt;TODAY()),"Verificar evento futuro","OK"))))))</f>
        <v/>
      </c>
    </row>
    <row r="4699" spans="9:12">
      <c r="I4699" s="5">
        <f>IF(OR(A4699="",B4699=""),"",B4699-WEEKDAY(B4699,2)+1)</f>
        <v/>
      </c>
      <c r="J4699" s="5">
        <f>IF(I4699="","",I4699+6)</f>
        <v/>
      </c>
      <c r="K4699" s="6">
        <f>IF(OR(A4699="",B4699=""),"",DATE(YEAR(B4699),MONTH(B4699),1))</f>
        <v/>
      </c>
      <c r="L4699" s="7">
        <f>IF(COUNTA(A4699,B4699)=0,"",IF(OR(A4699="",B4699=""),"Preencher CPF e entrada",IF(COUNTIFS($A$12:$A$5011,A4699,$B$12:$B$5011,B4699)&gt;1,"CPF + dia duplicado",IF(OR(AND(E4699&lt;&gt;"",E4699&lt;B4699),AND(F4699&lt;&gt;"",F4699&lt;B4699)),"Evento anterior à entrada",IF(AND(F4699&lt;&gt;"",E4699=""),"Conversa sem agendamento",IF(OR(E4699&gt;TODAY(),F4699&gt;TODAY()),"Verificar evento futuro","OK"))))))</f>
        <v/>
      </c>
    </row>
    <row r="4700" spans="9:12">
      <c r="I4700" s="5">
        <f>IF(OR(A4700="",B4700=""),"",B4700-WEEKDAY(B4700,2)+1)</f>
        <v/>
      </c>
      <c r="J4700" s="5">
        <f>IF(I4700="","",I4700+6)</f>
        <v/>
      </c>
      <c r="K4700" s="6">
        <f>IF(OR(A4700="",B4700=""),"",DATE(YEAR(B4700),MONTH(B4700),1))</f>
        <v/>
      </c>
      <c r="L4700" s="7">
        <f>IF(COUNTA(A4700,B4700)=0,"",IF(OR(A4700="",B4700=""),"Preencher CPF e entrada",IF(COUNTIFS($A$12:$A$5011,A4700,$B$12:$B$5011,B4700)&gt;1,"CPF + dia duplicado",IF(OR(AND(E4700&lt;&gt;"",E4700&lt;B4700),AND(F4700&lt;&gt;"",F4700&lt;B4700)),"Evento anterior à entrada",IF(AND(F4700&lt;&gt;"",E4700=""),"Conversa sem agendamento",IF(OR(E4700&gt;TODAY(),F4700&gt;TODAY()),"Verificar evento futuro","OK"))))))</f>
        <v/>
      </c>
    </row>
    <row r="4701" spans="9:12">
      <c r="I4701" s="5">
        <f>IF(OR(A4701="",B4701=""),"",B4701-WEEKDAY(B4701,2)+1)</f>
        <v/>
      </c>
      <c r="J4701" s="5">
        <f>IF(I4701="","",I4701+6)</f>
        <v/>
      </c>
      <c r="K4701" s="6">
        <f>IF(OR(A4701="",B4701=""),"",DATE(YEAR(B4701),MONTH(B4701),1))</f>
        <v/>
      </c>
      <c r="L4701" s="7">
        <f>IF(COUNTA(A4701,B4701)=0,"",IF(OR(A4701="",B4701=""),"Preencher CPF e entrada",IF(COUNTIFS($A$12:$A$5011,A4701,$B$12:$B$5011,B4701)&gt;1,"CPF + dia duplicado",IF(OR(AND(E4701&lt;&gt;"",E4701&lt;B4701),AND(F4701&lt;&gt;"",F4701&lt;B4701)),"Evento anterior à entrada",IF(AND(F4701&lt;&gt;"",E4701=""),"Conversa sem agendamento",IF(OR(E4701&gt;TODAY(),F4701&gt;TODAY()),"Verificar evento futuro","OK"))))))</f>
        <v/>
      </c>
    </row>
    <row r="4702" spans="9:12">
      <c r="I4702" s="5">
        <f>IF(OR(A4702="",B4702=""),"",B4702-WEEKDAY(B4702,2)+1)</f>
        <v/>
      </c>
      <c r="J4702" s="5">
        <f>IF(I4702="","",I4702+6)</f>
        <v/>
      </c>
      <c r="K4702" s="6">
        <f>IF(OR(A4702="",B4702=""),"",DATE(YEAR(B4702),MONTH(B4702),1))</f>
        <v/>
      </c>
      <c r="L4702" s="7">
        <f>IF(COUNTA(A4702,B4702)=0,"",IF(OR(A4702="",B4702=""),"Preencher CPF e entrada",IF(COUNTIFS($A$12:$A$5011,A4702,$B$12:$B$5011,B4702)&gt;1,"CPF + dia duplicado",IF(OR(AND(E4702&lt;&gt;"",E4702&lt;B4702),AND(F4702&lt;&gt;"",F4702&lt;B4702)),"Evento anterior à entrada",IF(AND(F4702&lt;&gt;"",E4702=""),"Conversa sem agendamento",IF(OR(E4702&gt;TODAY(),F4702&gt;TODAY()),"Verificar evento futuro","OK"))))))</f>
        <v/>
      </c>
    </row>
    <row r="4703" spans="9:12">
      <c r="I4703" s="5">
        <f>IF(OR(A4703="",B4703=""),"",B4703-WEEKDAY(B4703,2)+1)</f>
        <v/>
      </c>
      <c r="J4703" s="5">
        <f>IF(I4703="","",I4703+6)</f>
        <v/>
      </c>
      <c r="K4703" s="6">
        <f>IF(OR(A4703="",B4703=""),"",DATE(YEAR(B4703),MONTH(B4703),1))</f>
        <v/>
      </c>
      <c r="L4703" s="7">
        <f>IF(COUNTA(A4703,B4703)=0,"",IF(OR(A4703="",B4703=""),"Preencher CPF e entrada",IF(COUNTIFS($A$12:$A$5011,A4703,$B$12:$B$5011,B4703)&gt;1,"CPF + dia duplicado",IF(OR(AND(E4703&lt;&gt;"",E4703&lt;B4703),AND(F4703&lt;&gt;"",F4703&lt;B4703)),"Evento anterior à entrada",IF(AND(F4703&lt;&gt;"",E4703=""),"Conversa sem agendamento",IF(OR(E4703&gt;TODAY(),F4703&gt;TODAY()),"Verificar evento futuro","OK"))))))</f>
        <v/>
      </c>
    </row>
    <row r="4704" spans="9:12">
      <c r="I4704" s="5">
        <f>IF(OR(A4704="",B4704=""),"",B4704-WEEKDAY(B4704,2)+1)</f>
        <v/>
      </c>
      <c r="J4704" s="5">
        <f>IF(I4704="","",I4704+6)</f>
        <v/>
      </c>
      <c r="K4704" s="6">
        <f>IF(OR(A4704="",B4704=""),"",DATE(YEAR(B4704),MONTH(B4704),1))</f>
        <v/>
      </c>
      <c r="L4704" s="7">
        <f>IF(COUNTA(A4704,B4704)=0,"",IF(OR(A4704="",B4704=""),"Preencher CPF e entrada",IF(COUNTIFS($A$12:$A$5011,A4704,$B$12:$B$5011,B4704)&gt;1,"CPF + dia duplicado",IF(OR(AND(E4704&lt;&gt;"",E4704&lt;B4704),AND(F4704&lt;&gt;"",F4704&lt;B4704)),"Evento anterior à entrada",IF(AND(F4704&lt;&gt;"",E4704=""),"Conversa sem agendamento",IF(OR(E4704&gt;TODAY(),F4704&gt;TODAY()),"Verificar evento futuro","OK"))))))</f>
        <v/>
      </c>
    </row>
    <row r="4705" spans="9:12">
      <c r="I4705" s="5">
        <f>IF(OR(A4705="",B4705=""),"",B4705-WEEKDAY(B4705,2)+1)</f>
        <v/>
      </c>
      <c r="J4705" s="5">
        <f>IF(I4705="","",I4705+6)</f>
        <v/>
      </c>
      <c r="K4705" s="6">
        <f>IF(OR(A4705="",B4705=""),"",DATE(YEAR(B4705),MONTH(B4705),1))</f>
        <v/>
      </c>
      <c r="L4705" s="7">
        <f>IF(COUNTA(A4705,B4705)=0,"",IF(OR(A4705="",B4705=""),"Preencher CPF e entrada",IF(COUNTIFS($A$12:$A$5011,A4705,$B$12:$B$5011,B4705)&gt;1,"CPF + dia duplicado",IF(OR(AND(E4705&lt;&gt;"",E4705&lt;B4705),AND(F4705&lt;&gt;"",F4705&lt;B4705)),"Evento anterior à entrada",IF(AND(F4705&lt;&gt;"",E4705=""),"Conversa sem agendamento",IF(OR(E4705&gt;TODAY(),F4705&gt;TODAY()),"Verificar evento futuro","OK"))))))</f>
        <v/>
      </c>
    </row>
    <row r="4706" spans="9:12">
      <c r="I4706" s="5">
        <f>IF(OR(A4706="",B4706=""),"",B4706-WEEKDAY(B4706,2)+1)</f>
        <v/>
      </c>
      <c r="J4706" s="5">
        <f>IF(I4706="","",I4706+6)</f>
        <v/>
      </c>
      <c r="K4706" s="6">
        <f>IF(OR(A4706="",B4706=""),"",DATE(YEAR(B4706),MONTH(B4706),1))</f>
        <v/>
      </c>
      <c r="L4706" s="7">
        <f>IF(COUNTA(A4706,B4706)=0,"",IF(OR(A4706="",B4706=""),"Preencher CPF e entrada",IF(COUNTIFS($A$12:$A$5011,A4706,$B$12:$B$5011,B4706)&gt;1,"CPF + dia duplicado",IF(OR(AND(E4706&lt;&gt;"",E4706&lt;B4706),AND(F4706&lt;&gt;"",F4706&lt;B4706)),"Evento anterior à entrada",IF(AND(F4706&lt;&gt;"",E4706=""),"Conversa sem agendamento",IF(OR(E4706&gt;TODAY(),F4706&gt;TODAY()),"Verificar evento futuro","OK"))))))</f>
        <v/>
      </c>
    </row>
    <row r="4707" spans="9:12">
      <c r="I4707" s="5">
        <f>IF(OR(A4707="",B4707=""),"",B4707-WEEKDAY(B4707,2)+1)</f>
        <v/>
      </c>
      <c r="J4707" s="5">
        <f>IF(I4707="","",I4707+6)</f>
        <v/>
      </c>
      <c r="K4707" s="6">
        <f>IF(OR(A4707="",B4707=""),"",DATE(YEAR(B4707),MONTH(B4707),1))</f>
        <v/>
      </c>
      <c r="L4707" s="7">
        <f>IF(COUNTA(A4707,B4707)=0,"",IF(OR(A4707="",B4707=""),"Preencher CPF e entrada",IF(COUNTIFS($A$12:$A$5011,A4707,$B$12:$B$5011,B4707)&gt;1,"CPF + dia duplicado",IF(OR(AND(E4707&lt;&gt;"",E4707&lt;B4707),AND(F4707&lt;&gt;"",F4707&lt;B4707)),"Evento anterior à entrada",IF(AND(F4707&lt;&gt;"",E4707=""),"Conversa sem agendamento",IF(OR(E4707&gt;TODAY(),F4707&gt;TODAY()),"Verificar evento futuro","OK"))))))</f>
        <v/>
      </c>
    </row>
    <row r="4708" spans="9:12">
      <c r="I4708" s="5">
        <f>IF(OR(A4708="",B4708=""),"",B4708-WEEKDAY(B4708,2)+1)</f>
        <v/>
      </c>
      <c r="J4708" s="5">
        <f>IF(I4708="","",I4708+6)</f>
        <v/>
      </c>
      <c r="K4708" s="6">
        <f>IF(OR(A4708="",B4708=""),"",DATE(YEAR(B4708),MONTH(B4708),1))</f>
        <v/>
      </c>
      <c r="L4708" s="7">
        <f>IF(COUNTA(A4708,B4708)=0,"",IF(OR(A4708="",B4708=""),"Preencher CPF e entrada",IF(COUNTIFS($A$12:$A$5011,A4708,$B$12:$B$5011,B4708)&gt;1,"CPF + dia duplicado",IF(OR(AND(E4708&lt;&gt;"",E4708&lt;B4708),AND(F4708&lt;&gt;"",F4708&lt;B4708)),"Evento anterior à entrada",IF(AND(F4708&lt;&gt;"",E4708=""),"Conversa sem agendamento",IF(OR(E4708&gt;TODAY(),F4708&gt;TODAY()),"Verificar evento futuro","OK"))))))</f>
        <v/>
      </c>
    </row>
    <row r="4709" spans="9:12">
      <c r="I4709" s="5">
        <f>IF(OR(A4709="",B4709=""),"",B4709-WEEKDAY(B4709,2)+1)</f>
        <v/>
      </c>
      <c r="J4709" s="5">
        <f>IF(I4709="","",I4709+6)</f>
        <v/>
      </c>
      <c r="K4709" s="6">
        <f>IF(OR(A4709="",B4709=""),"",DATE(YEAR(B4709),MONTH(B4709),1))</f>
        <v/>
      </c>
      <c r="L4709" s="7">
        <f>IF(COUNTA(A4709,B4709)=0,"",IF(OR(A4709="",B4709=""),"Preencher CPF e entrada",IF(COUNTIFS($A$12:$A$5011,A4709,$B$12:$B$5011,B4709)&gt;1,"CPF + dia duplicado",IF(OR(AND(E4709&lt;&gt;"",E4709&lt;B4709),AND(F4709&lt;&gt;"",F4709&lt;B4709)),"Evento anterior à entrada",IF(AND(F4709&lt;&gt;"",E4709=""),"Conversa sem agendamento",IF(OR(E4709&gt;TODAY(),F4709&gt;TODAY()),"Verificar evento futuro","OK"))))))</f>
        <v/>
      </c>
    </row>
    <row r="4710" spans="9:12">
      <c r="I4710" s="5">
        <f>IF(OR(A4710="",B4710=""),"",B4710-WEEKDAY(B4710,2)+1)</f>
        <v/>
      </c>
      <c r="J4710" s="5">
        <f>IF(I4710="","",I4710+6)</f>
        <v/>
      </c>
      <c r="K4710" s="6">
        <f>IF(OR(A4710="",B4710=""),"",DATE(YEAR(B4710),MONTH(B4710),1))</f>
        <v/>
      </c>
      <c r="L4710" s="7">
        <f>IF(COUNTA(A4710,B4710)=0,"",IF(OR(A4710="",B4710=""),"Preencher CPF e entrada",IF(COUNTIFS($A$12:$A$5011,A4710,$B$12:$B$5011,B4710)&gt;1,"CPF + dia duplicado",IF(OR(AND(E4710&lt;&gt;"",E4710&lt;B4710),AND(F4710&lt;&gt;"",F4710&lt;B4710)),"Evento anterior à entrada",IF(AND(F4710&lt;&gt;"",E4710=""),"Conversa sem agendamento",IF(OR(E4710&gt;TODAY(),F4710&gt;TODAY()),"Verificar evento futuro","OK"))))))</f>
        <v/>
      </c>
    </row>
    <row r="4711" spans="9:12">
      <c r="I4711" s="5">
        <f>IF(OR(A4711="",B4711=""),"",B4711-WEEKDAY(B4711,2)+1)</f>
        <v/>
      </c>
      <c r="J4711" s="5">
        <f>IF(I4711="","",I4711+6)</f>
        <v/>
      </c>
      <c r="K4711" s="6">
        <f>IF(OR(A4711="",B4711=""),"",DATE(YEAR(B4711),MONTH(B4711),1))</f>
        <v/>
      </c>
      <c r="L4711" s="7">
        <f>IF(COUNTA(A4711,B4711)=0,"",IF(OR(A4711="",B4711=""),"Preencher CPF e entrada",IF(COUNTIFS($A$12:$A$5011,A4711,$B$12:$B$5011,B4711)&gt;1,"CPF + dia duplicado",IF(OR(AND(E4711&lt;&gt;"",E4711&lt;B4711),AND(F4711&lt;&gt;"",F4711&lt;B4711)),"Evento anterior à entrada",IF(AND(F4711&lt;&gt;"",E4711=""),"Conversa sem agendamento",IF(OR(E4711&gt;TODAY(),F4711&gt;TODAY()),"Verificar evento futuro","OK"))))))</f>
        <v/>
      </c>
    </row>
    <row r="4712" spans="9:12">
      <c r="I4712" s="5">
        <f>IF(OR(A4712="",B4712=""),"",B4712-WEEKDAY(B4712,2)+1)</f>
        <v/>
      </c>
      <c r="J4712" s="5">
        <f>IF(I4712="","",I4712+6)</f>
        <v/>
      </c>
      <c r="K4712" s="6">
        <f>IF(OR(A4712="",B4712=""),"",DATE(YEAR(B4712),MONTH(B4712),1))</f>
        <v/>
      </c>
      <c r="L4712" s="7">
        <f>IF(COUNTA(A4712,B4712)=0,"",IF(OR(A4712="",B4712=""),"Preencher CPF e entrada",IF(COUNTIFS($A$12:$A$5011,A4712,$B$12:$B$5011,B4712)&gt;1,"CPF + dia duplicado",IF(OR(AND(E4712&lt;&gt;"",E4712&lt;B4712),AND(F4712&lt;&gt;"",F4712&lt;B4712)),"Evento anterior à entrada",IF(AND(F4712&lt;&gt;"",E4712=""),"Conversa sem agendamento",IF(OR(E4712&gt;TODAY(),F4712&gt;TODAY()),"Verificar evento futuro","OK"))))))</f>
        <v/>
      </c>
    </row>
    <row r="4713" spans="9:12">
      <c r="I4713" s="5">
        <f>IF(OR(A4713="",B4713=""),"",B4713-WEEKDAY(B4713,2)+1)</f>
        <v/>
      </c>
      <c r="J4713" s="5">
        <f>IF(I4713="","",I4713+6)</f>
        <v/>
      </c>
      <c r="K4713" s="6">
        <f>IF(OR(A4713="",B4713=""),"",DATE(YEAR(B4713),MONTH(B4713),1))</f>
        <v/>
      </c>
      <c r="L4713" s="7">
        <f>IF(COUNTA(A4713,B4713)=0,"",IF(OR(A4713="",B4713=""),"Preencher CPF e entrada",IF(COUNTIFS($A$12:$A$5011,A4713,$B$12:$B$5011,B4713)&gt;1,"CPF + dia duplicado",IF(OR(AND(E4713&lt;&gt;"",E4713&lt;B4713),AND(F4713&lt;&gt;"",F4713&lt;B4713)),"Evento anterior à entrada",IF(AND(F4713&lt;&gt;"",E4713=""),"Conversa sem agendamento",IF(OR(E4713&gt;TODAY(),F4713&gt;TODAY()),"Verificar evento futuro","OK"))))))</f>
        <v/>
      </c>
    </row>
    <row r="4714" spans="9:12">
      <c r="I4714" s="5">
        <f>IF(OR(A4714="",B4714=""),"",B4714-WEEKDAY(B4714,2)+1)</f>
        <v/>
      </c>
      <c r="J4714" s="5">
        <f>IF(I4714="","",I4714+6)</f>
        <v/>
      </c>
      <c r="K4714" s="6">
        <f>IF(OR(A4714="",B4714=""),"",DATE(YEAR(B4714),MONTH(B4714),1))</f>
        <v/>
      </c>
      <c r="L4714" s="7">
        <f>IF(COUNTA(A4714,B4714)=0,"",IF(OR(A4714="",B4714=""),"Preencher CPF e entrada",IF(COUNTIFS($A$12:$A$5011,A4714,$B$12:$B$5011,B4714)&gt;1,"CPF + dia duplicado",IF(OR(AND(E4714&lt;&gt;"",E4714&lt;B4714),AND(F4714&lt;&gt;"",F4714&lt;B4714)),"Evento anterior à entrada",IF(AND(F4714&lt;&gt;"",E4714=""),"Conversa sem agendamento",IF(OR(E4714&gt;TODAY(),F4714&gt;TODAY()),"Verificar evento futuro","OK"))))))</f>
        <v/>
      </c>
    </row>
    <row r="4715" spans="9:12">
      <c r="I4715" s="5">
        <f>IF(OR(A4715="",B4715=""),"",B4715-WEEKDAY(B4715,2)+1)</f>
        <v/>
      </c>
      <c r="J4715" s="5">
        <f>IF(I4715="","",I4715+6)</f>
        <v/>
      </c>
      <c r="K4715" s="6">
        <f>IF(OR(A4715="",B4715=""),"",DATE(YEAR(B4715),MONTH(B4715),1))</f>
        <v/>
      </c>
      <c r="L4715" s="7">
        <f>IF(COUNTA(A4715,B4715)=0,"",IF(OR(A4715="",B4715=""),"Preencher CPF e entrada",IF(COUNTIFS($A$12:$A$5011,A4715,$B$12:$B$5011,B4715)&gt;1,"CPF + dia duplicado",IF(OR(AND(E4715&lt;&gt;"",E4715&lt;B4715),AND(F4715&lt;&gt;"",F4715&lt;B4715)),"Evento anterior à entrada",IF(AND(F4715&lt;&gt;"",E4715=""),"Conversa sem agendamento",IF(OR(E4715&gt;TODAY(),F4715&gt;TODAY()),"Verificar evento futuro","OK"))))))</f>
        <v/>
      </c>
    </row>
    <row r="4716" spans="9:12">
      <c r="I4716" s="5">
        <f>IF(OR(A4716="",B4716=""),"",B4716-WEEKDAY(B4716,2)+1)</f>
        <v/>
      </c>
      <c r="J4716" s="5">
        <f>IF(I4716="","",I4716+6)</f>
        <v/>
      </c>
      <c r="K4716" s="6">
        <f>IF(OR(A4716="",B4716=""),"",DATE(YEAR(B4716),MONTH(B4716),1))</f>
        <v/>
      </c>
      <c r="L4716" s="7">
        <f>IF(COUNTA(A4716,B4716)=0,"",IF(OR(A4716="",B4716=""),"Preencher CPF e entrada",IF(COUNTIFS($A$12:$A$5011,A4716,$B$12:$B$5011,B4716)&gt;1,"CPF + dia duplicado",IF(OR(AND(E4716&lt;&gt;"",E4716&lt;B4716),AND(F4716&lt;&gt;"",F4716&lt;B4716)),"Evento anterior à entrada",IF(AND(F4716&lt;&gt;"",E4716=""),"Conversa sem agendamento",IF(OR(E4716&gt;TODAY(),F4716&gt;TODAY()),"Verificar evento futuro","OK"))))))</f>
        <v/>
      </c>
    </row>
    <row r="4717" spans="9:12">
      <c r="I4717" s="5">
        <f>IF(OR(A4717="",B4717=""),"",B4717-WEEKDAY(B4717,2)+1)</f>
        <v/>
      </c>
      <c r="J4717" s="5">
        <f>IF(I4717="","",I4717+6)</f>
        <v/>
      </c>
      <c r="K4717" s="6">
        <f>IF(OR(A4717="",B4717=""),"",DATE(YEAR(B4717),MONTH(B4717),1))</f>
        <v/>
      </c>
      <c r="L4717" s="7">
        <f>IF(COUNTA(A4717,B4717)=0,"",IF(OR(A4717="",B4717=""),"Preencher CPF e entrada",IF(COUNTIFS($A$12:$A$5011,A4717,$B$12:$B$5011,B4717)&gt;1,"CPF + dia duplicado",IF(OR(AND(E4717&lt;&gt;"",E4717&lt;B4717),AND(F4717&lt;&gt;"",F4717&lt;B4717)),"Evento anterior à entrada",IF(AND(F4717&lt;&gt;"",E4717=""),"Conversa sem agendamento",IF(OR(E4717&gt;TODAY(),F4717&gt;TODAY()),"Verificar evento futuro","OK"))))))</f>
        <v/>
      </c>
    </row>
    <row r="4718" spans="9:12">
      <c r="I4718" s="5">
        <f>IF(OR(A4718="",B4718=""),"",B4718-WEEKDAY(B4718,2)+1)</f>
        <v/>
      </c>
      <c r="J4718" s="5">
        <f>IF(I4718="","",I4718+6)</f>
        <v/>
      </c>
      <c r="K4718" s="6">
        <f>IF(OR(A4718="",B4718=""),"",DATE(YEAR(B4718),MONTH(B4718),1))</f>
        <v/>
      </c>
      <c r="L4718" s="7">
        <f>IF(COUNTA(A4718,B4718)=0,"",IF(OR(A4718="",B4718=""),"Preencher CPF e entrada",IF(COUNTIFS($A$12:$A$5011,A4718,$B$12:$B$5011,B4718)&gt;1,"CPF + dia duplicado",IF(OR(AND(E4718&lt;&gt;"",E4718&lt;B4718),AND(F4718&lt;&gt;"",F4718&lt;B4718)),"Evento anterior à entrada",IF(AND(F4718&lt;&gt;"",E4718=""),"Conversa sem agendamento",IF(OR(E4718&gt;TODAY(),F4718&gt;TODAY()),"Verificar evento futuro","OK"))))))</f>
        <v/>
      </c>
    </row>
    <row r="4719" spans="9:12">
      <c r="I4719" s="5">
        <f>IF(OR(A4719="",B4719=""),"",B4719-WEEKDAY(B4719,2)+1)</f>
        <v/>
      </c>
      <c r="J4719" s="5">
        <f>IF(I4719="","",I4719+6)</f>
        <v/>
      </c>
      <c r="K4719" s="6">
        <f>IF(OR(A4719="",B4719=""),"",DATE(YEAR(B4719),MONTH(B4719),1))</f>
        <v/>
      </c>
      <c r="L4719" s="7">
        <f>IF(COUNTA(A4719,B4719)=0,"",IF(OR(A4719="",B4719=""),"Preencher CPF e entrada",IF(COUNTIFS($A$12:$A$5011,A4719,$B$12:$B$5011,B4719)&gt;1,"CPF + dia duplicado",IF(OR(AND(E4719&lt;&gt;"",E4719&lt;B4719),AND(F4719&lt;&gt;"",F4719&lt;B4719)),"Evento anterior à entrada",IF(AND(F4719&lt;&gt;"",E4719=""),"Conversa sem agendamento",IF(OR(E4719&gt;TODAY(),F4719&gt;TODAY()),"Verificar evento futuro","OK"))))))</f>
        <v/>
      </c>
    </row>
    <row r="4720" spans="9:12">
      <c r="I4720" s="5">
        <f>IF(OR(A4720="",B4720=""),"",B4720-WEEKDAY(B4720,2)+1)</f>
        <v/>
      </c>
      <c r="J4720" s="5">
        <f>IF(I4720="","",I4720+6)</f>
        <v/>
      </c>
      <c r="K4720" s="6">
        <f>IF(OR(A4720="",B4720=""),"",DATE(YEAR(B4720),MONTH(B4720),1))</f>
        <v/>
      </c>
      <c r="L4720" s="7">
        <f>IF(COUNTA(A4720,B4720)=0,"",IF(OR(A4720="",B4720=""),"Preencher CPF e entrada",IF(COUNTIFS($A$12:$A$5011,A4720,$B$12:$B$5011,B4720)&gt;1,"CPF + dia duplicado",IF(OR(AND(E4720&lt;&gt;"",E4720&lt;B4720),AND(F4720&lt;&gt;"",F4720&lt;B4720)),"Evento anterior à entrada",IF(AND(F4720&lt;&gt;"",E4720=""),"Conversa sem agendamento",IF(OR(E4720&gt;TODAY(),F4720&gt;TODAY()),"Verificar evento futuro","OK"))))))</f>
        <v/>
      </c>
    </row>
    <row r="4721" spans="9:12">
      <c r="I4721" s="5">
        <f>IF(OR(A4721="",B4721=""),"",B4721-WEEKDAY(B4721,2)+1)</f>
        <v/>
      </c>
      <c r="J4721" s="5">
        <f>IF(I4721="","",I4721+6)</f>
        <v/>
      </c>
      <c r="K4721" s="6">
        <f>IF(OR(A4721="",B4721=""),"",DATE(YEAR(B4721),MONTH(B4721),1))</f>
        <v/>
      </c>
      <c r="L4721" s="7">
        <f>IF(COUNTA(A4721,B4721)=0,"",IF(OR(A4721="",B4721=""),"Preencher CPF e entrada",IF(COUNTIFS($A$12:$A$5011,A4721,$B$12:$B$5011,B4721)&gt;1,"CPF + dia duplicado",IF(OR(AND(E4721&lt;&gt;"",E4721&lt;B4721),AND(F4721&lt;&gt;"",F4721&lt;B4721)),"Evento anterior à entrada",IF(AND(F4721&lt;&gt;"",E4721=""),"Conversa sem agendamento",IF(OR(E4721&gt;TODAY(),F4721&gt;TODAY()),"Verificar evento futuro","OK"))))))</f>
        <v/>
      </c>
    </row>
    <row r="4722" spans="9:12">
      <c r="I4722" s="5">
        <f>IF(OR(A4722="",B4722=""),"",B4722-WEEKDAY(B4722,2)+1)</f>
        <v/>
      </c>
      <c r="J4722" s="5">
        <f>IF(I4722="","",I4722+6)</f>
        <v/>
      </c>
      <c r="K4722" s="6">
        <f>IF(OR(A4722="",B4722=""),"",DATE(YEAR(B4722),MONTH(B4722),1))</f>
        <v/>
      </c>
      <c r="L4722" s="7">
        <f>IF(COUNTA(A4722,B4722)=0,"",IF(OR(A4722="",B4722=""),"Preencher CPF e entrada",IF(COUNTIFS($A$12:$A$5011,A4722,$B$12:$B$5011,B4722)&gt;1,"CPF + dia duplicado",IF(OR(AND(E4722&lt;&gt;"",E4722&lt;B4722),AND(F4722&lt;&gt;"",F4722&lt;B4722)),"Evento anterior à entrada",IF(AND(F4722&lt;&gt;"",E4722=""),"Conversa sem agendamento",IF(OR(E4722&gt;TODAY(),F4722&gt;TODAY()),"Verificar evento futuro","OK"))))))</f>
        <v/>
      </c>
    </row>
    <row r="4723" spans="9:12">
      <c r="I4723" s="5">
        <f>IF(OR(A4723="",B4723=""),"",B4723-WEEKDAY(B4723,2)+1)</f>
        <v/>
      </c>
      <c r="J4723" s="5">
        <f>IF(I4723="","",I4723+6)</f>
        <v/>
      </c>
      <c r="K4723" s="6">
        <f>IF(OR(A4723="",B4723=""),"",DATE(YEAR(B4723),MONTH(B4723),1))</f>
        <v/>
      </c>
      <c r="L4723" s="7">
        <f>IF(COUNTA(A4723,B4723)=0,"",IF(OR(A4723="",B4723=""),"Preencher CPF e entrada",IF(COUNTIFS($A$12:$A$5011,A4723,$B$12:$B$5011,B4723)&gt;1,"CPF + dia duplicado",IF(OR(AND(E4723&lt;&gt;"",E4723&lt;B4723),AND(F4723&lt;&gt;"",F4723&lt;B4723)),"Evento anterior à entrada",IF(AND(F4723&lt;&gt;"",E4723=""),"Conversa sem agendamento",IF(OR(E4723&gt;TODAY(),F4723&gt;TODAY()),"Verificar evento futuro","OK"))))))</f>
        <v/>
      </c>
    </row>
    <row r="4724" spans="9:12">
      <c r="I4724" s="5">
        <f>IF(OR(A4724="",B4724=""),"",B4724-WEEKDAY(B4724,2)+1)</f>
        <v/>
      </c>
      <c r="J4724" s="5">
        <f>IF(I4724="","",I4724+6)</f>
        <v/>
      </c>
      <c r="K4724" s="6">
        <f>IF(OR(A4724="",B4724=""),"",DATE(YEAR(B4724),MONTH(B4724),1))</f>
        <v/>
      </c>
      <c r="L4724" s="7">
        <f>IF(COUNTA(A4724,B4724)=0,"",IF(OR(A4724="",B4724=""),"Preencher CPF e entrada",IF(COUNTIFS($A$12:$A$5011,A4724,$B$12:$B$5011,B4724)&gt;1,"CPF + dia duplicado",IF(OR(AND(E4724&lt;&gt;"",E4724&lt;B4724),AND(F4724&lt;&gt;"",F4724&lt;B4724)),"Evento anterior à entrada",IF(AND(F4724&lt;&gt;"",E4724=""),"Conversa sem agendamento",IF(OR(E4724&gt;TODAY(),F4724&gt;TODAY()),"Verificar evento futuro","OK"))))))</f>
        <v/>
      </c>
    </row>
    <row r="4725" spans="9:12">
      <c r="I4725" s="5">
        <f>IF(OR(A4725="",B4725=""),"",B4725-WEEKDAY(B4725,2)+1)</f>
        <v/>
      </c>
      <c r="J4725" s="5">
        <f>IF(I4725="","",I4725+6)</f>
        <v/>
      </c>
      <c r="K4725" s="6">
        <f>IF(OR(A4725="",B4725=""),"",DATE(YEAR(B4725),MONTH(B4725),1))</f>
        <v/>
      </c>
      <c r="L4725" s="7">
        <f>IF(COUNTA(A4725,B4725)=0,"",IF(OR(A4725="",B4725=""),"Preencher CPF e entrada",IF(COUNTIFS($A$12:$A$5011,A4725,$B$12:$B$5011,B4725)&gt;1,"CPF + dia duplicado",IF(OR(AND(E4725&lt;&gt;"",E4725&lt;B4725),AND(F4725&lt;&gt;"",F4725&lt;B4725)),"Evento anterior à entrada",IF(AND(F4725&lt;&gt;"",E4725=""),"Conversa sem agendamento",IF(OR(E4725&gt;TODAY(),F4725&gt;TODAY()),"Verificar evento futuro","OK"))))))</f>
        <v/>
      </c>
    </row>
    <row r="4726" spans="9:12">
      <c r="I4726" s="5">
        <f>IF(OR(A4726="",B4726=""),"",B4726-WEEKDAY(B4726,2)+1)</f>
        <v/>
      </c>
      <c r="J4726" s="5">
        <f>IF(I4726="","",I4726+6)</f>
        <v/>
      </c>
      <c r="K4726" s="6">
        <f>IF(OR(A4726="",B4726=""),"",DATE(YEAR(B4726),MONTH(B4726),1))</f>
        <v/>
      </c>
      <c r="L4726" s="7">
        <f>IF(COUNTA(A4726,B4726)=0,"",IF(OR(A4726="",B4726=""),"Preencher CPF e entrada",IF(COUNTIFS($A$12:$A$5011,A4726,$B$12:$B$5011,B4726)&gt;1,"CPF + dia duplicado",IF(OR(AND(E4726&lt;&gt;"",E4726&lt;B4726),AND(F4726&lt;&gt;"",F4726&lt;B4726)),"Evento anterior à entrada",IF(AND(F4726&lt;&gt;"",E4726=""),"Conversa sem agendamento",IF(OR(E4726&gt;TODAY(),F4726&gt;TODAY()),"Verificar evento futuro","OK"))))))</f>
        <v/>
      </c>
    </row>
    <row r="4727" spans="9:12">
      <c r="I4727" s="5">
        <f>IF(OR(A4727="",B4727=""),"",B4727-WEEKDAY(B4727,2)+1)</f>
        <v/>
      </c>
      <c r="J4727" s="5">
        <f>IF(I4727="","",I4727+6)</f>
        <v/>
      </c>
      <c r="K4727" s="6">
        <f>IF(OR(A4727="",B4727=""),"",DATE(YEAR(B4727),MONTH(B4727),1))</f>
        <v/>
      </c>
      <c r="L4727" s="7">
        <f>IF(COUNTA(A4727,B4727)=0,"",IF(OR(A4727="",B4727=""),"Preencher CPF e entrada",IF(COUNTIFS($A$12:$A$5011,A4727,$B$12:$B$5011,B4727)&gt;1,"CPF + dia duplicado",IF(OR(AND(E4727&lt;&gt;"",E4727&lt;B4727),AND(F4727&lt;&gt;"",F4727&lt;B4727)),"Evento anterior à entrada",IF(AND(F4727&lt;&gt;"",E4727=""),"Conversa sem agendamento",IF(OR(E4727&gt;TODAY(),F4727&gt;TODAY()),"Verificar evento futuro","OK"))))))</f>
        <v/>
      </c>
    </row>
    <row r="4728" spans="9:12">
      <c r="I4728" s="5">
        <f>IF(OR(A4728="",B4728=""),"",B4728-WEEKDAY(B4728,2)+1)</f>
        <v/>
      </c>
      <c r="J4728" s="5">
        <f>IF(I4728="","",I4728+6)</f>
        <v/>
      </c>
      <c r="K4728" s="6">
        <f>IF(OR(A4728="",B4728=""),"",DATE(YEAR(B4728),MONTH(B4728),1))</f>
        <v/>
      </c>
      <c r="L4728" s="7">
        <f>IF(COUNTA(A4728,B4728)=0,"",IF(OR(A4728="",B4728=""),"Preencher CPF e entrada",IF(COUNTIFS($A$12:$A$5011,A4728,$B$12:$B$5011,B4728)&gt;1,"CPF + dia duplicado",IF(OR(AND(E4728&lt;&gt;"",E4728&lt;B4728),AND(F4728&lt;&gt;"",F4728&lt;B4728)),"Evento anterior à entrada",IF(AND(F4728&lt;&gt;"",E4728=""),"Conversa sem agendamento",IF(OR(E4728&gt;TODAY(),F4728&gt;TODAY()),"Verificar evento futuro","OK"))))))</f>
        <v/>
      </c>
    </row>
    <row r="4729" spans="9:12">
      <c r="I4729" s="5">
        <f>IF(OR(A4729="",B4729=""),"",B4729-WEEKDAY(B4729,2)+1)</f>
        <v/>
      </c>
      <c r="J4729" s="5">
        <f>IF(I4729="","",I4729+6)</f>
        <v/>
      </c>
      <c r="K4729" s="6">
        <f>IF(OR(A4729="",B4729=""),"",DATE(YEAR(B4729),MONTH(B4729),1))</f>
        <v/>
      </c>
      <c r="L4729" s="7">
        <f>IF(COUNTA(A4729,B4729)=0,"",IF(OR(A4729="",B4729=""),"Preencher CPF e entrada",IF(COUNTIFS($A$12:$A$5011,A4729,$B$12:$B$5011,B4729)&gt;1,"CPF + dia duplicado",IF(OR(AND(E4729&lt;&gt;"",E4729&lt;B4729),AND(F4729&lt;&gt;"",F4729&lt;B4729)),"Evento anterior à entrada",IF(AND(F4729&lt;&gt;"",E4729=""),"Conversa sem agendamento",IF(OR(E4729&gt;TODAY(),F4729&gt;TODAY()),"Verificar evento futuro","OK"))))))</f>
        <v/>
      </c>
    </row>
    <row r="4730" spans="9:12">
      <c r="I4730" s="5">
        <f>IF(OR(A4730="",B4730=""),"",B4730-WEEKDAY(B4730,2)+1)</f>
        <v/>
      </c>
      <c r="J4730" s="5">
        <f>IF(I4730="","",I4730+6)</f>
        <v/>
      </c>
      <c r="K4730" s="6">
        <f>IF(OR(A4730="",B4730=""),"",DATE(YEAR(B4730),MONTH(B4730),1))</f>
        <v/>
      </c>
      <c r="L4730" s="7">
        <f>IF(COUNTA(A4730,B4730)=0,"",IF(OR(A4730="",B4730=""),"Preencher CPF e entrada",IF(COUNTIFS($A$12:$A$5011,A4730,$B$12:$B$5011,B4730)&gt;1,"CPF + dia duplicado",IF(OR(AND(E4730&lt;&gt;"",E4730&lt;B4730),AND(F4730&lt;&gt;"",F4730&lt;B4730)),"Evento anterior à entrada",IF(AND(F4730&lt;&gt;"",E4730=""),"Conversa sem agendamento",IF(OR(E4730&gt;TODAY(),F4730&gt;TODAY()),"Verificar evento futuro","OK"))))))</f>
        <v/>
      </c>
    </row>
    <row r="4731" spans="9:12">
      <c r="I4731" s="5">
        <f>IF(OR(A4731="",B4731=""),"",B4731-WEEKDAY(B4731,2)+1)</f>
        <v/>
      </c>
      <c r="J4731" s="5">
        <f>IF(I4731="","",I4731+6)</f>
        <v/>
      </c>
      <c r="K4731" s="6">
        <f>IF(OR(A4731="",B4731=""),"",DATE(YEAR(B4731),MONTH(B4731),1))</f>
        <v/>
      </c>
      <c r="L4731" s="7">
        <f>IF(COUNTA(A4731,B4731)=0,"",IF(OR(A4731="",B4731=""),"Preencher CPF e entrada",IF(COUNTIFS($A$12:$A$5011,A4731,$B$12:$B$5011,B4731)&gt;1,"CPF + dia duplicado",IF(OR(AND(E4731&lt;&gt;"",E4731&lt;B4731),AND(F4731&lt;&gt;"",F4731&lt;B4731)),"Evento anterior à entrada",IF(AND(F4731&lt;&gt;"",E4731=""),"Conversa sem agendamento",IF(OR(E4731&gt;TODAY(),F4731&gt;TODAY()),"Verificar evento futuro","OK"))))))</f>
        <v/>
      </c>
    </row>
    <row r="4732" spans="9:12">
      <c r="I4732" s="5">
        <f>IF(OR(A4732="",B4732=""),"",B4732-WEEKDAY(B4732,2)+1)</f>
        <v/>
      </c>
      <c r="J4732" s="5">
        <f>IF(I4732="","",I4732+6)</f>
        <v/>
      </c>
      <c r="K4732" s="6">
        <f>IF(OR(A4732="",B4732=""),"",DATE(YEAR(B4732),MONTH(B4732),1))</f>
        <v/>
      </c>
      <c r="L4732" s="7">
        <f>IF(COUNTA(A4732,B4732)=0,"",IF(OR(A4732="",B4732=""),"Preencher CPF e entrada",IF(COUNTIFS($A$12:$A$5011,A4732,$B$12:$B$5011,B4732)&gt;1,"CPF + dia duplicado",IF(OR(AND(E4732&lt;&gt;"",E4732&lt;B4732),AND(F4732&lt;&gt;"",F4732&lt;B4732)),"Evento anterior à entrada",IF(AND(F4732&lt;&gt;"",E4732=""),"Conversa sem agendamento",IF(OR(E4732&gt;TODAY(),F4732&gt;TODAY()),"Verificar evento futuro","OK"))))))</f>
        <v/>
      </c>
    </row>
    <row r="4733" spans="9:12">
      <c r="I4733" s="5">
        <f>IF(OR(A4733="",B4733=""),"",B4733-WEEKDAY(B4733,2)+1)</f>
        <v/>
      </c>
      <c r="J4733" s="5">
        <f>IF(I4733="","",I4733+6)</f>
        <v/>
      </c>
      <c r="K4733" s="6">
        <f>IF(OR(A4733="",B4733=""),"",DATE(YEAR(B4733),MONTH(B4733),1))</f>
        <v/>
      </c>
      <c r="L4733" s="7">
        <f>IF(COUNTA(A4733,B4733)=0,"",IF(OR(A4733="",B4733=""),"Preencher CPF e entrada",IF(COUNTIFS($A$12:$A$5011,A4733,$B$12:$B$5011,B4733)&gt;1,"CPF + dia duplicado",IF(OR(AND(E4733&lt;&gt;"",E4733&lt;B4733),AND(F4733&lt;&gt;"",F4733&lt;B4733)),"Evento anterior à entrada",IF(AND(F4733&lt;&gt;"",E4733=""),"Conversa sem agendamento",IF(OR(E4733&gt;TODAY(),F4733&gt;TODAY()),"Verificar evento futuro","OK"))))))</f>
        <v/>
      </c>
    </row>
    <row r="4734" spans="9:12">
      <c r="I4734" s="5">
        <f>IF(OR(A4734="",B4734=""),"",B4734-WEEKDAY(B4734,2)+1)</f>
        <v/>
      </c>
      <c r="J4734" s="5">
        <f>IF(I4734="","",I4734+6)</f>
        <v/>
      </c>
      <c r="K4734" s="6">
        <f>IF(OR(A4734="",B4734=""),"",DATE(YEAR(B4734),MONTH(B4734),1))</f>
        <v/>
      </c>
      <c r="L4734" s="7">
        <f>IF(COUNTA(A4734,B4734)=0,"",IF(OR(A4734="",B4734=""),"Preencher CPF e entrada",IF(COUNTIFS($A$12:$A$5011,A4734,$B$12:$B$5011,B4734)&gt;1,"CPF + dia duplicado",IF(OR(AND(E4734&lt;&gt;"",E4734&lt;B4734),AND(F4734&lt;&gt;"",F4734&lt;B4734)),"Evento anterior à entrada",IF(AND(F4734&lt;&gt;"",E4734=""),"Conversa sem agendamento",IF(OR(E4734&gt;TODAY(),F4734&gt;TODAY()),"Verificar evento futuro","OK"))))))</f>
        <v/>
      </c>
    </row>
    <row r="4735" spans="9:12">
      <c r="I4735" s="5">
        <f>IF(OR(A4735="",B4735=""),"",B4735-WEEKDAY(B4735,2)+1)</f>
        <v/>
      </c>
      <c r="J4735" s="5">
        <f>IF(I4735="","",I4735+6)</f>
        <v/>
      </c>
      <c r="K4735" s="6">
        <f>IF(OR(A4735="",B4735=""),"",DATE(YEAR(B4735),MONTH(B4735),1))</f>
        <v/>
      </c>
      <c r="L4735" s="7">
        <f>IF(COUNTA(A4735,B4735)=0,"",IF(OR(A4735="",B4735=""),"Preencher CPF e entrada",IF(COUNTIFS($A$12:$A$5011,A4735,$B$12:$B$5011,B4735)&gt;1,"CPF + dia duplicado",IF(OR(AND(E4735&lt;&gt;"",E4735&lt;B4735),AND(F4735&lt;&gt;"",F4735&lt;B4735)),"Evento anterior à entrada",IF(AND(F4735&lt;&gt;"",E4735=""),"Conversa sem agendamento",IF(OR(E4735&gt;TODAY(),F4735&gt;TODAY()),"Verificar evento futuro","OK"))))))</f>
        <v/>
      </c>
    </row>
    <row r="4736" spans="9:12">
      <c r="I4736" s="5">
        <f>IF(OR(A4736="",B4736=""),"",B4736-WEEKDAY(B4736,2)+1)</f>
        <v/>
      </c>
      <c r="J4736" s="5">
        <f>IF(I4736="","",I4736+6)</f>
        <v/>
      </c>
      <c r="K4736" s="6">
        <f>IF(OR(A4736="",B4736=""),"",DATE(YEAR(B4736),MONTH(B4736),1))</f>
        <v/>
      </c>
      <c r="L4736" s="7">
        <f>IF(COUNTA(A4736,B4736)=0,"",IF(OR(A4736="",B4736=""),"Preencher CPF e entrada",IF(COUNTIFS($A$12:$A$5011,A4736,$B$12:$B$5011,B4736)&gt;1,"CPF + dia duplicado",IF(OR(AND(E4736&lt;&gt;"",E4736&lt;B4736),AND(F4736&lt;&gt;"",F4736&lt;B4736)),"Evento anterior à entrada",IF(AND(F4736&lt;&gt;"",E4736=""),"Conversa sem agendamento",IF(OR(E4736&gt;TODAY(),F4736&gt;TODAY()),"Verificar evento futuro","OK"))))))</f>
        <v/>
      </c>
    </row>
    <row r="4737" spans="9:12">
      <c r="I4737" s="5">
        <f>IF(OR(A4737="",B4737=""),"",B4737-WEEKDAY(B4737,2)+1)</f>
        <v/>
      </c>
      <c r="J4737" s="5">
        <f>IF(I4737="","",I4737+6)</f>
        <v/>
      </c>
      <c r="K4737" s="6">
        <f>IF(OR(A4737="",B4737=""),"",DATE(YEAR(B4737),MONTH(B4737),1))</f>
        <v/>
      </c>
      <c r="L4737" s="7">
        <f>IF(COUNTA(A4737,B4737)=0,"",IF(OR(A4737="",B4737=""),"Preencher CPF e entrada",IF(COUNTIFS($A$12:$A$5011,A4737,$B$12:$B$5011,B4737)&gt;1,"CPF + dia duplicado",IF(OR(AND(E4737&lt;&gt;"",E4737&lt;B4737),AND(F4737&lt;&gt;"",F4737&lt;B4737)),"Evento anterior à entrada",IF(AND(F4737&lt;&gt;"",E4737=""),"Conversa sem agendamento",IF(OR(E4737&gt;TODAY(),F4737&gt;TODAY()),"Verificar evento futuro","OK"))))))</f>
        <v/>
      </c>
    </row>
    <row r="4738" spans="9:12">
      <c r="I4738" s="5">
        <f>IF(OR(A4738="",B4738=""),"",B4738-WEEKDAY(B4738,2)+1)</f>
        <v/>
      </c>
      <c r="J4738" s="5">
        <f>IF(I4738="","",I4738+6)</f>
        <v/>
      </c>
      <c r="K4738" s="6">
        <f>IF(OR(A4738="",B4738=""),"",DATE(YEAR(B4738),MONTH(B4738),1))</f>
        <v/>
      </c>
      <c r="L4738" s="7">
        <f>IF(COUNTA(A4738,B4738)=0,"",IF(OR(A4738="",B4738=""),"Preencher CPF e entrada",IF(COUNTIFS($A$12:$A$5011,A4738,$B$12:$B$5011,B4738)&gt;1,"CPF + dia duplicado",IF(OR(AND(E4738&lt;&gt;"",E4738&lt;B4738),AND(F4738&lt;&gt;"",F4738&lt;B4738)),"Evento anterior à entrada",IF(AND(F4738&lt;&gt;"",E4738=""),"Conversa sem agendamento",IF(OR(E4738&gt;TODAY(),F4738&gt;TODAY()),"Verificar evento futuro","OK"))))))</f>
        <v/>
      </c>
    </row>
    <row r="4739" spans="9:12">
      <c r="I4739" s="5">
        <f>IF(OR(A4739="",B4739=""),"",B4739-WEEKDAY(B4739,2)+1)</f>
        <v/>
      </c>
      <c r="J4739" s="5">
        <f>IF(I4739="","",I4739+6)</f>
        <v/>
      </c>
      <c r="K4739" s="6">
        <f>IF(OR(A4739="",B4739=""),"",DATE(YEAR(B4739),MONTH(B4739),1))</f>
        <v/>
      </c>
      <c r="L4739" s="7">
        <f>IF(COUNTA(A4739,B4739)=0,"",IF(OR(A4739="",B4739=""),"Preencher CPF e entrada",IF(COUNTIFS($A$12:$A$5011,A4739,$B$12:$B$5011,B4739)&gt;1,"CPF + dia duplicado",IF(OR(AND(E4739&lt;&gt;"",E4739&lt;B4739),AND(F4739&lt;&gt;"",F4739&lt;B4739)),"Evento anterior à entrada",IF(AND(F4739&lt;&gt;"",E4739=""),"Conversa sem agendamento",IF(OR(E4739&gt;TODAY(),F4739&gt;TODAY()),"Verificar evento futuro","OK"))))))</f>
        <v/>
      </c>
    </row>
    <row r="4740" spans="9:12">
      <c r="I4740" s="5">
        <f>IF(OR(A4740="",B4740=""),"",B4740-WEEKDAY(B4740,2)+1)</f>
        <v/>
      </c>
      <c r="J4740" s="5">
        <f>IF(I4740="","",I4740+6)</f>
        <v/>
      </c>
      <c r="K4740" s="6">
        <f>IF(OR(A4740="",B4740=""),"",DATE(YEAR(B4740),MONTH(B4740),1))</f>
        <v/>
      </c>
      <c r="L4740" s="7">
        <f>IF(COUNTA(A4740,B4740)=0,"",IF(OR(A4740="",B4740=""),"Preencher CPF e entrada",IF(COUNTIFS($A$12:$A$5011,A4740,$B$12:$B$5011,B4740)&gt;1,"CPF + dia duplicado",IF(OR(AND(E4740&lt;&gt;"",E4740&lt;B4740),AND(F4740&lt;&gt;"",F4740&lt;B4740)),"Evento anterior à entrada",IF(AND(F4740&lt;&gt;"",E4740=""),"Conversa sem agendamento",IF(OR(E4740&gt;TODAY(),F4740&gt;TODAY()),"Verificar evento futuro","OK"))))))</f>
        <v/>
      </c>
    </row>
    <row r="4741" spans="9:12">
      <c r="I4741" s="5">
        <f>IF(OR(A4741="",B4741=""),"",B4741-WEEKDAY(B4741,2)+1)</f>
        <v/>
      </c>
      <c r="J4741" s="5">
        <f>IF(I4741="","",I4741+6)</f>
        <v/>
      </c>
      <c r="K4741" s="6">
        <f>IF(OR(A4741="",B4741=""),"",DATE(YEAR(B4741),MONTH(B4741),1))</f>
        <v/>
      </c>
      <c r="L4741" s="7">
        <f>IF(COUNTA(A4741,B4741)=0,"",IF(OR(A4741="",B4741=""),"Preencher CPF e entrada",IF(COUNTIFS($A$12:$A$5011,A4741,$B$12:$B$5011,B4741)&gt;1,"CPF + dia duplicado",IF(OR(AND(E4741&lt;&gt;"",E4741&lt;B4741),AND(F4741&lt;&gt;"",F4741&lt;B4741)),"Evento anterior à entrada",IF(AND(F4741&lt;&gt;"",E4741=""),"Conversa sem agendamento",IF(OR(E4741&gt;TODAY(),F4741&gt;TODAY()),"Verificar evento futuro","OK"))))))</f>
        <v/>
      </c>
    </row>
    <row r="4742" spans="9:12">
      <c r="I4742" s="5">
        <f>IF(OR(A4742="",B4742=""),"",B4742-WEEKDAY(B4742,2)+1)</f>
        <v/>
      </c>
      <c r="J4742" s="5">
        <f>IF(I4742="","",I4742+6)</f>
        <v/>
      </c>
      <c r="K4742" s="6">
        <f>IF(OR(A4742="",B4742=""),"",DATE(YEAR(B4742),MONTH(B4742),1))</f>
        <v/>
      </c>
      <c r="L4742" s="7">
        <f>IF(COUNTA(A4742,B4742)=0,"",IF(OR(A4742="",B4742=""),"Preencher CPF e entrada",IF(COUNTIFS($A$12:$A$5011,A4742,$B$12:$B$5011,B4742)&gt;1,"CPF + dia duplicado",IF(OR(AND(E4742&lt;&gt;"",E4742&lt;B4742),AND(F4742&lt;&gt;"",F4742&lt;B4742)),"Evento anterior à entrada",IF(AND(F4742&lt;&gt;"",E4742=""),"Conversa sem agendamento",IF(OR(E4742&gt;TODAY(),F4742&gt;TODAY()),"Verificar evento futuro","OK"))))))</f>
        <v/>
      </c>
    </row>
    <row r="4743" spans="9:12">
      <c r="I4743" s="5">
        <f>IF(OR(A4743="",B4743=""),"",B4743-WEEKDAY(B4743,2)+1)</f>
        <v/>
      </c>
      <c r="J4743" s="5">
        <f>IF(I4743="","",I4743+6)</f>
        <v/>
      </c>
      <c r="K4743" s="6">
        <f>IF(OR(A4743="",B4743=""),"",DATE(YEAR(B4743),MONTH(B4743),1))</f>
        <v/>
      </c>
      <c r="L4743" s="7">
        <f>IF(COUNTA(A4743,B4743)=0,"",IF(OR(A4743="",B4743=""),"Preencher CPF e entrada",IF(COUNTIFS($A$12:$A$5011,A4743,$B$12:$B$5011,B4743)&gt;1,"CPF + dia duplicado",IF(OR(AND(E4743&lt;&gt;"",E4743&lt;B4743),AND(F4743&lt;&gt;"",F4743&lt;B4743)),"Evento anterior à entrada",IF(AND(F4743&lt;&gt;"",E4743=""),"Conversa sem agendamento",IF(OR(E4743&gt;TODAY(),F4743&gt;TODAY()),"Verificar evento futuro","OK"))))))</f>
        <v/>
      </c>
    </row>
    <row r="4744" spans="9:12">
      <c r="I4744" s="5">
        <f>IF(OR(A4744="",B4744=""),"",B4744-WEEKDAY(B4744,2)+1)</f>
        <v/>
      </c>
      <c r="J4744" s="5">
        <f>IF(I4744="","",I4744+6)</f>
        <v/>
      </c>
      <c r="K4744" s="6">
        <f>IF(OR(A4744="",B4744=""),"",DATE(YEAR(B4744),MONTH(B4744),1))</f>
        <v/>
      </c>
      <c r="L4744" s="7">
        <f>IF(COUNTA(A4744,B4744)=0,"",IF(OR(A4744="",B4744=""),"Preencher CPF e entrada",IF(COUNTIFS($A$12:$A$5011,A4744,$B$12:$B$5011,B4744)&gt;1,"CPF + dia duplicado",IF(OR(AND(E4744&lt;&gt;"",E4744&lt;B4744),AND(F4744&lt;&gt;"",F4744&lt;B4744)),"Evento anterior à entrada",IF(AND(F4744&lt;&gt;"",E4744=""),"Conversa sem agendamento",IF(OR(E4744&gt;TODAY(),F4744&gt;TODAY()),"Verificar evento futuro","OK"))))))</f>
        <v/>
      </c>
    </row>
    <row r="4745" spans="9:12">
      <c r="I4745" s="5">
        <f>IF(OR(A4745="",B4745=""),"",B4745-WEEKDAY(B4745,2)+1)</f>
        <v/>
      </c>
      <c r="J4745" s="5">
        <f>IF(I4745="","",I4745+6)</f>
        <v/>
      </c>
      <c r="K4745" s="6">
        <f>IF(OR(A4745="",B4745=""),"",DATE(YEAR(B4745),MONTH(B4745),1))</f>
        <v/>
      </c>
      <c r="L4745" s="7">
        <f>IF(COUNTA(A4745,B4745)=0,"",IF(OR(A4745="",B4745=""),"Preencher CPF e entrada",IF(COUNTIFS($A$12:$A$5011,A4745,$B$12:$B$5011,B4745)&gt;1,"CPF + dia duplicado",IF(OR(AND(E4745&lt;&gt;"",E4745&lt;B4745),AND(F4745&lt;&gt;"",F4745&lt;B4745)),"Evento anterior à entrada",IF(AND(F4745&lt;&gt;"",E4745=""),"Conversa sem agendamento",IF(OR(E4745&gt;TODAY(),F4745&gt;TODAY()),"Verificar evento futuro","OK"))))))</f>
        <v/>
      </c>
    </row>
    <row r="4746" spans="9:12">
      <c r="I4746" s="5">
        <f>IF(OR(A4746="",B4746=""),"",B4746-WEEKDAY(B4746,2)+1)</f>
        <v/>
      </c>
      <c r="J4746" s="5">
        <f>IF(I4746="","",I4746+6)</f>
        <v/>
      </c>
      <c r="K4746" s="6">
        <f>IF(OR(A4746="",B4746=""),"",DATE(YEAR(B4746),MONTH(B4746),1))</f>
        <v/>
      </c>
      <c r="L4746" s="7">
        <f>IF(COUNTA(A4746,B4746)=0,"",IF(OR(A4746="",B4746=""),"Preencher CPF e entrada",IF(COUNTIFS($A$12:$A$5011,A4746,$B$12:$B$5011,B4746)&gt;1,"CPF + dia duplicado",IF(OR(AND(E4746&lt;&gt;"",E4746&lt;B4746),AND(F4746&lt;&gt;"",F4746&lt;B4746)),"Evento anterior à entrada",IF(AND(F4746&lt;&gt;"",E4746=""),"Conversa sem agendamento",IF(OR(E4746&gt;TODAY(),F4746&gt;TODAY()),"Verificar evento futuro","OK"))))))</f>
        <v/>
      </c>
    </row>
    <row r="4747" spans="9:12">
      <c r="I4747" s="5">
        <f>IF(OR(A4747="",B4747=""),"",B4747-WEEKDAY(B4747,2)+1)</f>
        <v/>
      </c>
      <c r="J4747" s="5">
        <f>IF(I4747="","",I4747+6)</f>
        <v/>
      </c>
      <c r="K4747" s="6">
        <f>IF(OR(A4747="",B4747=""),"",DATE(YEAR(B4747),MONTH(B4747),1))</f>
        <v/>
      </c>
      <c r="L4747" s="7">
        <f>IF(COUNTA(A4747,B4747)=0,"",IF(OR(A4747="",B4747=""),"Preencher CPF e entrada",IF(COUNTIFS($A$12:$A$5011,A4747,$B$12:$B$5011,B4747)&gt;1,"CPF + dia duplicado",IF(OR(AND(E4747&lt;&gt;"",E4747&lt;B4747),AND(F4747&lt;&gt;"",F4747&lt;B4747)),"Evento anterior à entrada",IF(AND(F4747&lt;&gt;"",E4747=""),"Conversa sem agendamento",IF(OR(E4747&gt;TODAY(),F4747&gt;TODAY()),"Verificar evento futuro","OK"))))))</f>
        <v/>
      </c>
    </row>
    <row r="4748" spans="9:12">
      <c r="I4748" s="5">
        <f>IF(OR(A4748="",B4748=""),"",B4748-WEEKDAY(B4748,2)+1)</f>
        <v/>
      </c>
      <c r="J4748" s="5">
        <f>IF(I4748="","",I4748+6)</f>
        <v/>
      </c>
      <c r="K4748" s="6">
        <f>IF(OR(A4748="",B4748=""),"",DATE(YEAR(B4748),MONTH(B4748),1))</f>
        <v/>
      </c>
      <c r="L4748" s="7">
        <f>IF(COUNTA(A4748,B4748)=0,"",IF(OR(A4748="",B4748=""),"Preencher CPF e entrada",IF(COUNTIFS($A$12:$A$5011,A4748,$B$12:$B$5011,B4748)&gt;1,"CPF + dia duplicado",IF(OR(AND(E4748&lt;&gt;"",E4748&lt;B4748),AND(F4748&lt;&gt;"",F4748&lt;B4748)),"Evento anterior à entrada",IF(AND(F4748&lt;&gt;"",E4748=""),"Conversa sem agendamento",IF(OR(E4748&gt;TODAY(),F4748&gt;TODAY()),"Verificar evento futuro","OK"))))))</f>
        <v/>
      </c>
    </row>
    <row r="4749" spans="9:12">
      <c r="I4749" s="5">
        <f>IF(OR(A4749="",B4749=""),"",B4749-WEEKDAY(B4749,2)+1)</f>
        <v/>
      </c>
      <c r="J4749" s="5">
        <f>IF(I4749="","",I4749+6)</f>
        <v/>
      </c>
      <c r="K4749" s="6">
        <f>IF(OR(A4749="",B4749=""),"",DATE(YEAR(B4749),MONTH(B4749),1))</f>
        <v/>
      </c>
      <c r="L4749" s="7">
        <f>IF(COUNTA(A4749,B4749)=0,"",IF(OR(A4749="",B4749=""),"Preencher CPF e entrada",IF(COUNTIFS($A$12:$A$5011,A4749,$B$12:$B$5011,B4749)&gt;1,"CPF + dia duplicado",IF(OR(AND(E4749&lt;&gt;"",E4749&lt;B4749),AND(F4749&lt;&gt;"",F4749&lt;B4749)),"Evento anterior à entrada",IF(AND(F4749&lt;&gt;"",E4749=""),"Conversa sem agendamento",IF(OR(E4749&gt;TODAY(),F4749&gt;TODAY()),"Verificar evento futuro","OK"))))))</f>
        <v/>
      </c>
    </row>
    <row r="4750" spans="9:12">
      <c r="I4750" s="5">
        <f>IF(OR(A4750="",B4750=""),"",B4750-WEEKDAY(B4750,2)+1)</f>
        <v/>
      </c>
      <c r="J4750" s="5">
        <f>IF(I4750="","",I4750+6)</f>
        <v/>
      </c>
      <c r="K4750" s="6">
        <f>IF(OR(A4750="",B4750=""),"",DATE(YEAR(B4750),MONTH(B4750),1))</f>
        <v/>
      </c>
      <c r="L4750" s="7">
        <f>IF(COUNTA(A4750,B4750)=0,"",IF(OR(A4750="",B4750=""),"Preencher CPF e entrada",IF(COUNTIFS($A$12:$A$5011,A4750,$B$12:$B$5011,B4750)&gt;1,"CPF + dia duplicado",IF(OR(AND(E4750&lt;&gt;"",E4750&lt;B4750),AND(F4750&lt;&gt;"",F4750&lt;B4750)),"Evento anterior à entrada",IF(AND(F4750&lt;&gt;"",E4750=""),"Conversa sem agendamento",IF(OR(E4750&gt;TODAY(),F4750&gt;TODAY()),"Verificar evento futuro","OK"))))))</f>
        <v/>
      </c>
    </row>
    <row r="4751" spans="9:12">
      <c r="I4751" s="5">
        <f>IF(OR(A4751="",B4751=""),"",B4751-WEEKDAY(B4751,2)+1)</f>
        <v/>
      </c>
      <c r="J4751" s="5">
        <f>IF(I4751="","",I4751+6)</f>
        <v/>
      </c>
      <c r="K4751" s="6">
        <f>IF(OR(A4751="",B4751=""),"",DATE(YEAR(B4751),MONTH(B4751),1))</f>
        <v/>
      </c>
      <c r="L4751" s="7">
        <f>IF(COUNTA(A4751,B4751)=0,"",IF(OR(A4751="",B4751=""),"Preencher CPF e entrada",IF(COUNTIFS($A$12:$A$5011,A4751,$B$12:$B$5011,B4751)&gt;1,"CPF + dia duplicado",IF(OR(AND(E4751&lt;&gt;"",E4751&lt;B4751),AND(F4751&lt;&gt;"",F4751&lt;B4751)),"Evento anterior à entrada",IF(AND(F4751&lt;&gt;"",E4751=""),"Conversa sem agendamento",IF(OR(E4751&gt;TODAY(),F4751&gt;TODAY()),"Verificar evento futuro","OK"))))))</f>
        <v/>
      </c>
    </row>
    <row r="4752" spans="9:12">
      <c r="I4752" s="5">
        <f>IF(OR(A4752="",B4752=""),"",B4752-WEEKDAY(B4752,2)+1)</f>
        <v/>
      </c>
      <c r="J4752" s="5">
        <f>IF(I4752="","",I4752+6)</f>
        <v/>
      </c>
      <c r="K4752" s="6">
        <f>IF(OR(A4752="",B4752=""),"",DATE(YEAR(B4752),MONTH(B4752),1))</f>
        <v/>
      </c>
      <c r="L4752" s="7">
        <f>IF(COUNTA(A4752,B4752)=0,"",IF(OR(A4752="",B4752=""),"Preencher CPF e entrada",IF(COUNTIFS($A$12:$A$5011,A4752,$B$12:$B$5011,B4752)&gt;1,"CPF + dia duplicado",IF(OR(AND(E4752&lt;&gt;"",E4752&lt;B4752),AND(F4752&lt;&gt;"",F4752&lt;B4752)),"Evento anterior à entrada",IF(AND(F4752&lt;&gt;"",E4752=""),"Conversa sem agendamento",IF(OR(E4752&gt;TODAY(),F4752&gt;TODAY()),"Verificar evento futuro","OK"))))))</f>
        <v/>
      </c>
    </row>
    <row r="4753" spans="9:12">
      <c r="I4753" s="5">
        <f>IF(OR(A4753="",B4753=""),"",B4753-WEEKDAY(B4753,2)+1)</f>
        <v/>
      </c>
      <c r="J4753" s="5">
        <f>IF(I4753="","",I4753+6)</f>
        <v/>
      </c>
      <c r="K4753" s="6">
        <f>IF(OR(A4753="",B4753=""),"",DATE(YEAR(B4753),MONTH(B4753),1))</f>
        <v/>
      </c>
      <c r="L4753" s="7">
        <f>IF(COUNTA(A4753,B4753)=0,"",IF(OR(A4753="",B4753=""),"Preencher CPF e entrada",IF(COUNTIFS($A$12:$A$5011,A4753,$B$12:$B$5011,B4753)&gt;1,"CPF + dia duplicado",IF(OR(AND(E4753&lt;&gt;"",E4753&lt;B4753),AND(F4753&lt;&gt;"",F4753&lt;B4753)),"Evento anterior à entrada",IF(AND(F4753&lt;&gt;"",E4753=""),"Conversa sem agendamento",IF(OR(E4753&gt;TODAY(),F4753&gt;TODAY()),"Verificar evento futuro","OK"))))))</f>
        <v/>
      </c>
    </row>
    <row r="4754" spans="9:12">
      <c r="I4754" s="5">
        <f>IF(OR(A4754="",B4754=""),"",B4754-WEEKDAY(B4754,2)+1)</f>
        <v/>
      </c>
      <c r="J4754" s="5">
        <f>IF(I4754="","",I4754+6)</f>
        <v/>
      </c>
      <c r="K4754" s="6">
        <f>IF(OR(A4754="",B4754=""),"",DATE(YEAR(B4754),MONTH(B4754),1))</f>
        <v/>
      </c>
      <c r="L4754" s="7">
        <f>IF(COUNTA(A4754,B4754)=0,"",IF(OR(A4754="",B4754=""),"Preencher CPF e entrada",IF(COUNTIFS($A$12:$A$5011,A4754,$B$12:$B$5011,B4754)&gt;1,"CPF + dia duplicado",IF(OR(AND(E4754&lt;&gt;"",E4754&lt;B4754),AND(F4754&lt;&gt;"",F4754&lt;B4754)),"Evento anterior à entrada",IF(AND(F4754&lt;&gt;"",E4754=""),"Conversa sem agendamento",IF(OR(E4754&gt;TODAY(),F4754&gt;TODAY()),"Verificar evento futuro","OK"))))))</f>
        <v/>
      </c>
    </row>
    <row r="4755" spans="9:12">
      <c r="I4755" s="5">
        <f>IF(OR(A4755="",B4755=""),"",B4755-WEEKDAY(B4755,2)+1)</f>
        <v/>
      </c>
      <c r="J4755" s="5">
        <f>IF(I4755="","",I4755+6)</f>
        <v/>
      </c>
      <c r="K4755" s="6">
        <f>IF(OR(A4755="",B4755=""),"",DATE(YEAR(B4755),MONTH(B4755),1))</f>
        <v/>
      </c>
      <c r="L4755" s="7">
        <f>IF(COUNTA(A4755,B4755)=0,"",IF(OR(A4755="",B4755=""),"Preencher CPF e entrada",IF(COUNTIFS($A$12:$A$5011,A4755,$B$12:$B$5011,B4755)&gt;1,"CPF + dia duplicado",IF(OR(AND(E4755&lt;&gt;"",E4755&lt;B4755),AND(F4755&lt;&gt;"",F4755&lt;B4755)),"Evento anterior à entrada",IF(AND(F4755&lt;&gt;"",E4755=""),"Conversa sem agendamento",IF(OR(E4755&gt;TODAY(),F4755&gt;TODAY()),"Verificar evento futuro","OK"))))))</f>
        <v/>
      </c>
    </row>
    <row r="4756" spans="9:12">
      <c r="I4756" s="5">
        <f>IF(OR(A4756="",B4756=""),"",B4756-WEEKDAY(B4756,2)+1)</f>
        <v/>
      </c>
      <c r="J4756" s="5">
        <f>IF(I4756="","",I4756+6)</f>
        <v/>
      </c>
      <c r="K4756" s="6">
        <f>IF(OR(A4756="",B4756=""),"",DATE(YEAR(B4756),MONTH(B4756),1))</f>
        <v/>
      </c>
      <c r="L4756" s="7">
        <f>IF(COUNTA(A4756,B4756)=0,"",IF(OR(A4756="",B4756=""),"Preencher CPF e entrada",IF(COUNTIFS($A$12:$A$5011,A4756,$B$12:$B$5011,B4756)&gt;1,"CPF + dia duplicado",IF(OR(AND(E4756&lt;&gt;"",E4756&lt;B4756),AND(F4756&lt;&gt;"",F4756&lt;B4756)),"Evento anterior à entrada",IF(AND(F4756&lt;&gt;"",E4756=""),"Conversa sem agendamento",IF(OR(E4756&gt;TODAY(),F4756&gt;TODAY()),"Verificar evento futuro","OK"))))))</f>
        <v/>
      </c>
    </row>
    <row r="4757" spans="9:12">
      <c r="I4757" s="5">
        <f>IF(OR(A4757="",B4757=""),"",B4757-WEEKDAY(B4757,2)+1)</f>
        <v/>
      </c>
      <c r="J4757" s="5">
        <f>IF(I4757="","",I4757+6)</f>
        <v/>
      </c>
      <c r="K4757" s="6">
        <f>IF(OR(A4757="",B4757=""),"",DATE(YEAR(B4757),MONTH(B4757),1))</f>
        <v/>
      </c>
      <c r="L4757" s="7">
        <f>IF(COUNTA(A4757,B4757)=0,"",IF(OR(A4757="",B4757=""),"Preencher CPF e entrada",IF(COUNTIFS($A$12:$A$5011,A4757,$B$12:$B$5011,B4757)&gt;1,"CPF + dia duplicado",IF(OR(AND(E4757&lt;&gt;"",E4757&lt;B4757),AND(F4757&lt;&gt;"",F4757&lt;B4757)),"Evento anterior à entrada",IF(AND(F4757&lt;&gt;"",E4757=""),"Conversa sem agendamento",IF(OR(E4757&gt;TODAY(),F4757&gt;TODAY()),"Verificar evento futuro","OK"))))))</f>
        <v/>
      </c>
    </row>
    <row r="4758" spans="9:12">
      <c r="I4758" s="5">
        <f>IF(OR(A4758="",B4758=""),"",B4758-WEEKDAY(B4758,2)+1)</f>
        <v/>
      </c>
      <c r="J4758" s="5">
        <f>IF(I4758="","",I4758+6)</f>
        <v/>
      </c>
      <c r="K4758" s="6">
        <f>IF(OR(A4758="",B4758=""),"",DATE(YEAR(B4758),MONTH(B4758),1))</f>
        <v/>
      </c>
      <c r="L4758" s="7">
        <f>IF(COUNTA(A4758,B4758)=0,"",IF(OR(A4758="",B4758=""),"Preencher CPF e entrada",IF(COUNTIFS($A$12:$A$5011,A4758,$B$12:$B$5011,B4758)&gt;1,"CPF + dia duplicado",IF(OR(AND(E4758&lt;&gt;"",E4758&lt;B4758),AND(F4758&lt;&gt;"",F4758&lt;B4758)),"Evento anterior à entrada",IF(AND(F4758&lt;&gt;"",E4758=""),"Conversa sem agendamento",IF(OR(E4758&gt;TODAY(),F4758&gt;TODAY()),"Verificar evento futuro","OK"))))))</f>
        <v/>
      </c>
    </row>
    <row r="4759" spans="9:12">
      <c r="I4759" s="5">
        <f>IF(OR(A4759="",B4759=""),"",B4759-WEEKDAY(B4759,2)+1)</f>
        <v/>
      </c>
      <c r="J4759" s="5">
        <f>IF(I4759="","",I4759+6)</f>
        <v/>
      </c>
      <c r="K4759" s="6">
        <f>IF(OR(A4759="",B4759=""),"",DATE(YEAR(B4759),MONTH(B4759),1))</f>
        <v/>
      </c>
      <c r="L4759" s="7">
        <f>IF(COUNTA(A4759,B4759)=0,"",IF(OR(A4759="",B4759=""),"Preencher CPF e entrada",IF(COUNTIFS($A$12:$A$5011,A4759,$B$12:$B$5011,B4759)&gt;1,"CPF + dia duplicado",IF(OR(AND(E4759&lt;&gt;"",E4759&lt;B4759),AND(F4759&lt;&gt;"",F4759&lt;B4759)),"Evento anterior à entrada",IF(AND(F4759&lt;&gt;"",E4759=""),"Conversa sem agendamento",IF(OR(E4759&gt;TODAY(),F4759&gt;TODAY()),"Verificar evento futuro","OK"))))))</f>
        <v/>
      </c>
    </row>
    <row r="4760" spans="9:12">
      <c r="I4760" s="5">
        <f>IF(OR(A4760="",B4760=""),"",B4760-WEEKDAY(B4760,2)+1)</f>
        <v/>
      </c>
      <c r="J4760" s="5">
        <f>IF(I4760="","",I4760+6)</f>
        <v/>
      </c>
      <c r="K4760" s="6">
        <f>IF(OR(A4760="",B4760=""),"",DATE(YEAR(B4760),MONTH(B4760),1))</f>
        <v/>
      </c>
      <c r="L4760" s="7">
        <f>IF(COUNTA(A4760,B4760)=0,"",IF(OR(A4760="",B4760=""),"Preencher CPF e entrada",IF(COUNTIFS($A$12:$A$5011,A4760,$B$12:$B$5011,B4760)&gt;1,"CPF + dia duplicado",IF(OR(AND(E4760&lt;&gt;"",E4760&lt;B4760),AND(F4760&lt;&gt;"",F4760&lt;B4760)),"Evento anterior à entrada",IF(AND(F4760&lt;&gt;"",E4760=""),"Conversa sem agendamento",IF(OR(E4760&gt;TODAY(),F4760&gt;TODAY()),"Verificar evento futuro","OK"))))))</f>
        <v/>
      </c>
    </row>
    <row r="4761" spans="9:12">
      <c r="I4761" s="5">
        <f>IF(OR(A4761="",B4761=""),"",B4761-WEEKDAY(B4761,2)+1)</f>
        <v/>
      </c>
      <c r="J4761" s="5">
        <f>IF(I4761="","",I4761+6)</f>
        <v/>
      </c>
      <c r="K4761" s="6">
        <f>IF(OR(A4761="",B4761=""),"",DATE(YEAR(B4761),MONTH(B4761),1))</f>
        <v/>
      </c>
      <c r="L4761" s="7">
        <f>IF(COUNTA(A4761,B4761)=0,"",IF(OR(A4761="",B4761=""),"Preencher CPF e entrada",IF(COUNTIFS($A$12:$A$5011,A4761,$B$12:$B$5011,B4761)&gt;1,"CPF + dia duplicado",IF(OR(AND(E4761&lt;&gt;"",E4761&lt;B4761),AND(F4761&lt;&gt;"",F4761&lt;B4761)),"Evento anterior à entrada",IF(AND(F4761&lt;&gt;"",E4761=""),"Conversa sem agendamento",IF(OR(E4761&gt;TODAY(),F4761&gt;TODAY()),"Verificar evento futuro","OK"))))))</f>
        <v/>
      </c>
    </row>
    <row r="4762" spans="9:12">
      <c r="I4762" s="5">
        <f>IF(OR(A4762="",B4762=""),"",B4762-WEEKDAY(B4762,2)+1)</f>
        <v/>
      </c>
      <c r="J4762" s="5">
        <f>IF(I4762="","",I4762+6)</f>
        <v/>
      </c>
      <c r="K4762" s="6">
        <f>IF(OR(A4762="",B4762=""),"",DATE(YEAR(B4762),MONTH(B4762),1))</f>
        <v/>
      </c>
      <c r="L4762" s="7">
        <f>IF(COUNTA(A4762,B4762)=0,"",IF(OR(A4762="",B4762=""),"Preencher CPF e entrada",IF(COUNTIFS($A$12:$A$5011,A4762,$B$12:$B$5011,B4762)&gt;1,"CPF + dia duplicado",IF(OR(AND(E4762&lt;&gt;"",E4762&lt;B4762),AND(F4762&lt;&gt;"",F4762&lt;B4762)),"Evento anterior à entrada",IF(AND(F4762&lt;&gt;"",E4762=""),"Conversa sem agendamento",IF(OR(E4762&gt;TODAY(),F4762&gt;TODAY()),"Verificar evento futuro","OK"))))))</f>
        <v/>
      </c>
    </row>
    <row r="4763" spans="9:12">
      <c r="I4763" s="5">
        <f>IF(OR(A4763="",B4763=""),"",B4763-WEEKDAY(B4763,2)+1)</f>
        <v/>
      </c>
      <c r="J4763" s="5">
        <f>IF(I4763="","",I4763+6)</f>
        <v/>
      </c>
      <c r="K4763" s="6">
        <f>IF(OR(A4763="",B4763=""),"",DATE(YEAR(B4763),MONTH(B4763),1))</f>
        <v/>
      </c>
      <c r="L4763" s="7">
        <f>IF(COUNTA(A4763,B4763)=0,"",IF(OR(A4763="",B4763=""),"Preencher CPF e entrada",IF(COUNTIFS($A$12:$A$5011,A4763,$B$12:$B$5011,B4763)&gt;1,"CPF + dia duplicado",IF(OR(AND(E4763&lt;&gt;"",E4763&lt;B4763),AND(F4763&lt;&gt;"",F4763&lt;B4763)),"Evento anterior à entrada",IF(AND(F4763&lt;&gt;"",E4763=""),"Conversa sem agendamento",IF(OR(E4763&gt;TODAY(),F4763&gt;TODAY()),"Verificar evento futuro","OK"))))))</f>
        <v/>
      </c>
    </row>
    <row r="4764" spans="9:12">
      <c r="I4764" s="5">
        <f>IF(OR(A4764="",B4764=""),"",B4764-WEEKDAY(B4764,2)+1)</f>
        <v/>
      </c>
      <c r="J4764" s="5">
        <f>IF(I4764="","",I4764+6)</f>
        <v/>
      </c>
      <c r="K4764" s="6">
        <f>IF(OR(A4764="",B4764=""),"",DATE(YEAR(B4764),MONTH(B4764),1))</f>
        <v/>
      </c>
      <c r="L4764" s="7">
        <f>IF(COUNTA(A4764,B4764)=0,"",IF(OR(A4764="",B4764=""),"Preencher CPF e entrada",IF(COUNTIFS($A$12:$A$5011,A4764,$B$12:$B$5011,B4764)&gt;1,"CPF + dia duplicado",IF(OR(AND(E4764&lt;&gt;"",E4764&lt;B4764),AND(F4764&lt;&gt;"",F4764&lt;B4764)),"Evento anterior à entrada",IF(AND(F4764&lt;&gt;"",E4764=""),"Conversa sem agendamento",IF(OR(E4764&gt;TODAY(),F4764&gt;TODAY()),"Verificar evento futuro","OK"))))))</f>
        <v/>
      </c>
    </row>
    <row r="4765" spans="9:12">
      <c r="I4765" s="5">
        <f>IF(OR(A4765="",B4765=""),"",B4765-WEEKDAY(B4765,2)+1)</f>
        <v/>
      </c>
      <c r="J4765" s="5">
        <f>IF(I4765="","",I4765+6)</f>
        <v/>
      </c>
      <c r="K4765" s="6">
        <f>IF(OR(A4765="",B4765=""),"",DATE(YEAR(B4765),MONTH(B4765),1))</f>
        <v/>
      </c>
      <c r="L4765" s="7">
        <f>IF(COUNTA(A4765,B4765)=0,"",IF(OR(A4765="",B4765=""),"Preencher CPF e entrada",IF(COUNTIFS($A$12:$A$5011,A4765,$B$12:$B$5011,B4765)&gt;1,"CPF + dia duplicado",IF(OR(AND(E4765&lt;&gt;"",E4765&lt;B4765),AND(F4765&lt;&gt;"",F4765&lt;B4765)),"Evento anterior à entrada",IF(AND(F4765&lt;&gt;"",E4765=""),"Conversa sem agendamento",IF(OR(E4765&gt;TODAY(),F4765&gt;TODAY()),"Verificar evento futuro","OK"))))))</f>
        <v/>
      </c>
    </row>
    <row r="4766" spans="9:12">
      <c r="I4766" s="5">
        <f>IF(OR(A4766="",B4766=""),"",B4766-WEEKDAY(B4766,2)+1)</f>
        <v/>
      </c>
      <c r="J4766" s="5">
        <f>IF(I4766="","",I4766+6)</f>
        <v/>
      </c>
      <c r="K4766" s="6">
        <f>IF(OR(A4766="",B4766=""),"",DATE(YEAR(B4766),MONTH(B4766),1))</f>
        <v/>
      </c>
      <c r="L4766" s="7">
        <f>IF(COUNTA(A4766,B4766)=0,"",IF(OR(A4766="",B4766=""),"Preencher CPF e entrada",IF(COUNTIFS($A$12:$A$5011,A4766,$B$12:$B$5011,B4766)&gt;1,"CPF + dia duplicado",IF(OR(AND(E4766&lt;&gt;"",E4766&lt;B4766),AND(F4766&lt;&gt;"",F4766&lt;B4766)),"Evento anterior à entrada",IF(AND(F4766&lt;&gt;"",E4766=""),"Conversa sem agendamento",IF(OR(E4766&gt;TODAY(),F4766&gt;TODAY()),"Verificar evento futuro","OK"))))))</f>
        <v/>
      </c>
    </row>
    <row r="4767" spans="9:12">
      <c r="I4767" s="5">
        <f>IF(OR(A4767="",B4767=""),"",B4767-WEEKDAY(B4767,2)+1)</f>
        <v/>
      </c>
      <c r="J4767" s="5">
        <f>IF(I4767="","",I4767+6)</f>
        <v/>
      </c>
      <c r="K4767" s="6">
        <f>IF(OR(A4767="",B4767=""),"",DATE(YEAR(B4767),MONTH(B4767),1))</f>
        <v/>
      </c>
      <c r="L4767" s="7">
        <f>IF(COUNTA(A4767,B4767)=0,"",IF(OR(A4767="",B4767=""),"Preencher CPF e entrada",IF(COUNTIFS($A$12:$A$5011,A4767,$B$12:$B$5011,B4767)&gt;1,"CPF + dia duplicado",IF(OR(AND(E4767&lt;&gt;"",E4767&lt;B4767),AND(F4767&lt;&gt;"",F4767&lt;B4767)),"Evento anterior à entrada",IF(AND(F4767&lt;&gt;"",E4767=""),"Conversa sem agendamento",IF(OR(E4767&gt;TODAY(),F4767&gt;TODAY()),"Verificar evento futuro","OK"))))))</f>
        <v/>
      </c>
    </row>
    <row r="4768" spans="9:12">
      <c r="I4768" s="5">
        <f>IF(OR(A4768="",B4768=""),"",B4768-WEEKDAY(B4768,2)+1)</f>
        <v/>
      </c>
      <c r="J4768" s="5">
        <f>IF(I4768="","",I4768+6)</f>
        <v/>
      </c>
      <c r="K4768" s="6">
        <f>IF(OR(A4768="",B4768=""),"",DATE(YEAR(B4768),MONTH(B4768),1))</f>
        <v/>
      </c>
      <c r="L4768" s="7">
        <f>IF(COUNTA(A4768,B4768)=0,"",IF(OR(A4768="",B4768=""),"Preencher CPF e entrada",IF(COUNTIFS($A$12:$A$5011,A4768,$B$12:$B$5011,B4768)&gt;1,"CPF + dia duplicado",IF(OR(AND(E4768&lt;&gt;"",E4768&lt;B4768),AND(F4768&lt;&gt;"",F4768&lt;B4768)),"Evento anterior à entrada",IF(AND(F4768&lt;&gt;"",E4768=""),"Conversa sem agendamento",IF(OR(E4768&gt;TODAY(),F4768&gt;TODAY()),"Verificar evento futuro","OK"))))))</f>
        <v/>
      </c>
    </row>
    <row r="4769" spans="9:12">
      <c r="I4769" s="5">
        <f>IF(OR(A4769="",B4769=""),"",B4769-WEEKDAY(B4769,2)+1)</f>
        <v/>
      </c>
      <c r="J4769" s="5">
        <f>IF(I4769="","",I4769+6)</f>
        <v/>
      </c>
      <c r="K4769" s="6">
        <f>IF(OR(A4769="",B4769=""),"",DATE(YEAR(B4769),MONTH(B4769),1))</f>
        <v/>
      </c>
      <c r="L4769" s="7">
        <f>IF(COUNTA(A4769,B4769)=0,"",IF(OR(A4769="",B4769=""),"Preencher CPF e entrada",IF(COUNTIFS($A$12:$A$5011,A4769,$B$12:$B$5011,B4769)&gt;1,"CPF + dia duplicado",IF(OR(AND(E4769&lt;&gt;"",E4769&lt;B4769),AND(F4769&lt;&gt;"",F4769&lt;B4769)),"Evento anterior à entrada",IF(AND(F4769&lt;&gt;"",E4769=""),"Conversa sem agendamento",IF(OR(E4769&gt;TODAY(),F4769&gt;TODAY()),"Verificar evento futuro","OK"))))))</f>
        <v/>
      </c>
    </row>
    <row r="4770" spans="9:12">
      <c r="I4770" s="5">
        <f>IF(OR(A4770="",B4770=""),"",B4770-WEEKDAY(B4770,2)+1)</f>
        <v/>
      </c>
      <c r="J4770" s="5">
        <f>IF(I4770="","",I4770+6)</f>
        <v/>
      </c>
      <c r="K4770" s="6">
        <f>IF(OR(A4770="",B4770=""),"",DATE(YEAR(B4770),MONTH(B4770),1))</f>
        <v/>
      </c>
      <c r="L4770" s="7">
        <f>IF(COUNTA(A4770,B4770)=0,"",IF(OR(A4770="",B4770=""),"Preencher CPF e entrada",IF(COUNTIFS($A$12:$A$5011,A4770,$B$12:$B$5011,B4770)&gt;1,"CPF + dia duplicado",IF(OR(AND(E4770&lt;&gt;"",E4770&lt;B4770),AND(F4770&lt;&gt;"",F4770&lt;B4770)),"Evento anterior à entrada",IF(AND(F4770&lt;&gt;"",E4770=""),"Conversa sem agendamento",IF(OR(E4770&gt;TODAY(),F4770&gt;TODAY()),"Verificar evento futuro","OK"))))))</f>
        <v/>
      </c>
    </row>
    <row r="4771" spans="9:12">
      <c r="I4771" s="5">
        <f>IF(OR(A4771="",B4771=""),"",B4771-WEEKDAY(B4771,2)+1)</f>
        <v/>
      </c>
      <c r="J4771" s="5">
        <f>IF(I4771="","",I4771+6)</f>
        <v/>
      </c>
      <c r="K4771" s="6">
        <f>IF(OR(A4771="",B4771=""),"",DATE(YEAR(B4771),MONTH(B4771),1))</f>
        <v/>
      </c>
      <c r="L4771" s="7">
        <f>IF(COUNTA(A4771,B4771)=0,"",IF(OR(A4771="",B4771=""),"Preencher CPF e entrada",IF(COUNTIFS($A$12:$A$5011,A4771,$B$12:$B$5011,B4771)&gt;1,"CPF + dia duplicado",IF(OR(AND(E4771&lt;&gt;"",E4771&lt;B4771),AND(F4771&lt;&gt;"",F4771&lt;B4771)),"Evento anterior à entrada",IF(AND(F4771&lt;&gt;"",E4771=""),"Conversa sem agendamento",IF(OR(E4771&gt;TODAY(),F4771&gt;TODAY()),"Verificar evento futuro","OK"))))))</f>
        <v/>
      </c>
    </row>
    <row r="4772" spans="9:12">
      <c r="I4772" s="5">
        <f>IF(OR(A4772="",B4772=""),"",B4772-WEEKDAY(B4772,2)+1)</f>
        <v/>
      </c>
      <c r="J4772" s="5">
        <f>IF(I4772="","",I4772+6)</f>
        <v/>
      </c>
      <c r="K4772" s="6">
        <f>IF(OR(A4772="",B4772=""),"",DATE(YEAR(B4772),MONTH(B4772),1))</f>
        <v/>
      </c>
      <c r="L4772" s="7">
        <f>IF(COUNTA(A4772,B4772)=0,"",IF(OR(A4772="",B4772=""),"Preencher CPF e entrada",IF(COUNTIFS($A$12:$A$5011,A4772,$B$12:$B$5011,B4772)&gt;1,"CPF + dia duplicado",IF(OR(AND(E4772&lt;&gt;"",E4772&lt;B4772),AND(F4772&lt;&gt;"",F4772&lt;B4772)),"Evento anterior à entrada",IF(AND(F4772&lt;&gt;"",E4772=""),"Conversa sem agendamento",IF(OR(E4772&gt;TODAY(),F4772&gt;TODAY()),"Verificar evento futuro","OK"))))))</f>
        <v/>
      </c>
    </row>
    <row r="4773" spans="9:12">
      <c r="I4773" s="5">
        <f>IF(OR(A4773="",B4773=""),"",B4773-WEEKDAY(B4773,2)+1)</f>
        <v/>
      </c>
      <c r="J4773" s="5">
        <f>IF(I4773="","",I4773+6)</f>
        <v/>
      </c>
      <c r="K4773" s="6">
        <f>IF(OR(A4773="",B4773=""),"",DATE(YEAR(B4773),MONTH(B4773),1))</f>
        <v/>
      </c>
      <c r="L4773" s="7">
        <f>IF(COUNTA(A4773,B4773)=0,"",IF(OR(A4773="",B4773=""),"Preencher CPF e entrada",IF(COUNTIFS($A$12:$A$5011,A4773,$B$12:$B$5011,B4773)&gt;1,"CPF + dia duplicado",IF(OR(AND(E4773&lt;&gt;"",E4773&lt;B4773),AND(F4773&lt;&gt;"",F4773&lt;B4773)),"Evento anterior à entrada",IF(AND(F4773&lt;&gt;"",E4773=""),"Conversa sem agendamento",IF(OR(E4773&gt;TODAY(),F4773&gt;TODAY()),"Verificar evento futuro","OK"))))))</f>
        <v/>
      </c>
    </row>
    <row r="4774" spans="9:12">
      <c r="I4774" s="5">
        <f>IF(OR(A4774="",B4774=""),"",B4774-WEEKDAY(B4774,2)+1)</f>
        <v/>
      </c>
      <c r="J4774" s="5">
        <f>IF(I4774="","",I4774+6)</f>
        <v/>
      </c>
      <c r="K4774" s="6">
        <f>IF(OR(A4774="",B4774=""),"",DATE(YEAR(B4774),MONTH(B4774),1))</f>
        <v/>
      </c>
      <c r="L4774" s="7">
        <f>IF(COUNTA(A4774,B4774)=0,"",IF(OR(A4774="",B4774=""),"Preencher CPF e entrada",IF(COUNTIFS($A$12:$A$5011,A4774,$B$12:$B$5011,B4774)&gt;1,"CPF + dia duplicado",IF(OR(AND(E4774&lt;&gt;"",E4774&lt;B4774),AND(F4774&lt;&gt;"",F4774&lt;B4774)),"Evento anterior à entrada",IF(AND(F4774&lt;&gt;"",E4774=""),"Conversa sem agendamento",IF(OR(E4774&gt;TODAY(),F4774&gt;TODAY()),"Verificar evento futuro","OK"))))))</f>
        <v/>
      </c>
    </row>
    <row r="4775" spans="9:12">
      <c r="I4775" s="5">
        <f>IF(OR(A4775="",B4775=""),"",B4775-WEEKDAY(B4775,2)+1)</f>
        <v/>
      </c>
      <c r="J4775" s="5">
        <f>IF(I4775="","",I4775+6)</f>
        <v/>
      </c>
      <c r="K4775" s="6">
        <f>IF(OR(A4775="",B4775=""),"",DATE(YEAR(B4775),MONTH(B4775),1))</f>
        <v/>
      </c>
      <c r="L4775" s="7">
        <f>IF(COUNTA(A4775,B4775)=0,"",IF(OR(A4775="",B4775=""),"Preencher CPF e entrada",IF(COUNTIFS($A$12:$A$5011,A4775,$B$12:$B$5011,B4775)&gt;1,"CPF + dia duplicado",IF(OR(AND(E4775&lt;&gt;"",E4775&lt;B4775),AND(F4775&lt;&gt;"",F4775&lt;B4775)),"Evento anterior à entrada",IF(AND(F4775&lt;&gt;"",E4775=""),"Conversa sem agendamento",IF(OR(E4775&gt;TODAY(),F4775&gt;TODAY()),"Verificar evento futuro","OK"))))))</f>
        <v/>
      </c>
    </row>
    <row r="4776" spans="9:12">
      <c r="I4776" s="5">
        <f>IF(OR(A4776="",B4776=""),"",B4776-WEEKDAY(B4776,2)+1)</f>
        <v/>
      </c>
      <c r="J4776" s="5">
        <f>IF(I4776="","",I4776+6)</f>
        <v/>
      </c>
      <c r="K4776" s="6">
        <f>IF(OR(A4776="",B4776=""),"",DATE(YEAR(B4776),MONTH(B4776),1))</f>
        <v/>
      </c>
      <c r="L4776" s="7">
        <f>IF(COUNTA(A4776,B4776)=0,"",IF(OR(A4776="",B4776=""),"Preencher CPF e entrada",IF(COUNTIFS($A$12:$A$5011,A4776,$B$12:$B$5011,B4776)&gt;1,"CPF + dia duplicado",IF(OR(AND(E4776&lt;&gt;"",E4776&lt;B4776),AND(F4776&lt;&gt;"",F4776&lt;B4776)),"Evento anterior à entrada",IF(AND(F4776&lt;&gt;"",E4776=""),"Conversa sem agendamento",IF(OR(E4776&gt;TODAY(),F4776&gt;TODAY()),"Verificar evento futuro","OK"))))))</f>
        <v/>
      </c>
    </row>
    <row r="4777" spans="9:12">
      <c r="I4777" s="5">
        <f>IF(OR(A4777="",B4777=""),"",B4777-WEEKDAY(B4777,2)+1)</f>
        <v/>
      </c>
      <c r="J4777" s="5">
        <f>IF(I4777="","",I4777+6)</f>
        <v/>
      </c>
      <c r="K4777" s="6">
        <f>IF(OR(A4777="",B4777=""),"",DATE(YEAR(B4777),MONTH(B4777),1))</f>
        <v/>
      </c>
      <c r="L4777" s="7">
        <f>IF(COUNTA(A4777,B4777)=0,"",IF(OR(A4777="",B4777=""),"Preencher CPF e entrada",IF(COUNTIFS($A$12:$A$5011,A4777,$B$12:$B$5011,B4777)&gt;1,"CPF + dia duplicado",IF(OR(AND(E4777&lt;&gt;"",E4777&lt;B4777),AND(F4777&lt;&gt;"",F4777&lt;B4777)),"Evento anterior à entrada",IF(AND(F4777&lt;&gt;"",E4777=""),"Conversa sem agendamento",IF(OR(E4777&gt;TODAY(),F4777&gt;TODAY()),"Verificar evento futuro","OK"))))))</f>
        <v/>
      </c>
    </row>
    <row r="4778" spans="9:12">
      <c r="I4778" s="5">
        <f>IF(OR(A4778="",B4778=""),"",B4778-WEEKDAY(B4778,2)+1)</f>
        <v/>
      </c>
      <c r="J4778" s="5">
        <f>IF(I4778="","",I4778+6)</f>
        <v/>
      </c>
      <c r="K4778" s="6">
        <f>IF(OR(A4778="",B4778=""),"",DATE(YEAR(B4778),MONTH(B4778),1))</f>
        <v/>
      </c>
      <c r="L4778" s="7">
        <f>IF(COUNTA(A4778,B4778)=0,"",IF(OR(A4778="",B4778=""),"Preencher CPF e entrada",IF(COUNTIFS($A$12:$A$5011,A4778,$B$12:$B$5011,B4778)&gt;1,"CPF + dia duplicado",IF(OR(AND(E4778&lt;&gt;"",E4778&lt;B4778),AND(F4778&lt;&gt;"",F4778&lt;B4778)),"Evento anterior à entrada",IF(AND(F4778&lt;&gt;"",E4778=""),"Conversa sem agendamento",IF(OR(E4778&gt;TODAY(),F4778&gt;TODAY()),"Verificar evento futuro","OK"))))))</f>
        <v/>
      </c>
    </row>
    <row r="4779" spans="9:12">
      <c r="I4779" s="5">
        <f>IF(OR(A4779="",B4779=""),"",B4779-WEEKDAY(B4779,2)+1)</f>
        <v/>
      </c>
      <c r="J4779" s="5">
        <f>IF(I4779="","",I4779+6)</f>
        <v/>
      </c>
      <c r="K4779" s="6">
        <f>IF(OR(A4779="",B4779=""),"",DATE(YEAR(B4779),MONTH(B4779),1))</f>
        <v/>
      </c>
      <c r="L4779" s="7">
        <f>IF(COUNTA(A4779,B4779)=0,"",IF(OR(A4779="",B4779=""),"Preencher CPF e entrada",IF(COUNTIFS($A$12:$A$5011,A4779,$B$12:$B$5011,B4779)&gt;1,"CPF + dia duplicado",IF(OR(AND(E4779&lt;&gt;"",E4779&lt;B4779),AND(F4779&lt;&gt;"",F4779&lt;B4779)),"Evento anterior à entrada",IF(AND(F4779&lt;&gt;"",E4779=""),"Conversa sem agendamento",IF(OR(E4779&gt;TODAY(),F4779&gt;TODAY()),"Verificar evento futuro","OK"))))))</f>
        <v/>
      </c>
    </row>
    <row r="4780" spans="9:12">
      <c r="I4780" s="5">
        <f>IF(OR(A4780="",B4780=""),"",B4780-WEEKDAY(B4780,2)+1)</f>
        <v/>
      </c>
      <c r="J4780" s="5">
        <f>IF(I4780="","",I4780+6)</f>
        <v/>
      </c>
      <c r="K4780" s="6">
        <f>IF(OR(A4780="",B4780=""),"",DATE(YEAR(B4780),MONTH(B4780),1))</f>
        <v/>
      </c>
      <c r="L4780" s="7">
        <f>IF(COUNTA(A4780,B4780)=0,"",IF(OR(A4780="",B4780=""),"Preencher CPF e entrada",IF(COUNTIFS($A$12:$A$5011,A4780,$B$12:$B$5011,B4780)&gt;1,"CPF + dia duplicado",IF(OR(AND(E4780&lt;&gt;"",E4780&lt;B4780),AND(F4780&lt;&gt;"",F4780&lt;B4780)),"Evento anterior à entrada",IF(AND(F4780&lt;&gt;"",E4780=""),"Conversa sem agendamento",IF(OR(E4780&gt;TODAY(),F4780&gt;TODAY()),"Verificar evento futuro","OK"))))))</f>
        <v/>
      </c>
    </row>
    <row r="4781" spans="9:12">
      <c r="I4781" s="5">
        <f>IF(OR(A4781="",B4781=""),"",B4781-WEEKDAY(B4781,2)+1)</f>
        <v/>
      </c>
      <c r="J4781" s="5">
        <f>IF(I4781="","",I4781+6)</f>
        <v/>
      </c>
      <c r="K4781" s="6">
        <f>IF(OR(A4781="",B4781=""),"",DATE(YEAR(B4781),MONTH(B4781),1))</f>
        <v/>
      </c>
      <c r="L4781" s="7">
        <f>IF(COUNTA(A4781,B4781)=0,"",IF(OR(A4781="",B4781=""),"Preencher CPF e entrada",IF(COUNTIFS($A$12:$A$5011,A4781,$B$12:$B$5011,B4781)&gt;1,"CPF + dia duplicado",IF(OR(AND(E4781&lt;&gt;"",E4781&lt;B4781),AND(F4781&lt;&gt;"",F4781&lt;B4781)),"Evento anterior à entrada",IF(AND(F4781&lt;&gt;"",E4781=""),"Conversa sem agendamento",IF(OR(E4781&gt;TODAY(),F4781&gt;TODAY()),"Verificar evento futuro","OK"))))))</f>
        <v/>
      </c>
    </row>
    <row r="4782" spans="9:12">
      <c r="I4782" s="5">
        <f>IF(OR(A4782="",B4782=""),"",B4782-WEEKDAY(B4782,2)+1)</f>
        <v/>
      </c>
      <c r="J4782" s="5">
        <f>IF(I4782="","",I4782+6)</f>
        <v/>
      </c>
      <c r="K4782" s="6">
        <f>IF(OR(A4782="",B4782=""),"",DATE(YEAR(B4782),MONTH(B4782),1))</f>
        <v/>
      </c>
      <c r="L4782" s="7">
        <f>IF(COUNTA(A4782,B4782)=0,"",IF(OR(A4782="",B4782=""),"Preencher CPF e entrada",IF(COUNTIFS($A$12:$A$5011,A4782,$B$12:$B$5011,B4782)&gt;1,"CPF + dia duplicado",IF(OR(AND(E4782&lt;&gt;"",E4782&lt;B4782),AND(F4782&lt;&gt;"",F4782&lt;B4782)),"Evento anterior à entrada",IF(AND(F4782&lt;&gt;"",E4782=""),"Conversa sem agendamento",IF(OR(E4782&gt;TODAY(),F4782&gt;TODAY()),"Verificar evento futuro","OK"))))))</f>
        <v/>
      </c>
    </row>
    <row r="4783" spans="9:12">
      <c r="I4783" s="5">
        <f>IF(OR(A4783="",B4783=""),"",B4783-WEEKDAY(B4783,2)+1)</f>
        <v/>
      </c>
      <c r="J4783" s="5">
        <f>IF(I4783="","",I4783+6)</f>
        <v/>
      </c>
      <c r="K4783" s="6">
        <f>IF(OR(A4783="",B4783=""),"",DATE(YEAR(B4783),MONTH(B4783),1))</f>
        <v/>
      </c>
      <c r="L4783" s="7">
        <f>IF(COUNTA(A4783,B4783)=0,"",IF(OR(A4783="",B4783=""),"Preencher CPF e entrada",IF(COUNTIFS($A$12:$A$5011,A4783,$B$12:$B$5011,B4783)&gt;1,"CPF + dia duplicado",IF(OR(AND(E4783&lt;&gt;"",E4783&lt;B4783),AND(F4783&lt;&gt;"",F4783&lt;B4783)),"Evento anterior à entrada",IF(AND(F4783&lt;&gt;"",E4783=""),"Conversa sem agendamento",IF(OR(E4783&gt;TODAY(),F4783&gt;TODAY()),"Verificar evento futuro","OK"))))))</f>
        <v/>
      </c>
    </row>
    <row r="4784" spans="9:12">
      <c r="I4784" s="5">
        <f>IF(OR(A4784="",B4784=""),"",B4784-WEEKDAY(B4784,2)+1)</f>
        <v/>
      </c>
      <c r="J4784" s="5">
        <f>IF(I4784="","",I4784+6)</f>
        <v/>
      </c>
      <c r="K4784" s="6">
        <f>IF(OR(A4784="",B4784=""),"",DATE(YEAR(B4784),MONTH(B4784),1))</f>
        <v/>
      </c>
      <c r="L4784" s="7">
        <f>IF(COUNTA(A4784,B4784)=0,"",IF(OR(A4784="",B4784=""),"Preencher CPF e entrada",IF(COUNTIFS($A$12:$A$5011,A4784,$B$12:$B$5011,B4784)&gt;1,"CPF + dia duplicado",IF(OR(AND(E4784&lt;&gt;"",E4784&lt;B4784),AND(F4784&lt;&gt;"",F4784&lt;B4784)),"Evento anterior à entrada",IF(AND(F4784&lt;&gt;"",E4784=""),"Conversa sem agendamento",IF(OR(E4784&gt;TODAY(),F4784&gt;TODAY()),"Verificar evento futuro","OK"))))))</f>
        <v/>
      </c>
    </row>
    <row r="4785" spans="9:12">
      <c r="I4785" s="5">
        <f>IF(OR(A4785="",B4785=""),"",B4785-WEEKDAY(B4785,2)+1)</f>
        <v/>
      </c>
      <c r="J4785" s="5">
        <f>IF(I4785="","",I4785+6)</f>
        <v/>
      </c>
      <c r="K4785" s="6">
        <f>IF(OR(A4785="",B4785=""),"",DATE(YEAR(B4785),MONTH(B4785),1))</f>
        <v/>
      </c>
      <c r="L4785" s="7">
        <f>IF(COUNTA(A4785,B4785)=0,"",IF(OR(A4785="",B4785=""),"Preencher CPF e entrada",IF(COUNTIFS($A$12:$A$5011,A4785,$B$12:$B$5011,B4785)&gt;1,"CPF + dia duplicado",IF(OR(AND(E4785&lt;&gt;"",E4785&lt;B4785),AND(F4785&lt;&gt;"",F4785&lt;B4785)),"Evento anterior à entrada",IF(AND(F4785&lt;&gt;"",E4785=""),"Conversa sem agendamento",IF(OR(E4785&gt;TODAY(),F4785&gt;TODAY()),"Verificar evento futuro","OK"))))))</f>
        <v/>
      </c>
    </row>
    <row r="4786" spans="9:12">
      <c r="I4786" s="5">
        <f>IF(OR(A4786="",B4786=""),"",B4786-WEEKDAY(B4786,2)+1)</f>
        <v/>
      </c>
      <c r="J4786" s="5">
        <f>IF(I4786="","",I4786+6)</f>
        <v/>
      </c>
      <c r="K4786" s="6">
        <f>IF(OR(A4786="",B4786=""),"",DATE(YEAR(B4786),MONTH(B4786),1))</f>
        <v/>
      </c>
      <c r="L4786" s="7">
        <f>IF(COUNTA(A4786,B4786)=0,"",IF(OR(A4786="",B4786=""),"Preencher CPF e entrada",IF(COUNTIFS($A$12:$A$5011,A4786,$B$12:$B$5011,B4786)&gt;1,"CPF + dia duplicado",IF(OR(AND(E4786&lt;&gt;"",E4786&lt;B4786),AND(F4786&lt;&gt;"",F4786&lt;B4786)),"Evento anterior à entrada",IF(AND(F4786&lt;&gt;"",E4786=""),"Conversa sem agendamento",IF(OR(E4786&gt;TODAY(),F4786&gt;TODAY()),"Verificar evento futuro","OK"))))))</f>
        <v/>
      </c>
    </row>
    <row r="4787" spans="9:12">
      <c r="I4787" s="5">
        <f>IF(OR(A4787="",B4787=""),"",B4787-WEEKDAY(B4787,2)+1)</f>
        <v/>
      </c>
      <c r="J4787" s="5">
        <f>IF(I4787="","",I4787+6)</f>
        <v/>
      </c>
      <c r="K4787" s="6">
        <f>IF(OR(A4787="",B4787=""),"",DATE(YEAR(B4787),MONTH(B4787),1))</f>
        <v/>
      </c>
      <c r="L4787" s="7">
        <f>IF(COUNTA(A4787,B4787)=0,"",IF(OR(A4787="",B4787=""),"Preencher CPF e entrada",IF(COUNTIFS($A$12:$A$5011,A4787,$B$12:$B$5011,B4787)&gt;1,"CPF + dia duplicado",IF(OR(AND(E4787&lt;&gt;"",E4787&lt;B4787),AND(F4787&lt;&gt;"",F4787&lt;B4787)),"Evento anterior à entrada",IF(AND(F4787&lt;&gt;"",E4787=""),"Conversa sem agendamento",IF(OR(E4787&gt;TODAY(),F4787&gt;TODAY()),"Verificar evento futuro","OK"))))))</f>
        <v/>
      </c>
    </row>
    <row r="4788" spans="9:12">
      <c r="I4788" s="5">
        <f>IF(OR(A4788="",B4788=""),"",B4788-WEEKDAY(B4788,2)+1)</f>
        <v/>
      </c>
      <c r="J4788" s="5">
        <f>IF(I4788="","",I4788+6)</f>
        <v/>
      </c>
      <c r="K4788" s="6">
        <f>IF(OR(A4788="",B4788=""),"",DATE(YEAR(B4788),MONTH(B4788),1))</f>
        <v/>
      </c>
      <c r="L4788" s="7">
        <f>IF(COUNTA(A4788,B4788)=0,"",IF(OR(A4788="",B4788=""),"Preencher CPF e entrada",IF(COUNTIFS($A$12:$A$5011,A4788,$B$12:$B$5011,B4788)&gt;1,"CPF + dia duplicado",IF(OR(AND(E4788&lt;&gt;"",E4788&lt;B4788),AND(F4788&lt;&gt;"",F4788&lt;B4788)),"Evento anterior à entrada",IF(AND(F4788&lt;&gt;"",E4788=""),"Conversa sem agendamento",IF(OR(E4788&gt;TODAY(),F4788&gt;TODAY()),"Verificar evento futuro","OK"))))))</f>
        <v/>
      </c>
    </row>
    <row r="4789" spans="9:12">
      <c r="I4789" s="5">
        <f>IF(OR(A4789="",B4789=""),"",B4789-WEEKDAY(B4789,2)+1)</f>
        <v/>
      </c>
      <c r="J4789" s="5">
        <f>IF(I4789="","",I4789+6)</f>
        <v/>
      </c>
      <c r="K4789" s="6">
        <f>IF(OR(A4789="",B4789=""),"",DATE(YEAR(B4789),MONTH(B4789),1))</f>
        <v/>
      </c>
      <c r="L4789" s="7">
        <f>IF(COUNTA(A4789,B4789)=0,"",IF(OR(A4789="",B4789=""),"Preencher CPF e entrada",IF(COUNTIFS($A$12:$A$5011,A4789,$B$12:$B$5011,B4789)&gt;1,"CPF + dia duplicado",IF(OR(AND(E4789&lt;&gt;"",E4789&lt;B4789),AND(F4789&lt;&gt;"",F4789&lt;B4789)),"Evento anterior à entrada",IF(AND(F4789&lt;&gt;"",E4789=""),"Conversa sem agendamento",IF(OR(E4789&gt;TODAY(),F4789&gt;TODAY()),"Verificar evento futuro","OK"))))))</f>
        <v/>
      </c>
    </row>
    <row r="4790" spans="9:12">
      <c r="I4790" s="5">
        <f>IF(OR(A4790="",B4790=""),"",B4790-WEEKDAY(B4790,2)+1)</f>
        <v/>
      </c>
      <c r="J4790" s="5">
        <f>IF(I4790="","",I4790+6)</f>
        <v/>
      </c>
      <c r="K4790" s="6">
        <f>IF(OR(A4790="",B4790=""),"",DATE(YEAR(B4790),MONTH(B4790),1))</f>
        <v/>
      </c>
      <c r="L4790" s="7">
        <f>IF(COUNTA(A4790,B4790)=0,"",IF(OR(A4790="",B4790=""),"Preencher CPF e entrada",IF(COUNTIFS($A$12:$A$5011,A4790,$B$12:$B$5011,B4790)&gt;1,"CPF + dia duplicado",IF(OR(AND(E4790&lt;&gt;"",E4790&lt;B4790),AND(F4790&lt;&gt;"",F4790&lt;B4790)),"Evento anterior à entrada",IF(AND(F4790&lt;&gt;"",E4790=""),"Conversa sem agendamento",IF(OR(E4790&gt;TODAY(),F4790&gt;TODAY()),"Verificar evento futuro","OK"))))))</f>
        <v/>
      </c>
    </row>
    <row r="4791" spans="9:12">
      <c r="I4791" s="5">
        <f>IF(OR(A4791="",B4791=""),"",B4791-WEEKDAY(B4791,2)+1)</f>
        <v/>
      </c>
      <c r="J4791" s="5">
        <f>IF(I4791="","",I4791+6)</f>
        <v/>
      </c>
      <c r="K4791" s="6">
        <f>IF(OR(A4791="",B4791=""),"",DATE(YEAR(B4791),MONTH(B4791),1))</f>
        <v/>
      </c>
      <c r="L4791" s="7">
        <f>IF(COUNTA(A4791,B4791)=0,"",IF(OR(A4791="",B4791=""),"Preencher CPF e entrada",IF(COUNTIFS($A$12:$A$5011,A4791,$B$12:$B$5011,B4791)&gt;1,"CPF + dia duplicado",IF(OR(AND(E4791&lt;&gt;"",E4791&lt;B4791),AND(F4791&lt;&gt;"",F4791&lt;B4791)),"Evento anterior à entrada",IF(AND(F4791&lt;&gt;"",E4791=""),"Conversa sem agendamento",IF(OR(E4791&gt;TODAY(),F4791&gt;TODAY()),"Verificar evento futuro","OK"))))))</f>
        <v/>
      </c>
    </row>
    <row r="4792" spans="9:12">
      <c r="I4792" s="5">
        <f>IF(OR(A4792="",B4792=""),"",B4792-WEEKDAY(B4792,2)+1)</f>
        <v/>
      </c>
      <c r="J4792" s="5">
        <f>IF(I4792="","",I4792+6)</f>
        <v/>
      </c>
      <c r="K4792" s="6">
        <f>IF(OR(A4792="",B4792=""),"",DATE(YEAR(B4792),MONTH(B4792),1))</f>
        <v/>
      </c>
      <c r="L4792" s="7">
        <f>IF(COUNTA(A4792,B4792)=0,"",IF(OR(A4792="",B4792=""),"Preencher CPF e entrada",IF(COUNTIFS($A$12:$A$5011,A4792,$B$12:$B$5011,B4792)&gt;1,"CPF + dia duplicado",IF(OR(AND(E4792&lt;&gt;"",E4792&lt;B4792),AND(F4792&lt;&gt;"",F4792&lt;B4792)),"Evento anterior à entrada",IF(AND(F4792&lt;&gt;"",E4792=""),"Conversa sem agendamento",IF(OR(E4792&gt;TODAY(),F4792&gt;TODAY()),"Verificar evento futuro","OK"))))))</f>
        <v/>
      </c>
    </row>
    <row r="4793" spans="9:12">
      <c r="I4793" s="5">
        <f>IF(OR(A4793="",B4793=""),"",B4793-WEEKDAY(B4793,2)+1)</f>
        <v/>
      </c>
      <c r="J4793" s="5">
        <f>IF(I4793="","",I4793+6)</f>
        <v/>
      </c>
      <c r="K4793" s="6">
        <f>IF(OR(A4793="",B4793=""),"",DATE(YEAR(B4793),MONTH(B4793),1))</f>
        <v/>
      </c>
      <c r="L4793" s="7">
        <f>IF(COUNTA(A4793,B4793)=0,"",IF(OR(A4793="",B4793=""),"Preencher CPF e entrada",IF(COUNTIFS($A$12:$A$5011,A4793,$B$12:$B$5011,B4793)&gt;1,"CPF + dia duplicado",IF(OR(AND(E4793&lt;&gt;"",E4793&lt;B4793),AND(F4793&lt;&gt;"",F4793&lt;B4793)),"Evento anterior à entrada",IF(AND(F4793&lt;&gt;"",E4793=""),"Conversa sem agendamento",IF(OR(E4793&gt;TODAY(),F4793&gt;TODAY()),"Verificar evento futuro","OK"))))))</f>
        <v/>
      </c>
    </row>
    <row r="4794" spans="9:12">
      <c r="I4794" s="5">
        <f>IF(OR(A4794="",B4794=""),"",B4794-WEEKDAY(B4794,2)+1)</f>
        <v/>
      </c>
      <c r="J4794" s="5">
        <f>IF(I4794="","",I4794+6)</f>
        <v/>
      </c>
      <c r="K4794" s="6">
        <f>IF(OR(A4794="",B4794=""),"",DATE(YEAR(B4794),MONTH(B4794),1))</f>
        <v/>
      </c>
      <c r="L4794" s="7">
        <f>IF(COUNTA(A4794,B4794)=0,"",IF(OR(A4794="",B4794=""),"Preencher CPF e entrada",IF(COUNTIFS($A$12:$A$5011,A4794,$B$12:$B$5011,B4794)&gt;1,"CPF + dia duplicado",IF(OR(AND(E4794&lt;&gt;"",E4794&lt;B4794),AND(F4794&lt;&gt;"",F4794&lt;B4794)),"Evento anterior à entrada",IF(AND(F4794&lt;&gt;"",E4794=""),"Conversa sem agendamento",IF(OR(E4794&gt;TODAY(),F4794&gt;TODAY()),"Verificar evento futuro","OK"))))))</f>
        <v/>
      </c>
    </row>
    <row r="4795" spans="9:12">
      <c r="I4795" s="5">
        <f>IF(OR(A4795="",B4795=""),"",B4795-WEEKDAY(B4795,2)+1)</f>
        <v/>
      </c>
      <c r="J4795" s="5">
        <f>IF(I4795="","",I4795+6)</f>
        <v/>
      </c>
      <c r="K4795" s="6">
        <f>IF(OR(A4795="",B4795=""),"",DATE(YEAR(B4795),MONTH(B4795),1))</f>
        <v/>
      </c>
      <c r="L4795" s="7">
        <f>IF(COUNTA(A4795,B4795)=0,"",IF(OR(A4795="",B4795=""),"Preencher CPF e entrada",IF(COUNTIFS($A$12:$A$5011,A4795,$B$12:$B$5011,B4795)&gt;1,"CPF + dia duplicado",IF(OR(AND(E4795&lt;&gt;"",E4795&lt;B4795),AND(F4795&lt;&gt;"",F4795&lt;B4795)),"Evento anterior à entrada",IF(AND(F4795&lt;&gt;"",E4795=""),"Conversa sem agendamento",IF(OR(E4795&gt;TODAY(),F4795&gt;TODAY()),"Verificar evento futuro","OK"))))))</f>
        <v/>
      </c>
    </row>
    <row r="4796" spans="9:12">
      <c r="I4796" s="5">
        <f>IF(OR(A4796="",B4796=""),"",B4796-WEEKDAY(B4796,2)+1)</f>
        <v/>
      </c>
      <c r="J4796" s="5">
        <f>IF(I4796="","",I4796+6)</f>
        <v/>
      </c>
      <c r="K4796" s="6">
        <f>IF(OR(A4796="",B4796=""),"",DATE(YEAR(B4796),MONTH(B4796),1))</f>
        <v/>
      </c>
      <c r="L4796" s="7">
        <f>IF(COUNTA(A4796,B4796)=0,"",IF(OR(A4796="",B4796=""),"Preencher CPF e entrada",IF(COUNTIFS($A$12:$A$5011,A4796,$B$12:$B$5011,B4796)&gt;1,"CPF + dia duplicado",IF(OR(AND(E4796&lt;&gt;"",E4796&lt;B4796),AND(F4796&lt;&gt;"",F4796&lt;B4796)),"Evento anterior à entrada",IF(AND(F4796&lt;&gt;"",E4796=""),"Conversa sem agendamento",IF(OR(E4796&gt;TODAY(),F4796&gt;TODAY()),"Verificar evento futuro","OK"))))))</f>
        <v/>
      </c>
    </row>
    <row r="4797" spans="9:12">
      <c r="I4797" s="5">
        <f>IF(OR(A4797="",B4797=""),"",B4797-WEEKDAY(B4797,2)+1)</f>
        <v/>
      </c>
      <c r="J4797" s="5">
        <f>IF(I4797="","",I4797+6)</f>
        <v/>
      </c>
      <c r="K4797" s="6">
        <f>IF(OR(A4797="",B4797=""),"",DATE(YEAR(B4797),MONTH(B4797),1))</f>
        <v/>
      </c>
      <c r="L4797" s="7">
        <f>IF(COUNTA(A4797,B4797)=0,"",IF(OR(A4797="",B4797=""),"Preencher CPF e entrada",IF(COUNTIFS($A$12:$A$5011,A4797,$B$12:$B$5011,B4797)&gt;1,"CPF + dia duplicado",IF(OR(AND(E4797&lt;&gt;"",E4797&lt;B4797),AND(F4797&lt;&gt;"",F4797&lt;B4797)),"Evento anterior à entrada",IF(AND(F4797&lt;&gt;"",E4797=""),"Conversa sem agendamento",IF(OR(E4797&gt;TODAY(),F4797&gt;TODAY()),"Verificar evento futuro","OK"))))))</f>
        <v/>
      </c>
    </row>
    <row r="4798" spans="9:12">
      <c r="I4798" s="5">
        <f>IF(OR(A4798="",B4798=""),"",B4798-WEEKDAY(B4798,2)+1)</f>
        <v/>
      </c>
      <c r="J4798" s="5">
        <f>IF(I4798="","",I4798+6)</f>
        <v/>
      </c>
      <c r="K4798" s="6">
        <f>IF(OR(A4798="",B4798=""),"",DATE(YEAR(B4798),MONTH(B4798),1))</f>
        <v/>
      </c>
      <c r="L4798" s="7">
        <f>IF(COUNTA(A4798,B4798)=0,"",IF(OR(A4798="",B4798=""),"Preencher CPF e entrada",IF(COUNTIFS($A$12:$A$5011,A4798,$B$12:$B$5011,B4798)&gt;1,"CPF + dia duplicado",IF(OR(AND(E4798&lt;&gt;"",E4798&lt;B4798),AND(F4798&lt;&gt;"",F4798&lt;B4798)),"Evento anterior à entrada",IF(AND(F4798&lt;&gt;"",E4798=""),"Conversa sem agendamento",IF(OR(E4798&gt;TODAY(),F4798&gt;TODAY()),"Verificar evento futuro","OK"))))))</f>
        <v/>
      </c>
    </row>
    <row r="4799" spans="9:12">
      <c r="I4799" s="5">
        <f>IF(OR(A4799="",B4799=""),"",B4799-WEEKDAY(B4799,2)+1)</f>
        <v/>
      </c>
      <c r="J4799" s="5">
        <f>IF(I4799="","",I4799+6)</f>
        <v/>
      </c>
      <c r="K4799" s="6">
        <f>IF(OR(A4799="",B4799=""),"",DATE(YEAR(B4799),MONTH(B4799),1))</f>
        <v/>
      </c>
      <c r="L4799" s="7">
        <f>IF(COUNTA(A4799,B4799)=0,"",IF(OR(A4799="",B4799=""),"Preencher CPF e entrada",IF(COUNTIFS($A$12:$A$5011,A4799,$B$12:$B$5011,B4799)&gt;1,"CPF + dia duplicado",IF(OR(AND(E4799&lt;&gt;"",E4799&lt;B4799),AND(F4799&lt;&gt;"",F4799&lt;B4799)),"Evento anterior à entrada",IF(AND(F4799&lt;&gt;"",E4799=""),"Conversa sem agendamento",IF(OR(E4799&gt;TODAY(),F4799&gt;TODAY()),"Verificar evento futuro","OK"))))))</f>
        <v/>
      </c>
    </row>
    <row r="4800" spans="9:12">
      <c r="I4800" s="5">
        <f>IF(OR(A4800="",B4800=""),"",B4800-WEEKDAY(B4800,2)+1)</f>
        <v/>
      </c>
      <c r="J4800" s="5">
        <f>IF(I4800="","",I4800+6)</f>
        <v/>
      </c>
      <c r="K4800" s="6">
        <f>IF(OR(A4800="",B4800=""),"",DATE(YEAR(B4800),MONTH(B4800),1))</f>
        <v/>
      </c>
      <c r="L4800" s="7">
        <f>IF(COUNTA(A4800,B4800)=0,"",IF(OR(A4800="",B4800=""),"Preencher CPF e entrada",IF(COUNTIFS($A$12:$A$5011,A4800,$B$12:$B$5011,B4800)&gt;1,"CPF + dia duplicado",IF(OR(AND(E4800&lt;&gt;"",E4800&lt;B4800),AND(F4800&lt;&gt;"",F4800&lt;B4800)),"Evento anterior à entrada",IF(AND(F4800&lt;&gt;"",E4800=""),"Conversa sem agendamento",IF(OR(E4800&gt;TODAY(),F4800&gt;TODAY()),"Verificar evento futuro","OK"))))))</f>
        <v/>
      </c>
    </row>
    <row r="4801" spans="9:12">
      <c r="I4801" s="5">
        <f>IF(OR(A4801="",B4801=""),"",B4801-WEEKDAY(B4801,2)+1)</f>
        <v/>
      </c>
      <c r="J4801" s="5">
        <f>IF(I4801="","",I4801+6)</f>
        <v/>
      </c>
      <c r="K4801" s="6">
        <f>IF(OR(A4801="",B4801=""),"",DATE(YEAR(B4801),MONTH(B4801),1))</f>
        <v/>
      </c>
      <c r="L4801" s="7">
        <f>IF(COUNTA(A4801,B4801)=0,"",IF(OR(A4801="",B4801=""),"Preencher CPF e entrada",IF(COUNTIFS($A$12:$A$5011,A4801,$B$12:$B$5011,B4801)&gt;1,"CPF + dia duplicado",IF(OR(AND(E4801&lt;&gt;"",E4801&lt;B4801),AND(F4801&lt;&gt;"",F4801&lt;B4801)),"Evento anterior à entrada",IF(AND(F4801&lt;&gt;"",E4801=""),"Conversa sem agendamento",IF(OR(E4801&gt;TODAY(),F4801&gt;TODAY()),"Verificar evento futuro","OK"))))))</f>
        <v/>
      </c>
    </row>
    <row r="4802" spans="9:12">
      <c r="I4802" s="5">
        <f>IF(OR(A4802="",B4802=""),"",B4802-WEEKDAY(B4802,2)+1)</f>
        <v/>
      </c>
      <c r="J4802" s="5">
        <f>IF(I4802="","",I4802+6)</f>
        <v/>
      </c>
      <c r="K4802" s="6">
        <f>IF(OR(A4802="",B4802=""),"",DATE(YEAR(B4802),MONTH(B4802),1))</f>
        <v/>
      </c>
      <c r="L4802" s="7">
        <f>IF(COUNTA(A4802,B4802)=0,"",IF(OR(A4802="",B4802=""),"Preencher CPF e entrada",IF(COUNTIFS($A$12:$A$5011,A4802,$B$12:$B$5011,B4802)&gt;1,"CPF + dia duplicado",IF(OR(AND(E4802&lt;&gt;"",E4802&lt;B4802),AND(F4802&lt;&gt;"",F4802&lt;B4802)),"Evento anterior à entrada",IF(AND(F4802&lt;&gt;"",E4802=""),"Conversa sem agendamento",IF(OR(E4802&gt;TODAY(),F4802&gt;TODAY()),"Verificar evento futuro","OK"))))))</f>
        <v/>
      </c>
    </row>
    <row r="4803" spans="9:12">
      <c r="I4803" s="5">
        <f>IF(OR(A4803="",B4803=""),"",B4803-WEEKDAY(B4803,2)+1)</f>
        <v/>
      </c>
      <c r="J4803" s="5">
        <f>IF(I4803="","",I4803+6)</f>
        <v/>
      </c>
      <c r="K4803" s="6">
        <f>IF(OR(A4803="",B4803=""),"",DATE(YEAR(B4803),MONTH(B4803),1))</f>
        <v/>
      </c>
      <c r="L4803" s="7">
        <f>IF(COUNTA(A4803,B4803)=0,"",IF(OR(A4803="",B4803=""),"Preencher CPF e entrada",IF(COUNTIFS($A$12:$A$5011,A4803,$B$12:$B$5011,B4803)&gt;1,"CPF + dia duplicado",IF(OR(AND(E4803&lt;&gt;"",E4803&lt;B4803),AND(F4803&lt;&gt;"",F4803&lt;B4803)),"Evento anterior à entrada",IF(AND(F4803&lt;&gt;"",E4803=""),"Conversa sem agendamento",IF(OR(E4803&gt;TODAY(),F4803&gt;TODAY()),"Verificar evento futuro","OK"))))))</f>
        <v/>
      </c>
    </row>
    <row r="4804" spans="9:12">
      <c r="I4804" s="5">
        <f>IF(OR(A4804="",B4804=""),"",B4804-WEEKDAY(B4804,2)+1)</f>
        <v/>
      </c>
      <c r="J4804" s="5">
        <f>IF(I4804="","",I4804+6)</f>
        <v/>
      </c>
      <c r="K4804" s="6">
        <f>IF(OR(A4804="",B4804=""),"",DATE(YEAR(B4804),MONTH(B4804),1))</f>
        <v/>
      </c>
      <c r="L4804" s="7">
        <f>IF(COUNTA(A4804,B4804)=0,"",IF(OR(A4804="",B4804=""),"Preencher CPF e entrada",IF(COUNTIFS($A$12:$A$5011,A4804,$B$12:$B$5011,B4804)&gt;1,"CPF + dia duplicado",IF(OR(AND(E4804&lt;&gt;"",E4804&lt;B4804),AND(F4804&lt;&gt;"",F4804&lt;B4804)),"Evento anterior à entrada",IF(AND(F4804&lt;&gt;"",E4804=""),"Conversa sem agendamento",IF(OR(E4804&gt;TODAY(),F4804&gt;TODAY()),"Verificar evento futuro","OK"))))))</f>
        <v/>
      </c>
    </row>
    <row r="4805" spans="9:12">
      <c r="I4805" s="5">
        <f>IF(OR(A4805="",B4805=""),"",B4805-WEEKDAY(B4805,2)+1)</f>
        <v/>
      </c>
      <c r="J4805" s="5">
        <f>IF(I4805="","",I4805+6)</f>
        <v/>
      </c>
      <c r="K4805" s="6">
        <f>IF(OR(A4805="",B4805=""),"",DATE(YEAR(B4805),MONTH(B4805),1))</f>
        <v/>
      </c>
      <c r="L4805" s="7">
        <f>IF(COUNTA(A4805,B4805)=0,"",IF(OR(A4805="",B4805=""),"Preencher CPF e entrada",IF(COUNTIFS($A$12:$A$5011,A4805,$B$12:$B$5011,B4805)&gt;1,"CPF + dia duplicado",IF(OR(AND(E4805&lt;&gt;"",E4805&lt;B4805),AND(F4805&lt;&gt;"",F4805&lt;B4805)),"Evento anterior à entrada",IF(AND(F4805&lt;&gt;"",E4805=""),"Conversa sem agendamento",IF(OR(E4805&gt;TODAY(),F4805&gt;TODAY()),"Verificar evento futuro","OK"))))))</f>
        <v/>
      </c>
    </row>
    <row r="4806" spans="9:12">
      <c r="I4806" s="5">
        <f>IF(OR(A4806="",B4806=""),"",B4806-WEEKDAY(B4806,2)+1)</f>
        <v/>
      </c>
      <c r="J4806" s="5">
        <f>IF(I4806="","",I4806+6)</f>
        <v/>
      </c>
      <c r="K4806" s="6">
        <f>IF(OR(A4806="",B4806=""),"",DATE(YEAR(B4806),MONTH(B4806),1))</f>
        <v/>
      </c>
      <c r="L4806" s="7">
        <f>IF(COUNTA(A4806,B4806)=0,"",IF(OR(A4806="",B4806=""),"Preencher CPF e entrada",IF(COUNTIFS($A$12:$A$5011,A4806,$B$12:$B$5011,B4806)&gt;1,"CPF + dia duplicado",IF(OR(AND(E4806&lt;&gt;"",E4806&lt;B4806),AND(F4806&lt;&gt;"",F4806&lt;B4806)),"Evento anterior à entrada",IF(AND(F4806&lt;&gt;"",E4806=""),"Conversa sem agendamento",IF(OR(E4806&gt;TODAY(),F4806&gt;TODAY()),"Verificar evento futuro","OK"))))))</f>
        <v/>
      </c>
    </row>
    <row r="4807" spans="9:12">
      <c r="I4807" s="5">
        <f>IF(OR(A4807="",B4807=""),"",B4807-WEEKDAY(B4807,2)+1)</f>
        <v/>
      </c>
      <c r="J4807" s="5">
        <f>IF(I4807="","",I4807+6)</f>
        <v/>
      </c>
      <c r="K4807" s="6">
        <f>IF(OR(A4807="",B4807=""),"",DATE(YEAR(B4807),MONTH(B4807),1))</f>
        <v/>
      </c>
      <c r="L4807" s="7">
        <f>IF(COUNTA(A4807,B4807)=0,"",IF(OR(A4807="",B4807=""),"Preencher CPF e entrada",IF(COUNTIFS($A$12:$A$5011,A4807,$B$12:$B$5011,B4807)&gt;1,"CPF + dia duplicado",IF(OR(AND(E4807&lt;&gt;"",E4807&lt;B4807),AND(F4807&lt;&gt;"",F4807&lt;B4807)),"Evento anterior à entrada",IF(AND(F4807&lt;&gt;"",E4807=""),"Conversa sem agendamento",IF(OR(E4807&gt;TODAY(),F4807&gt;TODAY()),"Verificar evento futuro","OK"))))))</f>
        <v/>
      </c>
    </row>
    <row r="4808" spans="9:12">
      <c r="I4808" s="5">
        <f>IF(OR(A4808="",B4808=""),"",B4808-WEEKDAY(B4808,2)+1)</f>
        <v/>
      </c>
      <c r="J4808" s="5">
        <f>IF(I4808="","",I4808+6)</f>
        <v/>
      </c>
      <c r="K4808" s="6">
        <f>IF(OR(A4808="",B4808=""),"",DATE(YEAR(B4808),MONTH(B4808),1))</f>
        <v/>
      </c>
      <c r="L4808" s="7">
        <f>IF(COUNTA(A4808,B4808)=0,"",IF(OR(A4808="",B4808=""),"Preencher CPF e entrada",IF(COUNTIFS($A$12:$A$5011,A4808,$B$12:$B$5011,B4808)&gt;1,"CPF + dia duplicado",IF(OR(AND(E4808&lt;&gt;"",E4808&lt;B4808),AND(F4808&lt;&gt;"",F4808&lt;B4808)),"Evento anterior à entrada",IF(AND(F4808&lt;&gt;"",E4808=""),"Conversa sem agendamento",IF(OR(E4808&gt;TODAY(),F4808&gt;TODAY()),"Verificar evento futuro","OK"))))))</f>
        <v/>
      </c>
    </row>
    <row r="4809" spans="9:12">
      <c r="I4809" s="5">
        <f>IF(OR(A4809="",B4809=""),"",B4809-WEEKDAY(B4809,2)+1)</f>
        <v/>
      </c>
      <c r="J4809" s="5">
        <f>IF(I4809="","",I4809+6)</f>
        <v/>
      </c>
      <c r="K4809" s="6">
        <f>IF(OR(A4809="",B4809=""),"",DATE(YEAR(B4809),MONTH(B4809),1))</f>
        <v/>
      </c>
      <c r="L4809" s="7">
        <f>IF(COUNTA(A4809,B4809)=0,"",IF(OR(A4809="",B4809=""),"Preencher CPF e entrada",IF(COUNTIFS($A$12:$A$5011,A4809,$B$12:$B$5011,B4809)&gt;1,"CPF + dia duplicado",IF(OR(AND(E4809&lt;&gt;"",E4809&lt;B4809),AND(F4809&lt;&gt;"",F4809&lt;B4809)),"Evento anterior à entrada",IF(AND(F4809&lt;&gt;"",E4809=""),"Conversa sem agendamento",IF(OR(E4809&gt;TODAY(),F4809&gt;TODAY()),"Verificar evento futuro","OK"))))))</f>
        <v/>
      </c>
    </row>
    <row r="4810" spans="9:12">
      <c r="I4810" s="5">
        <f>IF(OR(A4810="",B4810=""),"",B4810-WEEKDAY(B4810,2)+1)</f>
        <v/>
      </c>
      <c r="J4810" s="5">
        <f>IF(I4810="","",I4810+6)</f>
        <v/>
      </c>
      <c r="K4810" s="6">
        <f>IF(OR(A4810="",B4810=""),"",DATE(YEAR(B4810),MONTH(B4810),1))</f>
        <v/>
      </c>
      <c r="L4810" s="7">
        <f>IF(COUNTA(A4810,B4810)=0,"",IF(OR(A4810="",B4810=""),"Preencher CPF e entrada",IF(COUNTIFS($A$12:$A$5011,A4810,$B$12:$B$5011,B4810)&gt;1,"CPF + dia duplicado",IF(OR(AND(E4810&lt;&gt;"",E4810&lt;B4810),AND(F4810&lt;&gt;"",F4810&lt;B4810)),"Evento anterior à entrada",IF(AND(F4810&lt;&gt;"",E4810=""),"Conversa sem agendamento",IF(OR(E4810&gt;TODAY(),F4810&gt;TODAY()),"Verificar evento futuro","OK"))))))</f>
        <v/>
      </c>
    </row>
    <row r="4811" spans="9:12">
      <c r="I4811" s="5">
        <f>IF(OR(A4811="",B4811=""),"",B4811-WEEKDAY(B4811,2)+1)</f>
        <v/>
      </c>
      <c r="J4811" s="5">
        <f>IF(I4811="","",I4811+6)</f>
        <v/>
      </c>
      <c r="K4811" s="6">
        <f>IF(OR(A4811="",B4811=""),"",DATE(YEAR(B4811),MONTH(B4811),1))</f>
        <v/>
      </c>
      <c r="L4811" s="7">
        <f>IF(COUNTA(A4811,B4811)=0,"",IF(OR(A4811="",B4811=""),"Preencher CPF e entrada",IF(COUNTIFS($A$12:$A$5011,A4811,$B$12:$B$5011,B4811)&gt;1,"CPF + dia duplicado",IF(OR(AND(E4811&lt;&gt;"",E4811&lt;B4811),AND(F4811&lt;&gt;"",F4811&lt;B4811)),"Evento anterior à entrada",IF(AND(F4811&lt;&gt;"",E4811=""),"Conversa sem agendamento",IF(OR(E4811&gt;TODAY(),F4811&gt;TODAY()),"Verificar evento futuro","OK"))))))</f>
        <v/>
      </c>
    </row>
    <row r="4812" spans="9:12">
      <c r="I4812" s="5">
        <f>IF(OR(A4812="",B4812=""),"",B4812-WEEKDAY(B4812,2)+1)</f>
        <v/>
      </c>
      <c r="J4812" s="5">
        <f>IF(I4812="","",I4812+6)</f>
        <v/>
      </c>
      <c r="K4812" s="6">
        <f>IF(OR(A4812="",B4812=""),"",DATE(YEAR(B4812),MONTH(B4812),1))</f>
        <v/>
      </c>
      <c r="L4812" s="7">
        <f>IF(COUNTA(A4812,B4812)=0,"",IF(OR(A4812="",B4812=""),"Preencher CPF e entrada",IF(COUNTIFS($A$12:$A$5011,A4812,$B$12:$B$5011,B4812)&gt;1,"CPF + dia duplicado",IF(OR(AND(E4812&lt;&gt;"",E4812&lt;B4812),AND(F4812&lt;&gt;"",F4812&lt;B4812)),"Evento anterior à entrada",IF(AND(F4812&lt;&gt;"",E4812=""),"Conversa sem agendamento",IF(OR(E4812&gt;TODAY(),F4812&gt;TODAY()),"Verificar evento futuro","OK"))))))</f>
        <v/>
      </c>
    </row>
    <row r="4813" spans="9:12">
      <c r="I4813" s="5">
        <f>IF(OR(A4813="",B4813=""),"",B4813-WEEKDAY(B4813,2)+1)</f>
        <v/>
      </c>
      <c r="J4813" s="5">
        <f>IF(I4813="","",I4813+6)</f>
        <v/>
      </c>
      <c r="K4813" s="6">
        <f>IF(OR(A4813="",B4813=""),"",DATE(YEAR(B4813),MONTH(B4813),1))</f>
        <v/>
      </c>
      <c r="L4813" s="7">
        <f>IF(COUNTA(A4813,B4813)=0,"",IF(OR(A4813="",B4813=""),"Preencher CPF e entrada",IF(COUNTIFS($A$12:$A$5011,A4813,$B$12:$B$5011,B4813)&gt;1,"CPF + dia duplicado",IF(OR(AND(E4813&lt;&gt;"",E4813&lt;B4813),AND(F4813&lt;&gt;"",F4813&lt;B4813)),"Evento anterior à entrada",IF(AND(F4813&lt;&gt;"",E4813=""),"Conversa sem agendamento",IF(OR(E4813&gt;TODAY(),F4813&gt;TODAY()),"Verificar evento futuro","OK"))))))</f>
        <v/>
      </c>
    </row>
    <row r="4814" spans="9:12">
      <c r="I4814" s="5">
        <f>IF(OR(A4814="",B4814=""),"",B4814-WEEKDAY(B4814,2)+1)</f>
        <v/>
      </c>
      <c r="J4814" s="5">
        <f>IF(I4814="","",I4814+6)</f>
        <v/>
      </c>
      <c r="K4814" s="6">
        <f>IF(OR(A4814="",B4814=""),"",DATE(YEAR(B4814),MONTH(B4814),1))</f>
        <v/>
      </c>
      <c r="L4814" s="7">
        <f>IF(COUNTA(A4814,B4814)=0,"",IF(OR(A4814="",B4814=""),"Preencher CPF e entrada",IF(COUNTIFS($A$12:$A$5011,A4814,$B$12:$B$5011,B4814)&gt;1,"CPF + dia duplicado",IF(OR(AND(E4814&lt;&gt;"",E4814&lt;B4814),AND(F4814&lt;&gt;"",F4814&lt;B4814)),"Evento anterior à entrada",IF(AND(F4814&lt;&gt;"",E4814=""),"Conversa sem agendamento",IF(OR(E4814&gt;TODAY(),F4814&gt;TODAY()),"Verificar evento futuro","OK"))))))</f>
        <v/>
      </c>
    </row>
    <row r="4815" spans="9:12">
      <c r="I4815" s="5">
        <f>IF(OR(A4815="",B4815=""),"",B4815-WEEKDAY(B4815,2)+1)</f>
        <v/>
      </c>
      <c r="J4815" s="5">
        <f>IF(I4815="","",I4815+6)</f>
        <v/>
      </c>
      <c r="K4815" s="6">
        <f>IF(OR(A4815="",B4815=""),"",DATE(YEAR(B4815),MONTH(B4815),1))</f>
        <v/>
      </c>
      <c r="L4815" s="7">
        <f>IF(COUNTA(A4815,B4815)=0,"",IF(OR(A4815="",B4815=""),"Preencher CPF e entrada",IF(COUNTIFS($A$12:$A$5011,A4815,$B$12:$B$5011,B4815)&gt;1,"CPF + dia duplicado",IF(OR(AND(E4815&lt;&gt;"",E4815&lt;B4815),AND(F4815&lt;&gt;"",F4815&lt;B4815)),"Evento anterior à entrada",IF(AND(F4815&lt;&gt;"",E4815=""),"Conversa sem agendamento",IF(OR(E4815&gt;TODAY(),F4815&gt;TODAY()),"Verificar evento futuro","OK"))))))</f>
        <v/>
      </c>
    </row>
    <row r="4816" spans="9:12">
      <c r="I4816" s="5">
        <f>IF(OR(A4816="",B4816=""),"",B4816-WEEKDAY(B4816,2)+1)</f>
        <v/>
      </c>
      <c r="J4816" s="5">
        <f>IF(I4816="","",I4816+6)</f>
        <v/>
      </c>
      <c r="K4816" s="6">
        <f>IF(OR(A4816="",B4816=""),"",DATE(YEAR(B4816),MONTH(B4816),1))</f>
        <v/>
      </c>
      <c r="L4816" s="7">
        <f>IF(COUNTA(A4816,B4816)=0,"",IF(OR(A4816="",B4816=""),"Preencher CPF e entrada",IF(COUNTIFS($A$12:$A$5011,A4816,$B$12:$B$5011,B4816)&gt;1,"CPF + dia duplicado",IF(OR(AND(E4816&lt;&gt;"",E4816&lt;B4816),AND(F4816&lt;&gt;"",F4816&lt;B4816)),"Evento anterior à entrada",IF(AND(F4816&lt;&gt;"",E4816=""),"Conversa sem agendamento",IF(OR(E4816&gt;TODAY(),F4816&gt;TODAY()),"Verificar evento futuro","OK"))))))</f>
        <v/>
      </c>
    </row>
    <row r="4817" spans="9:12">
      <c r="I4817" s="5">
        <f>IF(OR(A4817="",B4817=""),"",B4817-WEEKDAY(B4817,2)+1)</f>
        <v/>
      </c>
      <c r="J4817" s="5">
        <f>IF(I4817="","",I4817+6)</f>
        <v/>
      </c>
      <c r="K4817" s="6">
        <f>IF(OR(A4817="",B4817=""),"",DATE(YEAR(B4817),MONTH(B4817),1))</f>
        <v/>
      </c>
      <c r="L4817" s="7">
        <f>IF(COUNTA(A4817,B4817)=0,"",IF(OR(A4817="",B4817=""),"Preencher CPF e entrada",IF(COUNTIFS($A$12:$A$5011,A4817,$B$12:$B$5011,B4817)&gt;1,"CPF + dia duplicado",IF(OR(AND(E4817&lt;&gt;"",E4817&lt;B4817),AND(F4817&lt;&gt;"",F4817&lt;B4817)),"Evento anterior à entrada",IF(AND(F4817&lt;&gt;"",E4817=""),"Conversa sem agendamento",IF(OR(E4817&gt;TODAY(),F4817&gt;TODAY()),"Verificar evento futuro","OK"))))))</f>
        <v/>
      </c>
    </row>
    <row r="4818" spans="9:12">
      <c r="I4818" s="5">
        <f>IF(OR(A4818="",B4818=""),"",B4818-WEEKDAY(B4818,2)+1)</f>
        <v/>
      </c>
      <c r="J4818" s="5">
        <f>IF(I4818="","",I4818+6)</f>
        <v/>
      </c>
      <c r="K4818" s="6">
        <f>IF(OR(A4818="",B4818=""),"",DATE(YEAR(B4818),MONTH(B4818),1))</f>
        <v/>
      </c>
      <c r="L4818" s="7">
        <f>IF(COUNTA(A4818,B4818)=0,"",IF(OR(A4818="",B4818=""),"Preencher CPF e entrada",IF(COUNTIFS($A$12:$A$5011,A4818,$B$12:$B$5011,B4818)&gt;1,"CPF + dia duplicado",IF(OR(AND(E4818&lt;&gt;"",E4818&lt;B4818),AND(F4818&lt;&gt;"",F4818&lt;B4818)),"Evento anterior à entrada",IF(AND(F4818&lt;&gt;"",E4818=""),"Conversa sem agendamento",IF(OR(E4818&gt;TODAY(),F4818&gt;TODAY()),"Verificar evento futuro","OK"))))))</f>
        <v/>
      </c>
    </row>
    <row r="4819" spans="9:12">
      <c r="I4819" s="5">
        <f>IF(OR(A4819="",B4819=""),"",B4819-WEEKDAY(B4819,2)+1)</f>
        <v/>
      </c>
      <c r="J4819" s="5">
        <f>IF(I4819="","",I4819+6)</f>
        <v/>
      </c>
      <c r="K4819" s="6">
        <f>IF(OR(A4819="",B4819=""),"",DATE(YEAR(B4819),MONTH(B4819),1))</f>
        <v/>
      </c>
      <c r="L4819" s="7">
        <f>IF(COUNTA(A4819,B4819)=0,"",IF(OR(A4819="",B4819=""),"Preencher CPF e entrada",IF(COUNTIFS($A$12:$A$5011,A4819,$B$12:$B$5011,B4819)&gt;1,"CPF + dia duplicado",IF(OR(AND(E4819&lt;&gt;"",E4819&lt;B4819),AND(F4819&lt;&gt;"",F4819&lt;B4819)),"Evento anterior à entrada",IF(AND(F4819&lt;&gt;"",E4819=""),"Conversa sem agendamento",IF(OR(E4819&gt;TODAY(),F4819&gt;TODAY()),"Verificar evento futuro","OK"))))))</f>
        <v/>
      </c>
    </row>
    <row r="4820" spans="9:12">
      <c r="I4820" s="5">
        <f>IF(OR(A4820="",B4820=""),"",B4820-WEEKDAY(B4820,2)+1)</f>
        <v/>
      </c>
      <c r="J4820" s="5">
        <f>IF(I4820="","",I4820+6)</f>
        <v/>
      </c>
      <c r="K4820" s="6">
        <f>IF(OR(A4820="",B4820=""),"",DATE(YEAR(B4820),MONTH(B4820),1))</f>
        <v/>
      </c>
      <c r="L4820" s="7">
        <f>IF(COUNTA(A4820,B4820)=0,"",IF(OR(A4820="",B4820=""),"Preencher CPF e entrada",IF(COUNTIFS($A$12:$A$5011,A4820,$B$12:$B$5011,B4820)&gt;1,"CPF + dia duplicado",IF(OR(AND(E4820&lt;&gt;"",E4820&lt;B4820),AND(F4820&lt;&gt;"",F4820&lt;B4820)),"Evento anterior à entrada",IF(AND(F4820&lt;&gt;"",E4820=""),"Conversa sem agendamento",IF(OR(E4820&gt;TODAY(),F4820&gt;TODAY()),"Verificar evento futuro","OK"))))))</f>
        <v/>
      </c>
    </row>
    <row r="4821" spans="9:12">
      <c r="I4821" s="5">
        <f>IF(OR(A4821="",B4821=""),"",B4821-WEEKDAY(B4821,2)+1)</f>
        <v/>
      </c>
      <c r="J4821" s="5">
        <f>IF(I4821="","",I4821+6)</f>
        <v/>
      </c>
      <c r="K4821" s="6">
        <f>IF(OR(A4821="",B4821=""),"",DATE(YEAR(B4821),MONTH(B4821),1))</f>
        <v/>
      </c>
      <c r="L4821" s="7">
        <f>IF(COUNTA(A4821,B4821)=0,"",IF(OR(A4821="",B4821=""),"Preencher CPF e entrada",IF(COUNTIFS($A$12:$A$5011,A4821,$B$12:$B$5011,B4821)&gt;1,"CPF + dia duplicado",IF(OR(AND(E4821&lt;&gt;"",E4821&lt;B4821),AND(F4821&lt;&gt;"",F4821&lt;B4821)),"Evento anterior à entrada",IF(AND(F4821&lt;&gt;"",E4821=""),"Conversa sem agendamento",IF(OR(E4821&gt;TODAY(),F4821&gt;TODAY()),"Verificar evento futuro","OK"))))))</f>
        <v/>
      </c>
    </row>
    <row r="4822" spans="9:12">
      <c r="I4822" s="5">
        <f>IF(OR(A4822="",B4822=""),"",B4822-WEEKDAY(B4822,2)+1)</f>
        <v/>
      </c>
      <c r="J4822" s="5">
        <f>IF(I4822="","",I4822+6)</f>
        <v/>
      </c>
      <c r="K4822" s="6">
        <f>IF(OR(A4822="",B4822=""),"",DATE(YEAR(B4822),MONTH(B4822),1))</f>
        <v/>
      </c>
      <c r="L4822" s="7">
        <f>IF(COUNTA(A4822,B4822)=0,"",IF(OR(A4822="",B4822=""),"Preencher CPF e entrada",IF(COUNTIFS($A$12:$A$5011,A4822,$B$12:$B$5011,B4822)&gt;1,"CPF + dia duplicado",IF(OR(AND(E4822&lt;&gt;"",E4822&lt;B4822),AND(F4822&lt;&gt;"",F4822&lt;B4822)),"Evento anterior à entrada",IF(AND(F4822&lt;&gt;"",E4822=""),"Conversa sem agendamento",IF(OR(E4822&gt;TODAY(),F4822&gt;TODAY()),"Verificar evento futuro","OK"))))))</f>
        <v/>
      </c>
    </row>
    <row r="4823" spans="9:12">
      <c r="I4823" s="5">
        <f>IF(OR(A4823="",B4823=""),"",B4823-WEEKDAY(B4823,2)+1)</f>
        <v/>
      </c>
      <c r="J4823" s="5">
        <f>IF(I4823="","",I4823+6)</f>
        <v/>
      </c>
      <c r="K4823" s="6">
        <f>IF(OR(A4823="",B4823=""),"",DATE(YEAR(B4823),MONTH(B4823),1))</f>
        <v/>
      </c>
      <c r="L4823" s="7">
        <f>IF(COUNTA(A4823,B4823)=0,"",IF(OR(A4823="",B4823=""),"Preencher CPF e entrada",IF(COUNTIFS($A$12:$A$5011,A4823,$B$12:$B$5011,B4823)&gt;1,"CPF + dia duplicado",IF(OR(AND(E4823&lt;&gt;"",E4823&lt;B4823),AND(F4823&lt;&gt;"",F4823&lt;B4823)),"Evento anterior à entrada",IF(AND(F4823&lt;&gt;"",E4823=""),"Conversa sem agendamento",IF(OR(E4823&gt;TODAY(),F4823&gt;TODAY()),"Verificar evento futuro","OK"))))))</f>
        <v/>
      </c>
    </row>
    <row r="4824" spans="9:12">
      <c r="I4824" s="5">
        <f>IF(OR(A4824="",B4824=""),"",B4824-WEEKDAY(B4824,2)+1)</f>
        <v/>
      </c>
      <c r="J4824" s="5">
        <f>IF(I4824="","",I4824+6)</f>
        <v/>
      </c>
      <c r="K4824" s="6">
        <f>IF(OR(A4824="",B4824=""),"",DATE(YEAR(B4824),MONTH(B4824),1))</f>
        <v/>
      </c>
      <c r="L4824" s="7">
        <f>IF(COUNTA(A4824,B4824)=0,"",IF(OR(A4824="",B4824=""),"Preencher CPF e entrada",IF(COUNTIFS($A$12:$A$5011,A4824,$B$12:$B$5011,B4824)&gt;1,"CPF + dia duplicado",IF(OR(AND(E4824&lt;&gt;"",E4824&lt;B4824),AND(F4824&lt;&gt;"",F4824&lt;B4824)),"Evento anterior à entrada",IF(AND(F4824&lt;&gt;"",E4824=""),"Conversa sem agendamento",IF(OR(E4824&gt;TODAY(),F4824&gt;TODAY()),"Verificar evento futuro","OK"))))))</f>
        <v/>
      </c>
    </row>
    <row r="4825" spans="9:12">
      <c r="I4825" s="5">
        <f>IF(OR(A4825="",B4825=""),"",B4825-WEEKDAY(B4825,2)+1)</f>
        <v/>
      </c>
      <c r="J4825" s="5">
        <f>IF(I4825="","",I4825+6)</f>
        <v/>
      </c>
      <c r="K4825" s="6">
        <f>IF(OR(A4825="",B4825=""),"",DATE(YEAR(B4825),MONTH(B4825),1))</f>
        <v/>
      </c>
      <c r="L4825" s="7">
        <f>IF(COUNTA(A4825,B4825)=0,"",IF(OR(A4825="",B4825=""),"Preencher CPF e entrada",IF(COUNTIFS($A$12:$A$5011,A4825,$B$12:$B$5011,B4825)&gt;1,"CPF + dia duplicado",IF(OR(AND(E4825&lt;&gt;"",E4825&lt;B4825),AND(F4825&lt;&gt;"",F4825&lt;B4825)),"Evento anterior à entrada",IF(AND(F4825&lt;&gt;"",E4825=""),"Conversa sem agendamento",IF(OR(E4825&gt;TODAY(),F4825&gt;TODAY()),"Verificar evento futuro","OK"))))))</f>
        <v/>
      </c>
    </row>
    <row r="4826" spans="9:12">
      <c r="I4826" s="5">
        <f>IF(OR(A4826="",B4826=""),"",B4826-WEEKDAY(B4826,2)+1)</f>
        <v/>
      </c>
      <c r="J4826" s="5">
        <f>IF(I4826="","",I4826+6)</f>
        <v/>
      </c>
      <c r="K4826" s="6">
        <f>IF(OR(A4826="",B4826=""),"",DATE(YEAR(B4826),MONTH(B4826),1))</f>
        <v/>
      </c>
      <c r="L4826" s="7">
        <f>IF(COUNTA(A4826,B4826)=0,"",IF(OR(A4826="",B4826=""),"Preencher CPF e entrada",IF(COUNTIFS($A$12:$A$5011,A4826,$B$12:$B$5011,B4826)&gt;1,"CPF + dia duplicado",IF(OR(AND(E4826&lt;&gt;"",E4826&lt;B4826),AND(F4826&lt;&gt;"",F4826&lt;B4826)),"Evento anterior à entrada",IF(AND(F4826&lt;&gt;"",E4826=""),"Conversa sem agendamento",IF(OR(E4826&gt;TODAY(),F4826&gt;TODAY()),"Verificar evento futuro","OK"))))))</f>
        <v/>
      </c>
    </row>
    <row r="4827" spans="9:12">
      <c r="I4827" s="5">
        <f>IF(OR(A4827="",B4827=""),"",B4827-WEEKDAY(B4827,2)+1)</f>
        <v/>
      </c>
      <c r="J4827" s="5">
        <f>IF(I4827="","",I4827+6)</f>
        <v/>
      </c>
      <c r="K4827" s="6">
        <f>IF(OR(A4827="",B4827=""),"",DATE(YEAR(B4827),MONTH(B4827),1))</f>
        <v/>
      </c>
      <c r="L4827" s="7">
        <f>IF(COUNTA(A4827,B4827)=0,"",IF(OR(A4827="",B4827=""),"Preencher CPF e entrada",IF(COUNTIFS($A$12:$A$5011,A4827,$B$12:$B$5011,B4827)&gt;1,"CPF + dia duplicado",IF(OR(AND(E4827&lt;&gt;"",E4827&lt;B4827),AND(F4827&lt;&gt;"",F4827&lt;B4827)),"Evento anterior à entrada",IF(AND(F4827&lt;&gt;"",E4827=""),"Conversa sem agendamento",IF(OR(E4827&gt;TODAY(),F4827&gt;TODAY()),"Verificar evento futuro","OK"))))))</f>
        <v/>
      </c>
    </row>
    <row r="4828" spans="9:12">
      <c r="I4828" s="5">
        <f>IF(OR(A4828="",B4828=""),"",B4828-WEEKDAY(B4828,2)+1)</f>
        <v/>
      </c>
      <c r="J4828" s="5">
        <f>IF(I4828="","",I4828+6)</f>
        <v/>
      </c>
      <c r="K4828" s="6">
        <f>IF(OR(A4828="",B4828=""),"",DATE(YEAR(B4828),MONTH(B4828),1))</f>
        <v/>
      </c>
      <c r="L4828" s="7">
        <f>IF(COUNTA(A4828,B4828)=0,"",IF(OR(A4828="",B4828=""),"Preencher CPF e entrada",IF(COUNTIFS($A$12:$A$5011,A4828,$B$12:$B$5011,B4828)&gt;1,"CPF + dia duplicado",IF(OR(AND(E4828&lt;&gt;"",E4828&lt;B4828),AND(F4828&lt;&gt;"",F4828&lt;B4828)),"Evento anterior à entrada",IF(AND(F4828&lt;&gt;"",E4828=""),"Conversa sem agendamento",IF(OR(E4828&gt;TODAY(),F4828&gt;TODAY()),"Verificar evento futuro","OK"))))))</f>
        <v/>
      </c>
    </row>
    <row r="4829" spans="9:12">
      <c r="I4829" s="5">
        <f>IF(OR(A4829="",B4829=""),"",B4829-WEEKDAY(B4829,2)+1)</f>
        <v/>
      </c>
      <c r="J4829" s="5">
        <f>IF(I4829="","",I4829+6)</f>
        <v/>
      </c>
      <c r="K4829" s="6">
        <f>IF(OR(A4829="",B4829=""),"",DATE(YEAR(B4829),MONTH(B4829),1))</f>
        <v/>
      </c>
      <c r="L4829" s="7">
        <f>IF(COUNTA(A4829,B4829)=0,"",IF(OR(A4829="",B4829=""),"Preencher CPF e entrada",IF(COUNTIFS($A$12:$A$5011,A4829,$B$12:$B$5011,B4829)&gt;1,"CPF + dia duplicado",IF(OR(AND(E4829&lt;&gt;"",E4829&lt;B4829),AND(F4829&lt;&gt;"",F4829&lt;B4829)),"Evento anterior à entrada",IF(AND(F4829&lt;&gt;"",E4829=""),"Conversa sem agendamento",IF(OR(E4829&gt;TODAY(),F4829&gt;TODAY()),"Verificar evento futuro","OK"))))))</f>
        <v/>
      </c>
    </row>
    <row r="4830" spans="9:12">
      <c r="I4830" s="5">
        <f>IF(OR(A4830="",B4830=""),"",B4830-WEEKDAY(B4830,2)+1)</f>
        <v/>
      </c>
      <c r="J4830" s="5">
        <f>IF(I4830="","",I4830+6)</f>
        <v/>
      </c>
      <c r="K4830" s="6">
        <f>IF(OR(A4830="",B4830=""),"",DATE(YEAR(B4830),MONTH(B4830),1))</f>
        <v/>
      </c>
      <c r="L4830" s="7">
        <f>IF(COUNTA(A4830,B4830)=0,"",IF(OR(A4830="",B4830=""),"Preencher CPF e entrada",IF(COUNTIFS($A$12:$A$5011,A4830,$B$12:$B$5011,B4830)&gt;1,"CPF + dia duplicado",IF(OR(AND(E4830&lt;&gt;"",E4830&lt;B4830),AND(F4830&lt;&gt;"",F4830&lt;B4830)),"Evento anterior à entrada",IF(AND(F4830&lt;&gt;"",E4830=""),"Conversa sem agendamento",IF(OR(E4830&gt;TODAY(),F4830&gt;TODAY()),"Verificar evento futuro","OK"))))))</f>
        <v/>
      </c>
    </row>
    <row r="4831" spans="9:12">
      <c r="I4831" s="5">
        <f>IF(OR(A4831="",B4831=""),"",B4831-WEEKDAY(B4831,2)+1)</f>
        <v/>
      </c>
      <c r="J4831" s="5">
        <f>IF(I4831="","",I4831+6)</f>
        <v/>
      </c>
      <c r="K4831" s="6">
        <f>IF(OR(A4831="",B4831=""),"",DATE(YEAR(B4831),MONTH(B4831),1))</f>
        <v/>
      </c>
      <c r="L4831" s="7">
        <f>IF(COUNTA(A4831,B4831)=0,"",IF(OR(A4831="",B4831=""),"Preencher CPF e entrada",IF(COUNTIFS($A$12:$A$5011,A4831,$B$12:$B$5011,B4831)&gt;1,"CPF + dia duplicado",IF(OR(AND(E4831&lt;&gt;"",E4831&lt;B4831),AND(F4831&lt;&gt;"",F4831&lt;B4831)),"Evento anterior à entrada",IF(AND(F4831&lt;&gt;"",E4831=""),"Conversa sem agendamento",IF(OR(E4831&gt;TODAY(),F4831&gt;TODAY()),"Verificar evento futuro","OK"))))))</f>
        <v/>
      </c>
    </row>
    <row r="4832" spans="9:12">
      <c r="I4832" s="5">
        <f>IF(OR(A4832="",B4832=""),"",B4832-WEEKDAY(B4832,2)+1)</f>
        <v/>
      </c>
      <c r="J4832" s="5">
        <f>IF(I4832="","",I4832+6)</f>
        <v/>
      </c>
      <c r="K4832" s="6">
        <f>IF(OR(A4832="",B4832=""),"",DATE(YEAR(B4832),MONTH(B4832),1))</f>
        <v/>
      </c>
      <c r="L4832" s="7">
        <f>IF(COUNTA(A4832,B4832)=0,"",IF(OR(A4832="",B4832=""),"Preencher CPF e entrada",IF(COUNTIFS($A$12:$A$5011,A4832,$B$12:$B$5011,B4832)&gt;1,"CPF + dia duplicado",IF(OR(AND(E4832&lt;&gt;"",E4832&lt;B4832),AND(F4832&lt;&gt;"",F4832&lt;B4832)),"Evento anterior à entrada",IF(AND(F4832&lt;&gt;"",E4832=""),"Conversa sem agendamento",IF(OR(E4832&gt;TODAY(),F4832&gt;TODAY()),"Verificar evento futuro","OK"))))))</f>
        <v/>
      </c>
    </row>
    <row r="4833" spans="9:12">
      <c r="I4833" s="5">
        <f>IF(OR(A4833="",B4833=""),"",B4833-WEEKDAY(B4833,2)+1)</f>
        <v/>
      </c>
      <c r="J4833" s="5">
        <f>IF(I4833="","",I4833+6)</f>
        <v/>
      </c>
      <c r="K4833" s="6">
        <f>IF(OR(A4833="",B4833=""),"",DATE(YEAR(B4833),MONTH(B4833),1))</f>
        <v/>
      </c>
      <c r="L4833" s="7">
        <f>IF(COUNTA(A4833,B4833)=0,"",IF(OR(A4833="",B4833=""),"Preencher CPF e entrada",IF(COUNTIFS($A$12:$A$5011,A4833,$B$12:$B$5011,B4833)&gt;1,"CPF + dia duplicado",IF(OR(AND(E4833&lt;&gt;"",E4833&lt;B4833),AND(F4833&lt;&gt;"",F4833&lt;B4833)),"Evento anterior à entrada",IF(AND(F4833&lt;&gt;"",E4833=""),"Conversa sem agendamento",IF(OR(E4833&gt;TODAY(),F4833&gt;TODAY()),"Verificar evento futuro","OK"))))))</f>
        <v/>
      </c>
    </row>
    <row r="4834" spans="9:12">
      <c r="I4834" s="5">
        <f>IF(OR(A4834="",B4834=""),"",B4834-WEEKDAY(B4834,2)+1)</f>
        <v/>
      </c>
      <c r="J4834" s="5">
        <f>IF(I4834="","",I4834+6)</f>
        <v/>
      </c>
      <c r="K4834" s="6">
        <f>IF(OR(A4834="",B4834=""),"",DATE(YEAR(B4834),MONTH(B4834),1))</f>
        <v/>
      </c>
      <c r="L4834" s="7">
        <f>IF(COUNTA(A4834,B4834)=0,"",IF(OR(A4834="",B4834=""),"Preencher CPF e entrada",IF(COUNTIFS($A$12:$A$5011,A4834,$B$12:$B$5011,B4834)&gt;1,"CPF + dia duplicado",IF(OR(AND(E4834&lt;&gt;"",E4834&lt;B4834),AND(F4834&lt;&gt;"",F4834&lt;B4834)),"Evento anterior à entrada",IF(AND(F4834&lt;&gt;"",E4834=""),"Conversa sem agendamento",IF(OR(E4834&gt;TODAY(),F4834&gt;TODAY()),"Verificar evento futuro","OK"))))))</f>
        <v/>
      </c>
    </row>
    <row r="4835" spans="9:12">
      <c r="I4835" s="5">
        <f>IF(OR(A4835="",B4835=""),"",B4835-WEEKDAY(B4835,2)+1)</f>
        <v/>
      </c>
      <c r="J4835" s="5">
        <f>IF(I4835="","",I4835+6)</f>
        <v/>
      </c>
      <c r="K4835" s="6">
        <f>IF(OR(A4835="",B4835=""),"",DATE(YEAR(B4835),MONTH(B4835),1))</f>
        <v/>
      </c>
      <c r="L4835" s="7">
        <f>IF(COUNTA(A4835,B4835)=0,"",IF(OR(A4835="",B4835=""),"Preencher CPF e entrada",IF(COUNTIFS($A$12:$A$5011,A4835,$B$12:$B$5011,B4835)&gt;1,"CPF + dia duplicado",IF(OR(AND(E4835&lt;&gt;"",E4835&lt;B4835),AND(F4835&lt;&gt;"",F4835&lt;B4835)),"Evento anterior à entrada",IF(AND(F4835&lt;&gt;"",E4835=""),"Conversa sem agendamento",IF(OR(E4835&gt;TODAY(),F4835&gt;TODAY()),"Verificar evento futuro","OK"))))))</f>
        <v/>
      </c>
    </row>
    <row r="4836" spans="9:12">
      <c r="I4836" s="5">
        <f>IF(OR(A4836="",B4836=""),"",B4836-WEEKDAY(B4836,2)+1)</f>
        <v/>
      </c>
      <c r="J4836" s="5">
        <f>IF(I4836="","",I4836+6)</f>
        <v/>
      </c>
      <c r="K4836" s="6">
        <f>IF(OR(A4836="",B4836=""),"",DATE(YEAR(B4836),MONTH(B4836),1))</f>
        <v/>
      </c>
      <c r="L4836" s="7">
        <f>IF(COUNTA(A4836,B4836)=0,"",IF(OR(A4836="",B4836=""),"Preencher CPF e entrada",IF(COUNTIFS($A$12:$A$5011,A4836,$B$12:$B$5011,B4836)&gt;1,"CPF + dia duplicado",IF(OR(AND(E4836&lt;&gt;"",E4836&lt;B4836),AND(F4836&lt;&gt;"",F4836&lt;B4836)),"Evento anterior à entrada",IF(AND(F4836&lt;&gt;"",E4836=""),"Conversa sem agendamento",IF(OR(E4836&gt;TODAY(),F4836&gt;TODAY()),"Verificar evento futuro","OK"))))))</f>
        <v/>
      </c>
    </row>
    <row r="4837" spans="9:12">
      <c r="I4837" s="5">
        <f>IF(OR(A4837="",B4837=""),"",B4837-WEEKDAY(B4837,2)+1)</f>
        <v/>
      </c>
      <c r="J4837" s="5">
        <f>IF(I4837="","",I4837+6)</f>
        <v/>
      </c>
      <c r="K4837" s="6">
        <f>IF(OR(A4837="",B4837=""),"",DATE(YEAR(B4837),MONTH(B4837),1))</f>
        <v/>
      </c>
      <c r="L4837" s="7">
        <f>IF(COUNTA(A4837,B4837)=0,"",IF(OR(A4837="",B4837=""),"Preencher CPF e entrada",IF(COUNTIFS($A$12:$A$5011,A4837,$B$12:$B$5011,B4837)&gt;1,"CPF + dia duplicado",IF(OR(AND(E4837&lt;&gt;"",E4837&lt;B4837),AND(F4837&lt;&gt;"",F4837&lt;B4837)),"Evento anterior à entrada",IF(AND(F4837&lt;&gt;"",E4837=""),"Conversa sem agendamento",IF(OR(E4837&gt;TODAY(),F4837&gt;TODAY()),"Verificar evento futuro","OK"))))))</f>
        <v/>
      </c>
    </row>
    <row r="4838" spans="9:12">
      <c r="I4838" s="5">
        <f>IF(OR(A4838="",B4838=""),"",B4838-WEEKDAY(B4838,2)+1)</f>
        <v/>
      </c>
      <c r="J4838" s="5">
        <f>IF(I4838="","",I4838+6)</f>
        <v/>
      </c>
      <c r="K4838" s="6">
        <f>IF(OR(A4838="",B4838=""),"",DATE(YEAR(B4838),MONTH(B4838),1))</f>
        <v/>
      </c>
      <c r="L4838" s="7">
        <f>IF(COUNTA(A4838,B4838)=0,"",IF(OR(A4838="",B4838=""),"Preencher CPF e entrada",IF(COUNTIFS($A$12:$A$5011,A4838,$B$12:$B$5011,B4838)&gt;1,"CPF + dia duplicado",IF(OR(AND(E4838&lt;&gt;"",E4838&lt;B4838),AND(F4838&lt;&gt;"",F4838&lt;B4838)),"Evento anterior à entrada",IF(AND(F4838&lt;&gt;"",E4838=""),"Conversa sem agendamento",IF(OR(E4838&gt;TODAY(),F4838&gt;TODAY()),"Verificar evento futuro","OK"))))))</f>
        <v/>
      </c>
    </row>
    <row r="4839" spans="9:12">
      <c r="I4839" s="5">
        <f>IF(OR(A4839="",B4839=""),"",B4839-WEEKDAY(B4839,2)+1)</f>
        <v/>
      </c>
      <c r="J4839" s="5">
        <f>IF(I4839="","",I4839+6)</f>
        <v/>
      </c>
      <c r="K4839" s="6">
        <f>IF(OR(A4839="",B4839=""),"",DATE(YEAR(B4839),MONTH(B4839),1))</f>
        <v/>
      </c>
      <c r="L4839" s="7">
        <f>IF(COUNTA(A4839,B4839)=0,"",IF(OR(A4839="",B4839=""),"Preencher CPF e entrada",IF(COUNTIFS($A$12:$A$5011,A4839,$B$12:$B$5011,B4839)&gt;1,"CPF + dia duplicado",IF(OR(AND(E4839&lt;&gt;"",E4839&lt;B4839),AND(F4839&lt;&gt;"",F4839&lt;B4839)),"Evento anterior à entrada",IF(AND(F4839&lt;&gt;"",E4839=""),"Conversa sem agendamento",IF(OR(E4839&gt;TODAY(),F4839&gt;TODAY()),"Verificar evento futuro","OK"))))))</f>
        <v/>
      </c>
    </row>
    <row r="4840" spans="9:12">
      <c r="I4840" s="5">
        <f>IF(OR(A4840="",B4840=""),"",B4840-WEEKDAY(B4840,2)+1)</f>
        <v/>
      </c>
      <c r="J4840" s="5">
        <f>IF(I4840="","",I4840+6)</f>
        <v/>
      </c>
      <c r="K4840" s="6">
        <f>IF(OR(A4840="",B4840=""),"",DATE(YEAR(B4840),MONTH(B4840),1))</f>
        <v/>
      </c>
      <c r="L4840" s="7">
        <f>IF(COUNTA(A4840,B4840)=0,"",IF(OR(A4840="",B4840=""),"Preencher CPF e entrada",IF(COUNTIFS($A$12:$A$5011,A4840,$B$12:$B$5011,B4840)&gt;1,"CPF + dia duplicado",IF(OR(AND(E4840&lt;&gt;"",E4840&lt;B4840),AND(F4840&lt;&gt;"",F4840&lt;B4840)),"Evento anterior à entrada",IF(AND(F4840&lt;&gt;"",E4840=""),"Conversa sem agendamento",IF(OR(E4840&gt;TODAY(),F4840&gt;TODAY()),"Verificar evento futuro","OK"))))))</f>
        <v/>
      </c>
    </row>
    <row r="4841" spans="9:12">
      <c r="I4841" s="5">
        <f>IF(OR(A4841="",B4841=""),"",B4841-WEEKDAY(B4841,2)+1)</f>
        <v/>
      </c>
      <c r="J4841" s="5">
        <f>IF(I4841="","",I4841+6)</f>
        <v/>
      </c>
      <c r="K4841" s="6">
        <f>IF(OR(A4841="",B4841=""),"",DATE(YEAR(B4841),MONTH(B4841),1))</f>
        <v/>
      </c>
      <c r="L4841" s="7">
        <f>IF(COUNTA(A4841,B4841)=0,"",IF(OR(A4841="",B4841=""),"Preencher CPF e entrada",IF(COUNTIFS($A$12:$A$5011,A4841,$B$12:$B$5011,B4841)&gt;1,"CPF + dia duplicado",IF(OR(AND(E4841&lt;&gt;"",E4841&lt;B4841),AND(F4841&lt;&gt;"",F4841&lt;B4841)),"Evento anterior à entrada",IF(AND(F4841&lt;&gt;"",E4841=""),"Conversa sem agendamento",IF(OR(E4841&gt;TODAY(),F4841&gt;TODAY()),"Verificar evento futuro","OK"))))))</f>
        <v/>
      </c>
    </row>
    <row r="4842" spans="9:12">
      <c r="I4842" s="5">
        <f>IF(OR(A4842="",B4842=""),"",B4842-WEEKDAY(B4842,2)+1)</f>
        <v/>
      </c>
      <c r="J4842" s="5">
        <f>IF(I4842="","",I4842+6)</f>
        <v/>
      </c>
      <c r="K4842" s="6">
        <f>IF(OR(A4842="",B4842=""),"",DATE(YEAR(B4842),MONTH(B4842),1))</f>
        <v/>
      </c>
      <c r="L4842" s="7">
        <f>IF(COUNTA(A4842,B4842)=0,"",IF(OR(A4842="",B4842=""),"Preencher CPF e entrada",IF(COUNTIFS($A$12:$A$5011,A4842,$B$12:$B$5011,B4842)&gt;1,"CPF + dia duplicado",IF(OR(AND(E4842&lt;&gt;"",E4842&lt;B4842),AND(F4842&lt;&gt;"",F4842&lt;B4842)),"Evento anterior à entrada",IF(AND(F4842&lt;&gt;"",E4842=""),"Conversa sem agendamento",IF(OR(E4842&gt;TODAY(),F4842&gt;TODAY()),"Verificar evento futuro","OK"))))))</f>
        <v/>
      </c>
    </row>
    <row r="4843" spans="9:12">
      <c r="I4843" s="5">
        <f>IF(OR(A4843="",B4843=""),"",B4843-WEEKDAY(B4843,2)+1)</f>
        <v/>
      </c>
      <c r="J4843" s="5">
        <f>IF(I4843="","",I4843+6)</f>
        <v/>
      </c>
      <c r="K4843" s="6">
        <f>IF(OR(A4843="",B4843=""),"",DATE(YEAR(B4843),MONTH(B4843),1))</f>
        <v/>
      </c>
      <c r="L4843" s="7">
        <f>IF(COUNTA(A4843,B4843)=0,"",IF(OR(A4843="",B4843=""),"Preencher CPF e entrada",IF(COUNTIFS($A$12:$A$5011,A4843,$B$12:$B$5011,B4843)&gt;1,"CPF + dia duplicado",IF(OR(AND(E4843&lt;&gt;"",E4843&lt;B4843),AND(F4843&lt;&gt;"",F4843&lt;B4843)),"Evento anterior à entrada",IF(AND(F4843&lt;&gt;"",E4843=""),"Conversa sem agendamento",IF(OR(E4843&gt;TODAY(),F4843&gt;TODAY()),"Verificar evento futuro","OK"))))))</f>
        <v/>
      </c>
    </row>
    <row r="4844" spans="9:12">
      <c r="I4844" s="5">
        <f>IF(OR(A4844="",B4844=""),"",B4844-WEEKDAY(B4844,2)+1)</f>
        <v/>
      </c>
      <c r="J4844" s="5">
        <f>IF(I4844="","",I4844+6)</f>
        <v/>
      </c>
      <c r="K4844" s="6">
        <f>IF(OR(A4844="",B4844=""),"",DATE(YEAR(B4844),MONTH(B4844),1))</f>
        <v/>
      </c>
      <c r="L4844" s="7">
        <f>IF(COUNTA(A4844,B4844)=0,"",IF(OR(A4844="",B4844=""),"Preencher CPF e entrada",IF(COUNTIFS($A$12:$A$5011,A4844,$B$12:$B$5011,B4844)&gt;1,"CPF + dia duplicado",IF(OR(AND(E4844&lt;&gt;"",E4844&lt;B4844),AND(F4844&lt;&gt;"",F4844&lt;B4844)),"Evento anterior à entrada",IF(AND(F4844&lt;&gt;"",E4844=""),"Conversa sem agendamento",IF(OR(E4844&gt;TODAY(),F4844&gt;TODAY()),"Verificar evento futuro","OK"))))))</f>
        <v/>
      </c>
    </row>
    <row r="4845" spans="9:12">
      <c r="I4845" s="5">
        <f>IF(OR(A4845="",B4845=""),"",B4845-WEEKDAY(B4845,2)+1)</f>
        <v/>
      </c>
      <c r="J4845" s="5">
        <f>IF(I4845="","",I4845+6)</f>
        <v/>
      </c>
      <c r="K4845" s="6">
        <f>IF(OR(A4845="",B4845=""),"",DATE(YEAR(B4845),MONTH(B4845),1))</f>
        <v/>
      </c>
      <c r="L4845" s="7">
        <f>IF(COUNTA(A4845,B4845)=0,"",IF(OR(A4845="",B4845=""),"Preencher CPF e entrada",IF(COUNTIFS($A$12:$A$5011,A4845,$B$12:$B$5011,B4845)&gt;1,"CPF + dia duplicado",IF(OR(AND(E4845&lt;&gt;"",E4845&lt;B4845),AND(F4845&lt;&gt;"",F4845&lt;B4845)),"Evento anterior à entrada",IF(AND(F4845&lt;&gt;"",E4845=""),"Conversa sem agendamento",IF(OR(E4845&gt;TODAY(),F4845&gt;TODAY()),"Verificar evento futuro","OK"))))))</f>
        <v/>
      </c>
    </row>
    <row r="4846" spans="9:12">
      <c r="I4846" s="5">
        <f>IF(OR(A4846="",B4846=""),"",B4846-WEEKDAY(B4846,2)+1)</f>
        <v/>
      </c>
      <c r="J4846" s="5">
        <f>IF(I4846="","",I4846+6)</f>
        <v/>
      </c>
      <c r="K4846" s="6">
        <f>IF(OR(A4846="",B4846=""),"",DATE(YEAR(B4846),MONTH(B4846),1))</f>
        <v/>
      </c>
      <c r="L4846" s="7">
        <f>IF(COUNTA(A4846,B4846)=0,"",IF(OR(A4846="",B4846=""),"Preencher CPF e entrada",IF(COUNTIFS($A$12:$A$5011,A4846,$B$12:$B$5011,B4846)&gt;1,"CPF + dia duplicado",IF(OR(AND(E4846&lt;&gt;"",E4846&lt;B4846),AND(F4846&lt;&gt;"",F4846&lt;B4846)),"Evento anterior à entrada",IF(AND(F4846&lt;&gt;"",E4846=""),"Conversa sem agendamento",IF(OR(E4846&gt;TODAY(),F4846&gt;TODAY()),"Verificar evento futuro","OK"))))))</f>
        <v/>
      </c>
    </row>
    <row r="4847" spans="9:12">
      <c r="I4847" s="5">
        <f>IF(OR(A4847="",B4847=""),"",B4847-WEEKDAY(B4847,2)+1)</f>
        <v/>
      </c>
      <c r="J4847" s="5">
        <f>IF(I4847="","",I4847+6)</f>
        <v/>
      </c>
      <c r="K4847" s="6">
        <f>IF(OR(A4847="",B4847=""),"",DATE(YEAR(B4847),MONTH(B4847),1))</f>
        <v/>
      </c>
      <c r="L4847" s="7">
        <f>IF(COUNTA(A4847,B4847)=0,"",IF(OR(A4847="",B4847=""),"Preencher CPF e entrada",IF(COUNTIFS($A$12:$A$5011,A4847,$B$12:$B$5011,B4847)&gt;1,"CPF + dia duplicado",IF(OR(AND(E4847&lt;&gt;"",E4847&lt;B4847),AND(F4847&lt;&gt;"",F4847&lt;B4847)),"Evento anterior à entrada",IF(AND(F4847&lt;&gt;"",E4847=""),"Conversa sem agendamento",IF(OR(E4847&gt;TODAY(),F4847&gt;TODAY()),"Verificar evento futuro","OK"))))))</f>
        <v/>
      </c>
    </row>
    <row r="4848" spans="9:12">
      <c r="I4848" s="5">
        <f>IF(OR(A4848="",B4848=""),"",B4848-WEEKDAY(B4848,2)+1)</f>
        <v/>
      </c>
      <c r="J4848" s="5">
        <f>IF(I4848="","",I4848+6)</f>
        <v/>
      </c>
      <c r="K4848" s="6">
        <f>IF(OR(A4848="",B4848=""),"",DATE(YEAR(B4848),MONTH(B4848),1))</f>
        <v/>
      </c>
      <c r="L4848" s="7">
        <f>IF(COUNTA(A4848,B4848)=0,"",IF(OR(A4848="",B4848=""),"Preencher CPF e entrada",IF(COUNTIFS($A$12:$A$5011,A4848,$B$12:$B$5011,B4848)&gt;1,"CPF + dia duplicado",IF(OR(AND(E4848&lt;&gt;"",E4848&lt;B4848),AND(F4848&lt;&gt;"",F4848&lt;B4848)),"Evento anterior à entrada",IF(AND(F4848&lt;&gt;"",E4848=""),"Conversa sem agendamento",IF(OR(E4848&gt;TODAY(),F4848&gt;TODAY()),"Verificar evento futuro","OK"))))))</f>
        <v/>
      </c>
    </row>
    <row r="4849" spans="9:12">
      <c r="I4849" s="5">
        <f>IF(OR(A4849="",B4849=""),"",B4849-WEEKDAY(B4849,2)+1)</f>
        <v/>
      </c>
      <c r="J4849" s="5">
        <f>IF(I4849="","",I4849+6)</f>
        <v/>
      </c>
      <c r="K4849" s="6">
        <f>IF(OR(A4849="",B4849=""),"",DATE(YEAR(B4849),MONTH(B4849),1))</f>
        <v/>
      </c>
      <c r="L4849" s="7">
        <f>IF(COUNTA(A4849,B4849)=0,"",IF(OR(A4849="",B4849=""),"Preencher CPF e entrada",IF(COUNTIFS($A$12:$A$5011,A4849,$B$12:$B$5011,B4849)&gt;1,"CPF + dia duplicado",IF(OR(AND(E4849&lt;&gt;"",E4849&lt;B4849),AND(F4849&lt;&gt;"",F4849&lt;B4849)),"Evento anterior à entrada",IF(AND(F4849&lt;&gt;"",E4849=""),"Conversa sem agendamento",IF(OR(E4849&gt;TODAY(),F4849&gt;TODAY()),"Verificar evento futuro","OK"))))))</f>
        <v/>
      </c>
    </row>
    <row r="4850" spans="9:12">
      <c r="I4850" s="5">
        <f>IF(OR(A4850="",B4850=""),"",B4850-WEEKDAY(B4850,2)+1)</f>
        <v/>
      </c>
      <c r="J4850" s="5">
        <f>IF(I4850="","",I4850+6)</f>
        <v/>
      </c>
      <c r="K4850" s="6">
        <f>IF(OR(A4850="",B4850=""),"",DATE(YEAR(B4850),MONTH(B4850),1))</f>
        <v/>
      </c>
      <c r="L4850" s="7">
        <f>IF(COUNTA(A4850,B4850)=0,"",IF(OR(A4850="",B4850=""),"Preencher CPF e entrada",IF(COUNTIFS($A$12:$A$5011,A4850,$B$12:$B$5011,B4850)&gt;1,"CPF + dia duplicado",IF(OR(AND(E4850&lt;&gt;"",E4850&lt;B4850),AND(F4850&lt;&gt;"",F4850&lt;B4850)),"Evento anterior à entrada",IF(AND(F4850&lt;&gt;"",E4850=""),"Conversa sem agendamento",IF(OR(E4850&gt;TODAY(),F4850&gt;TODAY()),"Verificar evento futuro","OK"))))))</f>
        <v/>
      </c>
    </row>
    <row r="4851" spans="9:12">
      <c r="I4851" s="5">
        <f>IF(OR(A4851="",B4851=""),"",B4851-WEEKDAY(B4851,2)+1)</f>
        <v/>
      </c>
      <c r="J4851" s="5">
        <f>IF(I4851="","",I4851+6)</f>
        <v/>
      </c>
      <c r="K4851" s="6">
        <f>IF(OR(A4851="",B4851=""),"",DATE(YEAR(B4851),MONTH(B4851),1))</f>
        <v/>
      </c>
      <c r="L4851" s="7">
        <f>IF(COUNTA(A4851,B4851)=0,"",IF(OR(A4851="",B4851=""),"Preencher CPF e entrada",IF(COUNTIFS($A$12:$A$5011,A4851,$B$12:$B$5011,B4851)&gt;1,"CPF + dia duplicado",IF(OR(AND(E4851&lt;&gt;"",E4851&lt;B4851),AND(F4851&lt;&gt;"",F4851&lt;B4851)),"Evento anterior à entrada",IF(AND(F4851&lt;&gt;"",E4851=""),"Conversa sem agendamento",IF(OR(E4851&gt;TODAY(),F4851&gt;TODAY()),"Verificar evento futuro","OK"))))))</f>
        <v/>
      </c>
    </row>
    <row r="4852" spans="9:12">
      <c r="I4852" s="5">
        <f>IF(OR(A4852="",B4852=""),"",B4852-WEEKDAY(B4852,2)+1)</f>
        <v/>
      </c>
      <c r="J4852" s="5">
        <f>IF(I4852="","",I4852+6)</f>
        <v/>
      </c>
      <c r="K4852" s="6">
        <f>IF(OR(A4852="",B4852=""),"",DATE(YEAR(B4852),MONTH(B4852),1))</f>
        <v/>
      </c>
      <c r="L4852" s="7">
        <f>IF(COUNTA(A4852,B4852)=0,"",IF(OR(A4852="",B4852=""),"Preencher CPF e entrada",IF(COUNTIFS($A$12:$A$5011,A4852,$B$12:$B$5011,B4852)&gt;1,"CPF + dia duplicado",IF(OR(AND(E4852&lt;&gt;"",E4852&lt;B4852),AND(F4852&lt;&gt;"",F4852&lt;B4852)),"Evento anterior à entrada",IF(AND(F4852&lt;&gt;"",E4852=""),"Conversa sem agendamento",IF(OR(E4852&gt;TODAY(),F4852&gt;TODAY()),"Verificar evento futuro","OK"))))))</f>
        <v/>
      </c>
    </row>
    <row r="4853" spans="9:12">
      <c r="I4853" s="5">
        <f>IF(OR(A4853="",B4853=""),"",B4853-WEEKDAY(B4853,2)+1)</f>
        <v/>
      </c>
      <c r="J4853" s="5">
        <f>IF(I4853="","",I4853+6)</f>
        <v/>
      </c>
      <c r="K4853" s="6">
        <f>IF(OR(A4853="",B4853=""),"",DATE(YEAR(B4853),MONTH(B4853),1))</f>
        <v/>
      </c>
      <c r="L4853" s="7">
        <f>IF(COUNTA(A4853,B4853)=0,"",IF(OR(A4853="",B4853=""),"Preencher CPF e entrada",IF(COUNTIFS($A$12:$A$5011,A4853,$B$12:$B$5011,B4853)&gt;1,"CPF + dia duplicado",IF(OR(AND(E4853&lt;&gt;"",E4853&lt;B4853),AND(F4853&lt;&gt;"",F4853&lt;B4853)),"Evento anterior à entrada",IF(AND(F4853&lt;&gt;"",E4853=""),"Conversa sem agendamento",IF(OR(E4853&gt;TODAY(),F4853&gt;TODAY()),"Verificar evento futuro","OK"))))))</f>
        <v/>
      </c>
    </row>
    <row r="4854" spans="9:12">
      <c r="I4854" s="5">
        <f>IF(OR(A4854="",B4854=""),"",B4854-WEEKDAY(B4854,2)+1)</f>
        <v/>
      </c>
      <c r="J4854" s="5">
        <f>IF(I4854="","",I4854+6)</f>
        <v/>
      </c>
      <c r="K4854" s="6">
        <f>IF(OR(A4854="",B4854=""),"",DATE(YEAR(B4854),MONTH(B4854),1))</f>
        <v/>
      </c>
      <c r="L4854" s="7">
        <f>IF(COUNTA(A4854,B4854)=0,"",IF(OR(A4854="",B4854=""),"Preencher CPF e entrada",IF(COUNTIFS($A$12:$A$5011,A4854,$B$12:$B$5011,B4854)&gt;1,"CPF + dia duplicado",IF(OR(AND(E4854&lt;&gt;"",E4854&lt;B4854),AND(F4854&lt;&gt;"",F4854&lt;B4854)),"Evento anterior à entrada",IF(AND(F4854&lt;&gt;"",E4854=""),"Conversa sem agendamento",IF(OR(E4854&gt;TODAY(),F4854&gt;TODAY()),"Verificar evento futuro","OK"))))))</f>
        <v/>
      </c>
    </row>
    <row r="4855" spans="9:12">
      <c r="I4855" s="5">
        <f>IF(OR(A4855="",B4855=""),"",B4855-WEEKDAY(B4855,2)+1)</f>
        <v/>
      </c>
      <c r="J4855" s="5">
        <f>IF(I4855="","",I4855+6)</f>
        <v/>
      </c>
      <c r="K4855" s="6">
        <f>IF(OR(A4855="",B4855=""),"",DATE(YEAR(B4855),MONTH(B4855),1))</f>
        <v/>
      </c>
      <c r="L4855" s="7">
        <f>IF(COUNTA(A4855,B4855)=0,"",IF(OR(A4855="",B4855=""),"Preencher CPF e entrada",IF(COUNTIFS($A$12:$A$5011,A4855,$B$12:$B$5011,B4855)&gt;1,"CPF + dia duplicado",IF(OR(AND(E4855&lt;&gt;"",E4855&lt;B4855),AND(F4855&lt;&gt;"",F4855&lt;B4855)),"Evento anterior à entrada",IF(AND(F4855&lt;&gt;"",E4855=""),"Conversa sem agendamento",IF(OR(E4855&gt;TODAY(),F4855&gt;TODAY()),"Verificar evento futuro","OK"))))))</f>
        <v/>
      </c>
    </row>
    <row r="4856" spans="9:12">
      <c r="I4856" s="5">
        <f>IF(OR(A4856="",B4856=""),"",B4856-WEEKDAY(B4856,2)+1)</f>
        <v/>
      </c>
      <c r="J4856" s="5">
        <f>IF(I4856="","",I4856+6)</f>
        <v/>
      </c>
      <c r="K4856" s="6">
        <f>IF(OR(A4856="",B4856=""),"",DATE(YEAR(B4856),MONTH(B4856),1))</f>
        <v/>
      </c>
      <c r="L4856" s="7">
        <f>IF(COUNTA(A4856,B4856)=0,"",IF(OR(A4856="",B4856=""),"Preencher CPF e entrada",IF(COUNTIFS($A$12:$A$5011,A4856,$B$12:$B$5011,B4856)&gt;1,"CPF + dia duplicado",IF(OR(AND(E4856&lt;&gt;"",E4856&lt;B4856),AND(F4856&lt;&gt;"",F4856&lt;B4856)),"Evento anterior à entrada",IF(AND(F4856&lt;&gt;"",E4856=""),"Conversa sem agendamento",IF(OR(E4856&gt;TODAY(),F4856&gt;TODAY()),"Verificar evento futuro","OK"))))))</f>
        <v/>
      </c>
    </row>
    <row r="4857" spans="9:12">
      <c r="I4857" s="5">
        <f>IF(OR(A4857="",B4857=""),"",B4857-WEEKDAY(B4857,2)+1)</f>
        <v/>
      </c>
      <c r="J4857" s="5">
        <f>IF(I4857="","",I4857+6)</f>
        <v/>
      </c>
      <c r="K4857" s="6">
        <f>IF(OR(A4857="",B4857=""),"",DATE(YEAR(B4857),MONTH(B4857),1))</f>
        <v/>
      </c>
      <c r="L4857" s="7">
        <f>IF(COUNTA(A4857,B4857)=0,"",IF(OR(A4857="",B4857=""),"Preencher CPF e entrada",IF(COUNTIFS($A$12:$A$5011,A4857,$B$12:$B$5011,B4857)&gt;1,"CPF + dia duplicado",IF(OR(AND(E4857&lt;&gt;"",E4857&lt;B4857),AND(F4857&lt;&gt;"",F4857&lt;B4857)),"Evento anterior à entrada",IF(AND(F4857&lt;&gt;"",E4857=""),"Conversa sem agendamento",IF(OR(E4857&gt;TODAY(),F4857&gt;TODAY()),"Verificar evento futuro","OK"))))))</f>
        <v/>
      </c>
    </row>
    <row r="4858" spans="9:12">
      <c r="I4858" s="5">
        <f>IF(OR(A4858="",B4858=""),"",B4858-WEEKDAY(B4858,2)+1)</f>
        <v/>
      </c>
      <c r="J4858" s="5">
        <f>IF(I4858="","",I4858+6)</f>
        <v/>
      </c>
      <c r="K4858" s="6">
        <f>IF(OR(A4858="",B4858=""),"",DATE(YEAR(B4858),MONTH(B4858),1))</f>
        <v/>
      </c>
      <c r="L4858" s="7">
        <f>IF(COUNTA(A4858,B4858)=0,"",IF(OR(A4858="",B4858=""),"Preencher CPF e entrada",IF(COUNTIFS($A$12:$A$5011,A4858,$B$12:$B$5011,B4858)&gt;1,"CPF + dia duplicado",IF(OR(AND(E4858&lt;&gt;"",E4858&lt;B4858),AND(F4858&lt;&gt;"",F4858&lt;B4858)),"Evento anterior à entrada",IF(AND(F4858&lt;&gt;"",E4858=""),"Conversa sem agendamento",IF(OR(E4858&gt;TODAY(),F4858&gt;TODAY()),"Verificar evento futuro","OK"))))))</f>
        <v/>
      </c>
    </row>
    <row r="4859" spans="9:12">
      <c r="I4859" s="5">
        <f>IF(OR(A4859="",B4859=""),"",B4859-WEEKDAY(B4859,2)+1)</f>
        <v/>
      </c>
      <c r="J4859" s="5">
        <f>IF(I4859="","",I4859+6)</f>
        <v/>
      </c>
      <c r="K4859" s="6">
        <f>IF(OR(A4859="",B4859=""),"",DATE(YEAR(B4859),MONTH(B4859),1))</f>
        <v/>
      </c>
      <c r="L4859" s="7">
        <f>IF(COUNTA(A4859,B4859)=0,"",IF(OR(A4859="",B4859=""),"Preencher CPF e entrada",IF(COUNTIFS($A$12:$A$5011,A4859,$B$12:$B$5011,B4859)&gt;1,"CPF + dia duplicado",IF(OR(AND(E4859&lt;&gt;"",E4859&lt;B4859),AND(F4859&lt;&gt;"",F4859&lt;B4859)),"Evento anterior à entrada",IF(AND(F4859&lt;&gt;"",E4859=""),"Conversa sem agendamento",IF(OR(E4859&gt;TODAY(),F4859&gt;TODAY()),"Verificar evento futuro","OK"))))))</f>
        <v/>
      </c>
    </row>
    <row r="4860" spans="9:12">
      <c r="I4860" s="5">
        <f>IF(OR(A4860="",B4860=""),"",B4860-WEEKDAY(B4860,2)+1)</f>
        <v/>
      </c>
      <c r="J4860" s="5">
        <f>IF(I4860="","",I4860+6)</f>
        <v/>
      </c>
      <c r="K4860" s="6">
        <f>IF(OR(A4860="",B4860=""),"",DATE(YEAR(B4860),MONTH(B4860),1))</f>
        <v/>
      </c>
      <c r="L4860" s="7">
        <f>IF(COUNTA(A4860,B4860)=0,"",IF(OR(A4860="",B4860=""),"Preencher CPF e entrada",IF(COUNTIFS($A$12:$A$5011,A4860,$B$12:$B$5011,B4860)&gt;1,"CPF + dia duplicado",IF(OR(AND(E4860&lt;&gt;"",E4860&lt;B4860),AND(F4860&lt;&gt;"",F4860&lt;B4860)),"Evento anterior à entrada",IF(AND(F4860&lt;&gt;"",E4860=""),"Conversa sem agendamento",IF(OR(E4860&gt;TODAY(),F4860&gt;TODAY()),"Verificar evento futuro","OK"))))))</f>
        <v/>
      </c>
    </row>
    <row r="4861" spans="9:12">
      <c r="I4861" s="5">
        <f>IF(OR(A4861="",B4861=""),"",B4861-WEEKDAY(B4861,2)+1)</f>
        <v/>
      </c>
      <c r="J4861" s="5">
        <f>IF(I4861="","",I4861+6)</f>
        <v/>
      </c>
      <c r="K4861" s="6">
        <f>IF(OR(A4861="",B4861=""),"",DATE(YEAR(B4861),MONTH(B4861),1))</f>
        <v/>
      </c>
      <c r="L4861" s="7">
        <f>IF(COUNTA(A4861,B4861)=0,"",IF(OR(A4861="",B4861=""),"Preencher CPF e entrada",IF(COUNTIFS($A$12:$A$5011,A4861,$B$12:$B$5011,B4861)&gt;1,"CPF + dia duplicado",IF(OR(AND(E4861&lt;&gt;"",E4861&lt;B4861),AND(F4861&lt;&gt;"",F4861&lt;B4861)),"Evento anterior à entrada",IF(AND(F4861&lt;&gt;"",E4861=""),"Conversa sem agendamento",IF(OR(E4861&gt;TODAY(),F4861&gt;TODAY()),"Verificar evento futuro","OK"))))))</f>
        <v/>
      </c>
    </row>
    <row r="4862" spans="9:12">
      <c r="I4862" s="5">
        <f>IF(OR(A4862="",B4862=""),"",B4862-WEEKDAY(B4862,2)+1)</f>
        <v/>
      </c>
      <c r="J4862" s="5">
        <f>IF(I4862="","",I4862+6)</f>
        <v/>
      </c>
      <c r="K4862" s="6">
        <f>IF(OR(A4862="",B4862=""),"",DATE(YEAR(B4862),MONTH(B4862),1))</f>
        <v/>
      </c>
      <c r="L4862" s="7">
        <f>IF(COUNTA(A4862,B4862)=0,"",IF(OR(A4862="",B4862=""),"Preencher CPF e entrada",IF(COUNTIFS($A$12:$A$5011,A4862,$B$12:$B$5011,B4862)&gt;1,"CPF + dia duplicado",IF(OR(AND(E4862&lt;&gt;"",E4862&lt;B4862),AND(F4862&lt;&gt;"",F4862&lt;B4862)),"Evento anterior à entrada",IF(AND(F4862&lt;&gt;"",E4862=""),"Conversa sem agendamento",IF(OR(E4862&gt;TODAY(),F4862&gt;TODAY()),"Verificar evento futuro","OK"))))))</f>
        <v/>
      </c>
    </row>
    <row r="4863" spans="9:12">
      <c r="I4863" s="5">
        <f>IF(OR(A4863="",B4863=""),"",B4863-WEEKDAY(B4863,2)+1)</f>
        <v/>
      </c>
      <c r="J4863" s="5">
        <f>IF(I4863="","",I4863+6)</f>
        <v/>
      </c>
      <c r="K4863" s="6">
        <f>IF(OR(A4863="",B4863=""),"",DATE(YEAR(B4863),MONTH(B4863),1))</f>
        <v/>
      </c>
      <c r="L4863" s="7">
        <f>IF(COUNTA(A4863,B4863)=0,"",IF(OR(A4863="",B4863=""),"Preencher CPF e entrada",IF(COUNTIFS($A$12:$A$5011,A4863,$B$12:$B$5011,B4863)&gt;1,"CPF + dia duplicado",IF(OR(AND(E4863&lt;&gt;"",E4863&lt;B4863),AND(F4863&lt;&gt;"",F4863&lt;B4863)),"Evento anterior à entrada",IF(AND(F4863&lt;&gt;"",E4863=""),"Conversa sem agendamento",IF(OR(E4863&gt;TODAY(),F4863&gt;TODAY()),"Verificar evento futuro","OK"))))))</f>
        <v/>
      </c>
    </row>
    <row r="4864" spans="9:12">
      <c r="I4864" s="5">
        <f>IF(OR(A4864="",B4864=""),"",B4864-WEEKDAY(B4864,2)+1)</f>
        <v/>
      </c>
      <c r="J4864" s="5">
        <f>IF(I4864="","",I4864+6)</f>
        <v/>
      </c>
      <c r="K4864" s="6">
        <f>IF(OR(A4864="",B4864=""),"",DATE(YEAR(B4864),MONTH(B4864),1))</f>
        <v/>
      </c>
      <c r="L4864" s="7">
        <f>IF(COUNTA(A4864,B4864)=0,"",IF(OR(A4864="",B4864=""),"Preencher CPF e entrada",IF(COUNTIFS($A$12:$A$5011,A4864,$B$12:$B$5011,B4864)&gt;1,"CPF + dia duplicado",IF(OR(AND(E4864&lt;&gt;"",E4864&lt;B4864),AND(F4864&lt;&gt;"",F4864&lt;B4864)),"Evento anterior à entrada",IF(AND(F4864&lt;&gt;"",E4864=""),"Conversa sem agendamento",IF(OR(E4864&gt;TODAY(),F4864&gt;TODAY()),"Verificar evento futuro","OK"))))))</f>
        <v/>
      </c>
    </row>
    <row r="4865" spans="9:12">
      <c r="I4865" s="5">
        <f>IF(OR(A4865="",B4865=""),"",B4865-WEEKDAY(B4865,2)+1)</f>
        <v/>
      </c>
      <c r="J4865" s="5">
        <f>IF(I4865="","",I4865+6)</f>
        <v/>
      </c>
      <c r="K4865" s="6">
        <f>IF(OR(A4865="",B4865=""),"",DATE(YEAR(B4865),MONTH(B4865),1))</f>
        <v/>
      </c>
      <c r="L4865" s="7">
        <f>IF(COUNTA(A4865,B4865)=0,"",IF(OR(A4865="",B4865=""),"Preencher CPF e entrada",IF(COUNTIFS($A$12:$A$5011,A4865,$B$12:$B$5011,B4865)&gt;1,"CPF + dia duplicado",IF(OR(AND(E4865&lt;&gt;"",E4865&lt;B4865),AND(F4865&lt;&gt;"",F4865&lt;B4865)),"Evento anterior à entrada",IF(AND(F4865&lt;&gt;"",E4865=""),"Conversa sem agendamento",IF(OR(E4865&gt;TODAY(),F4865&gt;TODAY()),"Verificar evento futuro","OK"))))))</f>
        <v/>
      </c>
    </row>
    <row r="4866" spans="9:12">
      <c r="I4866" s="5">
        <f>IF(OR(A4866="",B4866=""),"",B4866-WEEKDAY(B4866,2)+1)</f>
        <v/>
      </c>
      <c r="J4866" s="5">
        <f>IF(I4866="","",I4866+6)</f>
        <v/>
      </c>
      <c r="K4866" s="6">
        <f>IF(OR(A4866="",B4866=""),"",DATE(YEAR(B4866),MONTH(B4866),1))</f>
        <v/>
      </c>
      <c r="L4866" s="7">
        <f>IF(COUNTA(A4866,B4866)=0,"",IF(OR(A4866="",B4866=""),"Preencher CPF e entrada",IF(COUNTIFS($A$12:$A$5011,A4866,$B$12:$B$5011,B4866)&gt;1,"CPF + dia duplicado",IF(OR(AND(E4866&lt;&gt;"",E4866&lt;B4866),AND(F4866&lt;&gt;"",F4866&lt;B4866)),"Evento anterior à entrada",IF(AND(F4866&lt;&gt;"",E4866=""),"Conversa sem agendamento",IF(OR(E4866&gt;TODAY(),F4866&gt;TODAY()),"Verificar evento futuro","OK"))))))</f>
        <v/>
      </c>
    </row>
    <row r="4867" spans="9:12">
      <c r="I4867" s="5">
        <f>IF(OR(A4867="",B4867=""),"",B4867-WEEKDAY(B4867,2)+1)</f>
        <v/>
      </c>
      <c r="J4867" s="5">
        <f>IF(I4867="","",I4867+6)</f>
        <v/>
      </c>
      <c r="K4867" s="6">
        <f>IF(OR(A4867="",B4867=""),"",DATE(YEAR(B4867),MONTH(B4867),1))</f>
        <v/>
      </c>
      <c r="L4867" s="7">
        <f>IF(COUNTA(A4867,B4867)=0,"",IF(OR(A4867="",B4867=""),"Preencher CPF e entrada",IF(COUNTIFS($A$12:$A$5011,A4867,$B$12:$B$5011,B4867)&gt;1,"CPF + dia duplicado",IF(OR(AND(E4867&lt;&gt;"",E4867&lt;B4867),AND(F4867&lt;&gt;"",F4867&lt;B4867)),"Evento anterior à entrada",IF(AND(F4867&lt;&gt;"",E4867=""),"Conversa sem agendamento",IF(OR(E4867&gt;TODAY(),F4867&gt;TODAY()),"Verificar evento futuro","OK"))))))</f>
        <v/>
      </c>
    </row>
    <row r="4868" spans="9:12">
      <c r="I4868" s="5">
        <f>IF(OR(A4868="",B4868=""),"",B4868-WEEKDAY(B4868,2)+1)</f>
        <v/>
      </c>
      <c r="J4868" s="5">
        <f>IF(I4868="","",I4868+6)</f>
        <v/>
      </c>
      <c r="K4868" s="6">
        <f>IF(OR(A4868="",B4868=""),"",DATE(YEAR(B4868),MONTH(B4868),1))</f>
        <v/>
      </c>
      <c r="L4868" s="7">
        <f>IF(COUNTA(A4868,B4868)=0,"",IF(OR(A4868="",B4868=""),"Preencher CPF e entrada",IF(COUNTIFS($A$12:$A$5011,A4868,$B$12:$B$5011,B4868)&gt;1,"CPF + dia duplicado",IF(OR(AND(E4868&lt;&gt;"",E4868&lt;B4868),AND(F4868&lt;&gt;"",F4868&lt;B4868)),"Evento anterior à entrada",IF(AND(F4868&lt;&gt;"",E4868=""),"Conversa sem agendamento",IF(OR(E4868&gt;TODAY(),F4868&gt;TODAY()),"Verificar evento futuro","OK"))))))</f>
        <v/>
      </c>
    </row>
    <row r="4869" spans="9:12">
      <c r="I4869" s="5">
        <f>IF(OR(A4869="",B4869=""),"",B4869-WEEKDAY(B4869,2)+1)</f>
        <v/>
      </c>
      <c r="J4869" s="5">
        <f>IF(I4869="","",I4869+6)</f>
        <v/>
      </c>
      <c r="K4869" s="6">
        <f>IF(OR(A4869="",B4869=""),"",DATE(YEAR(B4869),MONTH(B4869),1))</f>
        <v/>
      </c>
      <c r="L4869" s="7">
        <f>IF(COUNTA(A4869,B4869)=0,"",IF(OR(A4869="",B4869=""),"Preencher CPF e entrada",IF(COUNTIFS($A$12:$A$5011,A4869,$B$12:$B$5011,B4869)&gt;1,"CPF + dia duplicado",IF(OR(AND(E4869&lt;&gt;"",E4869&lt;B4869),AND(F4869&lt;&gt;"",F4869&lt;B4869)),"Evento anterior à entrada",IF(AND(F4869&lt;&gt;"",E4869=""),"Conversa sem agendamento",IF(OR(E4869&gt;TODAY(),F4869&gt;TODAY()),"Verificar evento futuro","OK"))))))</f>
        <v/>
      </c>
    </row>
    <row r="4870" spans="9:12">
      <c r="I4870" s="5">
        <f>IF(OR(A4870="",B4870=""),"",B4870-WEEKDAY(B4870,2)+1)</f>
        <v/>
      </c>
      <c r="J4870" s="5">
        <f>IF(I4870="","",I4870+6)</f>
        <v/>
      </c>
      <c r="K4870" s="6">
        <f>IF(OR(A4870="",B4870=""),"",DATE(YEAR(B4870),MONTH(B4870),1))</f>
        <v/>
      </c>
      <c r="L4870" s="7">
        <f>IF(COUNTA(A4870,B4870)=0,"",IF(OR(A4870="",B4870=""),"Preencher CPF e entrada",IF(COUNTIFS($A$12:$A$5011,A4870,$B$12:$B$5011,B4870)&gt;1,"CPF + dia duplicado",IF(OR(AND(E4870&lt;&gt;"",E4870&lt;B4870),AND(F4870&lt;&gt;"",F4870&lt;B4870)),"Evento anterior à entrada",IF(AND(F4870&lt;&gt;"",E4870=""),"Conversa sem agendamento",IF(OR(E4870&gt;TODAY(),F4870&gt;TODAY()),"Verificar evento futuro","OK"))))))</f>
        <v/>
      </c>
    </row>
    <row r="4871" spans="9:12">
      <c r="I4871" s="5">
        <f>IF(OR(A4871="",B4871=""),"",B4871-WEEKDAY(B4871,2)+1)</f>
        <v/>
      </c>
      <c r="J4871" s="5">
        <f>IF(I4871="","",I4871+6)</f>
        <v/>
      </c>
      <c r="K4871" s="6">
        <f>IF(OR(A4871="",B4871=""),"",DATE(YEAR(B4871),MONTH(B4871),1))</f>
        <v/>
      </c>
      <c r="L4871" s="7">
        <f>IF(COUNTA(A4871,B4871)=0,"",IF(OR(A4871="",B4871=""),"Preencher CPF e entrada",IF(COUNTIFS($A$12:$A$5011,A4871,$B$12:$B$5011,B4871)&gt;1,"CPF + dia duplicado",IF(OR(AND(E4871&lt;&gt;"",E4871&lt;B4871),AND(F4871&lt;&gt;"",F4871&lt;B4871)),"Evento anterior à entrada",IF(AND(F4871&lt;&gt;"",E4871=""),"Conversa sem agendamento",IF(OR(E4871&gt;TODAY(),F4871&gt;TODAY()),"Verificar evento futuro","OK"))))))</f>
        <v/>
      </c>
    </row>
    <row r="4872" spans="9:12">
      <c r="I4872" s="5">
        <f>IF(OR(A4872="",B4872=""),"",B4872-WEEKDAY(B4872,2)+1)</f>
        <v/>
      </c>
      <c r="J4872" s="5">
        <f>IF(I4872="","",I4872+6)</f>
        <v/>
      </c>
      <c r="K4872" s="6">
        <f>IF(OR(A4872="",B4872=""),"",DATE(YEAR(B4872),MONTH(B4872),1))</f>
        <v/>
      </c>
      <c r="L4872" s="7">
        <f>IF(COUNTA(A4872,B4872)=0,"",IF(OR(A4872="",B4872=""),"Preencher CPF e entrada",IF(COUNTIFS($A$12:$A$5011,A4872,$B$12:$B$5011,B4872)&gt;1,"CPF + dia duplicado",IF(OR(AND(E4872&lt;&gt;"",E4872&lt;B4872),AND(F4872&lt;&gt;"",F4872&lt;B4872)),"Evento anterior à entrada",IF(AND(F4872&lt;&gt;"",E4872=""),"Conversa sem agendamento",IF(OR(E4872&gt;TODAY(),F4872&gt;TODAY()),"Verificar evento futuro","OK"))))))</f>
        <v/>
      </c>
    </row>
    <row r="4873" spans="9:12">
      <c r="I4873" s="5">
        <f>IF(OR(A4873="",B4873=""),"",B4873-WEEKDAY(B4873,2)+1)</f>
        <v/>
      </c>
      <c r="J4873" s="5">
        <f>IF(I4873="","",I4873+6)</f>
        <v/>
      </c>
      <c r="K4873" s="6">
        <f>IF(OR(A4873="",B4873=""),"",DATE(YEAR(B4873),MONTH(B4873),1))</f>
        <v/>
      </c>
      <c r="L4873" s="7">
        <f>IF(COUNTA(A4873,B4873)=0,"",IF(OR(A4873="",B4873=""),"Preencher CPF e entrada",IF(COUNTIFS($A$12:$A$5011,A4873,$B$12:$B$5011,B4873)&gt;1,"CPF + dia duplicado",IF(OR(AND(E4873&lt;&gt;"",E4873&lt;B4873),AND(F4873&lt;&gt;"",F4873&lt;B4873)),"Evento anterior à entrada",IF(AND(F4873&lt;&gt;"",E4873=""),"Conversa sem agendamento",IF(OR(E4873&gt;TODAY(),F4873&gt;TODAY()),"Verificar evento futuro","OK"))))))</f>
        <v/>
      </c>
    </row>
    <row r="4874" spans="9:12">
      <c r="I4874" s="5">
        <f>IF(OR(A4874="",B4874=""),"",B4874-WEEKDAY(B4874,2)+1)</f>
        <v/>
      </c>
      <c r="J4874" s="5">
        <f>IF(I4874="","",I4874+6)</f>
        <v/>
      </c>
      <c r="K4874" s="6">
        <f>IF(OR(A4874="",B4874=""),"",DATE(YEAR(B4874),MONTH(B4874),1))</f>
        <v/>
      </c>
      <c r="L4874" s="7">
        <f>IF(COUNTA(A4874,B4874)=0,"",IF(OR(A4874="",B4874=""),"Preencher CPF e entrada",IF(COUNTIFS($A$12:$A$5011,A4874,$B$12:$B$5011,B4874)&gt;1,"CPF + dia duplicado",IF(OR(AND(E4874&lt;&gt;"",E4874&lt;B4874),AND(F4874&lt;&gt;"",F4874&lt;B4874)),"Evento anterior à entrada",IF(AND(F4874&lt;&gt;"",E4874=""),"Conversa sem agendamento",IF(OR(E4874&gt;TODAY(),F4874&gt;TODAY()),"Verificar evento futuro","OK"))))))</f>
        <v/>
      </c>
    </row>
    <row r="4875" spans="9:12">
      <c r="I4875" s="5">
        <f>IF(OR(A4875="",B4875=""),"",B4875-WEEKDAY(B4875,2)+1)</f>
        <v/>
      </c>
      <c r="J4875" s="5">
        <f>IF(I4875="","",I4875+6)</f>
        <v/>
      </c>
      <c r="K4875" s="6">
        <f>IF(OR(A4875="",B4875=""),"",DATE(YEAR(B4875),MONTH(B4875),1))</f>
        <v/>
      </c>
      <c r="L4875" s="7">
        <f>IF(COUNTA(A4875,B4875)=0,"",IF(OR(A4875="",B4875=""),"Preencher CPF e entrada",IF(COUNTIFS($A$12:$A$5011,A4875,$B$12:$B$5011,B4875)&gt;1,"CPF + dia duplicado",IF(OR(AND(E4875&lt;&gt;"",E4875&lt;B4875),AND(F4875&lt;&gt;"",F4875&lt;B4875)),"Evento anterior à entrada",IF(AND(F4875&lt;&gt;"",E4875=""),"Conversa sem agendamento",IF(OR(E4875&gt;TODAY(),F4875&gt;TODAY()),"Verificar evento futuro","OK"))))))</f>
        <v/>
      </c>
    </row>
    <row r="4876" spans="9:12">
      <c r="I4876" s="5">
        <f>IF(OR(A4876="",B4876=""),"",B4876-WEEKDAY(B4876,2)+1)</f>
        <v/>
      </c>
      <c r="J4876" s="5">
        <f>IF(I4876="","",I4876+6)</f>
        <v/>
      </c>
      <c r="K4876" s="6">
        <f>IF(OR(A4876="",B4876=""),"",DATE(YEAR(B4876),MONTH(B4876),1))</f>
        <v/>
      </c>
      <c r="L4876" s="7">
        <f>IF(COUNTA(A4876,B4876)=0,"",IF(OR(A4876="",B4876=""),"Preencher CPF e entrada",IF(COUNTIFS($A$12:$A$5011,A4876,$B$12:$B$5011,B4876)&gt;1,"CPF + dia duplicado",IF(OR(AND(E4876&lt;&gt;"",E4876&lt;B4876),AND(F4876&lt;&gt;"",F4876&lt;B4876)),"Evento anterior à entrada",IF(AND(F4876&lt;&gt;"",E4876=""),"Conversa sem agendamento",IF(OR(E4876&gt;TODAY(),F4876&gt;TODAY()),"Verificar evento futuro","OK"))))))</f>
        <v/>
      </c>
    </row>
    <row r="4877" spans="9:12">
      <c r="I4877" s="5">
        <f>IF(OR(A4877="",B4877=""),"",B4877-WEEKDAY(B4877,2)+1)</f>
        <v/>
      </c>
      <c r="J4877" s="5">
        <f>IF(I4877="","",I4877+6)</f>
        <v/>
      </c>
      <c r="K4877" s="6">
        <f>IF(OR(A4877="",B4877=""),"",DATE(YEAR(B4877),MONTH(B4877),1))</f>
        <v/>
      </c>
      <c r="L4877" s="7">
        <f>IF(COUNTA(A4877,B4877)=0,"",IF(OR(A4877="",B4877=""),"Preencher CPF e entrada",IF(COUNTIFS($A$12:$A$5011,A4877,$B$12:$B$5011,B4877)&gt;1,"CPF + dia duplicado",IF(OR(AND(E4877&lt;&gt;"",E4877&lt;B4877),AND(F4877&lt;&gt;"",F4877&lt;B4877)),"Evento anterior à entrada",IF(AND(F4877&lt;&gt;"",E4877=""),"Conversa sem agendamento",IF(OR(E4877&gt;TODAY(),F4877&gt;TODAY()),"Verificar evento futuro","OK"))))))</f>
        <v/>
      </c>
    </row>
    <row r="4878" spans="9:12">
      <c r="I4878" s="5">
        <f>IF(OR(A4878="",B4878=""),"",B4878-WEEKDAY(B4878,2)+1)</f>
        <v/>
      </c>
      <c r="J4878" s="5">
        <f>IF(I4878="","",I4878+6)</f>
        <v/>
      </c>
      <c r="K4878" s="6">
        <f>IF(OR(A4878="",B4878=""),"",DATE(YEAR(B4878),MONTH(B4878),1))</f>
        <v/>
      </c>
      <c r="L4878" s="7">
        <f>IF(COUNTA(A4878,B4878)=0,"",IF(OR(A4878="",B4878=""),"Preencher CPF e entrada",IF(COUNTIFS($A$12:$A$5011,A4878,$B$12:$B$5011,B4878)&gt;1,"CPF + dia duplicado",IF(OR(AND(E4878&lt;&gt;"",E4878&lt;B4878),AND(F4878&lt;&gt;"",F4878&lt;B4878)),"Evento anterior à entrada",IF(AND(F4878&lt;&gt;"",E4878=""),"Conversa sem agendamento",IF(OR(E4878&gt;TODAY(),F4878&gt;TODAY()),"Verificar evento futuro","OK"))))))</f>
        <v/>
      </c>
    </row>
    <row r="4879" spans="9:12">
      <c r="I4879" s="5">
        <f>IF(OR(A4879="",B4879=""),"",B4879-WEEKDAY(B4879,2)+1)</f>
        <v/>
      </c>
      <c r="J4879" s="5">
        <f>IF(I4879="","",I4879+6)</f>
        <v/>
      </c>
      <c r="K4879" s="6">
        <f>IF(OR(A4879="",B4879=""),"",DATE(YEAR(B4879),MONTH(B4879),1))</f>
        <v/>
      </c>
      <c r="L4879" s="7">
        <f>IF(COUNTA(A4879,B4879)=0,"",IF(OR(A4879="",B4879=""),"Preencher CPF e entrada",IF(COUNTIFS($A$12:$A$5011,A4879,$B$12:$B$5011,B4879)&gt;1,"CPF + dia duplicado",IF(OR(AND(E4879&lt;&gt;"",E4879&lt;B4879),AND(F4879&lt;&gt;"",F4879&lt;B4879)),"Evento anterior à entrada",IF(AND(F4879&lt;&gt;"",E4879=""),"Conversa sem agendamento",IF(OR(E4879&gt;TODAY(),F4879&gt;TODAY()),"Verificar evento futuro","OK"))))))</f>
        <v/>
      </c>
    </row>
    <row r="4880" spans="9:12">
      <c r="I4880" s="5">
        <f>IF(OR(A4880="",B4880=""),"",B4880-WEEKDAY(B4880,2)+1)</f>
        <v/>
      </c>
      <c r="J4880" s="5">
        <f>IF(I4880="","",I4880+6)</f>
        <v/>
      </c>
      <c r="K4880" s="6">
        <f>IF(OR(A4880="",B4880=""),"",DATE(YEAR(B4880),MONTH(B4880),1))</f>
        <v/>
      </c>
      <c r="L4880" s="7">
        <f>IF(COUNTA(A4880,B4880)=0,"",IF(OR(A4880="",B4880=""),"Preencher CPF e entrada",IF(COUNTIFS($A$12:$A$5011,A4880,$B$12:$B$5011,B4880)&gt;1,"CPF + dia duplicado",IF(OR(AND(E4880&lt;&gt;"",E4880&lt;B4880),AND(F4880&lt;&gt;"",F4880&lt;B4880)),"Evento anterior à entrada",IF(AND(F4880&lt;&gt;"",E4880=""),"Conversa sem agendamento",IF(OR(E4880&gt;TODAY(),F4880&gt;TODAY()),"Verificar evento futuro","OK"))))))</f>
        <v/>
      </c>
    </row>
    <row r="4881" spans="9:12">
      <c r="I4881" s="5">
        <f>IF(OR(A4881="",B4881=""),"",B4881-WEEKDAY(B4881,2)+1)</f>
        <v/>
      </c>
      <c r="J4881" s="5">
        <f>IF(I4881="","",I4881+6)</f>
        <v/>
      </c>
      <c r="K4881" s="6">
        <f>IF(OR(A4881="",B4881=""),"",DATE(YEAR(B4881),MONTH(B4881),1))</f>
        <v/>
      </c>
      <c r="L4881" s="7">
        <f>IF(COUNTA(A4881,B4881)=0,"",IF(OR(A4881="",B4881=""),"Preencher CPF e entrada",IF(COUNTIFS($A$12:$A$5011,A4881,$B$12:$B$5011,B4881)&gt;1,"CPF + dia duplicado",IF(OR(AND(E4881&lt;&gt;"",E4881&lt;B4881),AND(F4881&lt;&gt;"",F4881&lt;B4881)),"Evento anterior à entrada",IF(AND(F4881&lt;&gt;"",E4881=""),"Conversa sem agendamento",IF(OR(E4881&gt;TODAY(),F4881&gt;TODAY()),"Verificar evento futuro","OK"))))))</f>
        <v/>
      </c>
    </row>
    <row r="4882" spans="9:12">
      <c r="I4882" s="5">
        <f>IF(OR(A4882="",B4882=""),"",B4882-WEEKDAY(B4882,2)+1)</f>
        <v/>
      </c>
      <c r="J4882" s="5">
        <f>IF(I4882="","",I4882+6)</f>
        <v/>
      </c>
      <c r="K4882" s="6">
        <f>IF(OR(A4882="",B4882=""),"",DATE(YEAR(B4882),MONTH(B4882),1))</f>
        <v/>
      </c>
      <c r="L4882" s="7">
        <f>IF(COUNTA(A4882,B4882)=0,"",IF(OR(A4882="",B4882=""),"Preencher CPF e entrada",IF(COUNTIFS($A$12:$A$5011,A4882,$B$12:$B$5011,B4882)&gt;1,"CPF + dia duplicado",IF(OR(AND(E4882&lt;&gt;"",E4882&lt;B4882),AND(F4882&lt;&gt;"",F4882&lt;B4882)),"Evento anterior à entrada",IF(AND(F4882&lt;&gt;"",E4882=""),"Conversa sem agendamento",IF(OR(E4882&gt;TODAY(),F4882&gt;TODAY()),"Verificar evento futuro","OK"))))))</f>
        <v/>
      </c>
    </row>
    <row r="4883" spans="9:12">
      <c r="I4883" s="5">
        <f>IF(OR(A4883="",B4883=""),"",B4883-WEEKDAY(B4883,2)+1)</f>
        <v/>
      </c>
      <c r="J4883" s="5">
        <f>IF(I4883="","",I4883+6)</f>
        <v/>
      </c>
      <c r="K4883" s="6">
        <f>IF(OR(A4883="",B4883=""),"",DATE(YEAR(B4883),MONTH(B4883),1))</f>
        <v/>
      </c>
      <c r="L4883" s="7">
        <f>IF(COUNTA(A4883,B4883)=0,"",IF(OR(A4883="",B4883=""),"Preencher CPF e entrada",IF(COUNTIFS($A$12:$A$5011,A4883,$B$12:$B$5011,B4883)&gt;1,"CPF + dia duplicado",IF(OR(AND(E4883&lt;&gt;"",E4883&lt;B4883),AND(F4883&lt;&gt;"",F4883&lt;B4883)),"Evento anterior à entrada",IF(AND(F4883&lt;&gt;"",E4883=""),"Conversa sem agendamento",IF(OR(E4883&gt;TODAY(),F4883&gt;TODAY()),"Verificar evento futuro","OK"))))))</f>
        <v/>
      </c>
    </row>
    <row r="4884" spans="9:12">
      <c r="I4884" s="5">
        <f>IF(OR(A4884="",B4884=""),"",B4884-WEEKDAY(B4884,2)+1)</f>
        <v/>
      </c>
      <c r="J4884" s="5">
        <f>IF(I4884="","",I4884+6)</f>
        <v/>
      </c>
      <c r="K4884" s="6">
        <f>IF(OR(A4884="",B4884=""),"",DATE(YEAR(B4884),MONTH(B4884),1))</f>
        <v/>
      </c>
      <c r="L4884" s="7">
        <f>IF(COUNTA(A4884,B4884)=0,"",IF(OR(A4884="",B4884=""),"Preencher CPF e entrada",IF(COUNTIFS($A$12:$A$5011,A4884,$B$12:$B$5011,B4884)&gt;1,"CPF + dia duplicado",IF(OR(AND(E4884&lt;&gt;"",E4884&lt;B4884),AND(F4884&lt;&gt;"",F4884&lt;B4884)),"Evento anterior à entrada",IF(AND(F4884&lt;&gt;"",E4884=""),"Conversa sem agendamento",IF(OR(E4884&gt;TODAY(),F4884&gt;TODAY()),"Verificar evento futuro","OK"))))))</f>
        <v/>
      </c>
    </row>
    <row r="4885" spans="9:12">
      <c r="I4885" s="5">
        <f>IF(OR(A4885="",B4885=""),"",B4885-WEEKDAY(B4885,2)+1)</f>
        <v/>
      </c>
      <c r="J4885" s="5">
        <f>IF(I4885="","",I4885+6)</f>
        <v/>
      </c>
      <c r="K4885" s="6">
        <f>IF(OR(A4885="",B4885=""),"",DATE(YEAR(B4885),MONTH(B4885),1))</f>
        <v/>
      </c>
      <c r="L4885" s="7">
        <f>IF(COUNTA(A4885,B4885)=0,"",IF(OR(A4885="",B4885=""),"Preencher CPF e entrada",IF(COUNTIFS($A$12:$A$5011,A4885,$B$12:$B$5011,B4885)&gt;1,"CPF + dia duplicado",IF(OR(AND(E4885&lt;&gt;"",E4885&lt;B4885),AND(F4885&lt;&gt;"",F4885&lt;B4885)),"Evento anterior à entrada",IF(AND(F4885&lt;&gt;"",E4885=""),"Conversa sem agendamento",IF(OR(E4885&gt;TODAY(),F4885&gt;TODAY()),"Verificar evento futuro","OK"))))))</f>
        <v/>
      </c>
    </row>
    <row r="4886" spans="9:12">
      <c r="I4886" s="5">
        <f>IF(OR(A4886="",B4886=""),"",B4886-WEEKDAY(B4886,2)+1)</f>
        <v/>
      </c>
      <c r="J4886" s="5">
        <f>IF(I4886="","",I4886+6)</f>
        <v/>
      </c>
      <c r="K4886" s="6">
        <f>IF(OR(A4886="",B4886=""),"",DATE(YEAR(B4886),MONTH(B4886),1))</f>
        <v/>
      </c>
      <c r="L4886" s="7">
        <f>IF(COUNTA(A4886,B4886)=0,"",IF(OR(A4886="",B4886=""),"Preencher CPF e entrada",IF(COUNTIFS($A$12:$A$5011,A4886,$B$12:$B$5011,B4886)&gt;1,"CPF + dia duplicado",IF(OR(AND(E4886&lt;&gt;"",E4886&lt;B4886),AND(F4886&lt;&gt;"",F4886&lt;B4886)),"Evento anterior à entrada",IF(AND(F4886&lt;&gt;"",E4886=""),"Conversa sem agendamento",IF(OR(E4886&gt;TODAY(),F4886&gt;TODAY()),"Verificar evento futuro","OK"))))))</f>
        <v/>
      </c>
    </row>
    <row r="4887" spans="9:12">
      <c r="I4887" s="5">
        <f>IF(OR(A4887="",B4887=""),"",B4887-WEEKDAY(B4887,2)+1)</f>
        <v/>
      </c>
      <c r="J4887" s="5">
        <f>IF(I4887="","",I4887+6)</f>
        <v/>
      </c>
      <c r="K4887" s="6">
        <f>IF(OR(A4887="",B4887=""),"",DATE(YEAR(B4887),MONTH(B4887),1))</f>
        <v/>
      </c>
      <c r="L4887" s="7">
        <f>IF(COUNTA(A4887,B4887)=0,"",IF(OR(A4887="",B4887=""),"Preencher CPF e entrada",IF(COUNTIFS($A$12:$A$5011,A4887,$B$12:$B$5011,B4887)&gt;1,"CPF + dia duplicado",IF(OR(AND(E4887&lt;&gt;"",E4887&lt;B4887),AND(F4887&lt;&gt;"",F4887&lt;B4887)),"Evento anterior à entrada",IF(AND(F4887&lt;&gt;"",E4887=""),"Conversa sem agendamento",IF(OR(E4887&gt;TODAY(),F4887&gt;TODAY()),"Verificar evento futuro","OK"))))))</f>
        <v/>
      </c>
    </row>
    <row r="4888" spans="9:12">
      <c r="I4888" s="5">
        <f>IF(OR(A4888="",B4888=""),"",B4888-WEEKDAY(B4888,2)+1)</f>
        <v/>
      </c>
      <c r="J4888" s="5">
        <f>IF(I4888="","",I4888+6)</f>
        <v/>
      </c>
      <c r="K4888" s="6">
        <f>IF(OR(A4888="",B4888=""),"",DATE(YEAR(B4888),MONTH(B4888),1))</f>
        <v/>
      </c>
      <c r="L4888" s="7">
        <f>IF(COUNTA(A4888,B4888)=0,"",IF(OR(A4888="",B4888=""),"Preencher CPF e entrada",IF(COUNTIFS($A$12:$A$5011,A4888,$B$12:$B$5011,B4888)&gt;1,"CPF + dia duplicado",IF(OR(AND(E4888&lt;&gt;"",E4888&lt;B4888),AND(F4888&lt;&gt;"",F4888&lt;B4888)),"Evento anterior à entrada",IF(AND(F4888&lt;&gt;"",E4888=""),"Conversa sem agendamento",IF(OR(E4888&gt;TODAY(),F4888&gt;TODAY()),"Verificar evento futuro","OK"))))))</f>
        <v/>
      </c>
    </row>
    <row r="4889" spans="9:12">
      <c r="I4889" s="5">
        <f>IF(OR(A4889="",B4889=""),"",B4889-WEEKDAY(B4889,2)+1)</f>
        <v/>
      </c>
      <c r="J4889" s="5">
        <f>IF(I4889="","",I4889+6)</f>
        <v/>
      </c>
      <c r="K4889" s="6">
        <f>IF(OR(A4889="",B4889=""),"",DATE(YEAR(B4889),MONTH(B4889),1))</f>
        <v/>
      </c>
      <c r="L4889" s="7">
        <f>IF(COUNTA(A4889,B4889)=0,"",IF(OR(A4889="",B4889=""),"Preencher CPF e entrada",IF(COUNTIFS($A$12:$A$5011,A4889,$B$12:$B$5011,B4889)&gt;1,"CPF + dia duplicado",IF(OR(AND(E4889&lt;&gt;"",E4889&lt;B4889),AND(F4889&lt;&gt;"",F4889&lt;B4889)),"Evento anterior à entrada",IF(AND(F4889&lt;&gt;"",E4889=""),"Conversa sem agendamento",IF(OR(E4889&gt;TODAY(),F4889&gt;TODAY()),"Verificar evento futuro","OK"))))))</f>
        <v/>
      </c>
    </row>
    <row r="4890" spans="9:12">
      <c r="I4890" s="5">
        <f>IF(OR(A4890="",B4890=""),"",B4890-WEEKDAY(B4890,2)+1)</f>
        <v/>
      </c>
      <c r="J4890" s="5">
        <f>IF(I4890="","",I4890+6)</f>
        <v/>
      </c>
      <c r="K4890" s="6">
        <f>IF(OR(A4890="",B4890=""),"",DATE(YEAR(B4890),MONTH(B4890),1))</f>
        <v/>
      </c>
      <c r="L4890" s="7">
        <f>IF(COUNTA(A4890,B4890)=0,"",IF(OR(A4890="",B4890=""),"Preencher CPF e entrada",IF(COUNTIFS($A$12:$A$5011,A4890,$B$12:$B$5011,B4890)&gt;1,"CPF + dia duplicado",IF(OR(AND(E4890&lt;&gt;"",E4890&lt;B4890),AND(F4890&lt;&gt;"",F4890&lt;B4890)),"Evento anterior à entrada",IF(AND(F4890&lt;&gt;"",E4890=""),"Conversa sem agendamento",IF(OR(E4890&gt;TODAY(),F4890&gt;TODAY()),"Verificar evento futuro","OK"))))))</f>
        <v/>
      </c>
    </row>
    <row r="4891" spans="9:12">
      <c r="I4891" s="5">
        <f>IF(OR(A4891="",B4891=""),"",B4891-WEEKDAY(B4891,2)+1)</f>
        <v/>
      </c>
      <c r="J4891" s="5">
        <f>IF(I4891="","",I4891+6)</f>
        <v/>
      </c>
      <c r="K4891" s="6">
        <f>IF(OR(A4891="",B4891=""),"",DATE(YEAR(B4891),MONTH(B4891),1))</f>
        <v/>
      </c>
      <c r="L4891" s="7">
        <f>IF(COUNTA(A4891,B4891)=0,"",IF(OR(A4891="",B4891=""),"Preencher CPF e entrada",IF(COUNTIFS($A$12:$A$5011,A4891,$B$12:$B$5011,B4891)&gt;1,"CPF + dia duplicado",IF(OR(AND(E4891&lt;&gt;"",E4891&lt;B4891),AND(F4891&lt;&gt;"",F4891&lt;B4891)),"Evento anterior à entrada",IF(AND(F4891&lt;&gt;"",E4891=""),"Conversa sem agendamento",IF(OR(E4891&gt;TODAY(),F4891&gt;TODAY()),"Verificar evento futuro","OK"))))))</f>
        <v/>
      </c>
    </row>
    <row r="4892" spans="9:12">
      <c r="I4892" s="5">
        <f>IF(OR(A4892="",B4892=""),"",B4892-WEEKDAY(B4892,2)+1)</f>
        <v/>
      </c>
      <c r="J4892" s="5">
        <f>IF(I4892="","",I4892+6)</f>
        <v/>
      </c>
      <c r="K4892" s="6">
        <f>IF(OR(A4892="",B4892=""),"",DATE(YEAR(B4892),MONTH(B4892),1))</f>
        <v/>
      </c>
      <c r="L4892" s="7">
        <f>IF(COUNTA(A4892,B4892)=0,"",IF(OR(A4892="",B4892=""),"Preencher CPF e entrada",IF(COUNTIFS($A$12:$A$5011,A4892,$B$12:$B$5011,B4892)&gt;1,"CPF + dia duplicado",IF(OR(AND(E4892&lt;&gt;"",E4892&lt;B4892),AND(F4892&lt;&gt;"",F4892&lt;B4892)),"Evento anterior à entrada",IF(AND(F4892&lt;&gt;"",E4892=""),"Conversa sem agendamento",IF(OR(E4892&gt;TODAY(),F4892&gt;TODAY()),"Verificar evento futuro","OK"))))))</f>
        <v/>
      </c>
    </row>
    <row r="4893" spans="9:12">
      <c r="I4893" s="5">
        <f>IF(OR(A4893="",B4893=""),"",B4893-WEEKDAY(B4893,2)+1)</f>
        <v/>
      </c>
      <c r="J4893" s="5">
        <f>IF(I4893="","",I4893+6)</f>
        <v/>
      </c>
      <c r="K4893" s="6">
        <f>IF(OR(A4893="",B4893=""),"",DATE(YEAR(B4893),MONTH(B4893),1))</f>
        <v/>
      </c>
      <c r="L4893" s="7">
        <f>IF(COUNTA(A4893,B4893)=0,"",IF(OR(A4893="",B4893=""),"Preencher CPF e entrada",IF(COUNTIFS($A$12:$A$5011,A4893,$B$12:$B$5011,B4893)&gt;1,"CPF + dia duplicado",IF(OR(AND(E4893&lt;&gt;"",E4893&lt;B4893),AND(F4893&lt;&gt;"",F4893&lt;B4893)),"Evento anterior à entrada",IF(AND(F4893&lt;&gt;"",E4893=""),"Conversa sem agendamento",IF(OR(E4893&gt;TODAY(),F4893&gt;TODAY()),"Verificar evento futuro","OK"))))))</f>
        <v/>
      </c>
    </row>
    <row r="4894" spans="9:12">
      <c r="I4894" s="5">
        <f>IF(OR(A4894="",B4894=""),"",B4894-WEEKDAY(B4894,2)+1)</f>
        <v/>
      </c>
      <c r="J4894" s="5">
        <f>IF(I4894="","",I4894+6)</f>
        <v/>
      </c>
      <c r="K4894" s="6">
        <f>IF(OR(A4894="",B4894=""),"",DATE(YEAR(B4894),MONTH(B4894),1))</f>
        <v/>
      </c>
      <c r="L4894" s="7">
        <f>IF(COUNTA(A4894,B4894)=0,"",IF(OR(A4894="",B4894=""),"Preencher CPF e entrada",IF(COUNTIFS($A$12:$A$5011,A4894,$B$12:$B$5011,B4894)&gt;1,"CPF + dia duplicado",IF(OR(AND(E4894&lt;&gt;"",E4894&lt;B4894),AND(F4894&lt;&gt;"",F4894&lt;B4894)),"Evento anterior à entrada",IF(AND(F4894&lt;&gt;"",E4894=""),"Conversa sem agendamento",IF(OR(E4894&gt;TODAY(),F4894&gt;TODAY()),"Verificar evento futuro","OK"))))))</f>
        <v/>
      </c>
    </row>
    <row r="4895" spans="9:12">
      <c r="I4895" s="5">
        <f>IF(OR(A4895="",B4895=""),"",B4895-WEEKDAY(B4895,2)+1)</f>
        <v/>
      </c>
      <c r="J4895" s="5">
        <f>IF(I4895="","",I4895+6)</f>
        <v/>
      </c>
      <c r="K4895" s="6">
        <f>IF(OR(A4895="",B4895=""),"",DATE(YEAR(B4895),MONTH(B4895),1))</f>
        <v/>
      </c>
      <c r="L4895" s="7">
        <f>IF(COUNTA(A4895,B4895)=0,"",IF(OR(A4895="",B4895=""),"Preencher CPF e entrada",IF(COUNTIFS($A$12:$A$5011,A4895,$B$12:$B$5011,B4895)&gt;1,"CPF + dia duplicado",IF(OR(AND(E4895&lt;&gt;"",E4895&lt;B4895),AND(F4895&lt;&gt;"",F4895&lt;B4895)),"Evento anterior à entrada",IF(AND(F4895&lt;&gt;"",E4895=""),"Conversa sem agendamento",IF(OR(E4895&gt;TODAY(),F4895&gt;TODAY()),"Verificar evento futuro","OK"))))))</f>
        <v/>
      </c>
    </row>
    <row r="4896" spans="9:12">
      <c r="I4896" s="5">
        <f>IF(OR(A4896="",B4896=""),"",B4896-WEEKDAY(B4896,2)+1)</f>
        <v/>
      </c>
      <c r="J4896" s="5">
        <f>IF(I4896="","",I4896+6)</f>
        <v/>
      </c>
      <c r="K4896" s="6">
        <f>IF(OR(A4896="",B4896=""),"",DATE(YEAR(B4896),MONTH(B4896),1))</f>
        <v/>
      </c>
      <c r="L4896" s="7">
        <f>IF(COUNTA(A4896,B4896)=0,"",IF(OR(A4896="",B4896=""),"Preencher CPF e entrada",IF(COUNTIFS($A$12:$A$5011,A4896,$B$12:$B$5011,B4896)&gt;1,"CPF + dia duplicado",IF(OR(AND(E4896&lt;&gt;"",E4896&lt;B4896),AND(F4896&lt;&gt;"",F4896&lt;B4896)),"Evento anterior à entrada",IF(AND(F4896&lt;&gt;"",E4896=""),"Conversa sem agendamento",IF(OR(E4896&gt;TODAY(),F4896&gt;TODAY()),"Verificar evento futuro","OK"))))))</f>
        <v/>
      </c>
    </row>
    <row r="4897" spans="9:12">
      <c r="I4897" s="5">
        <f>IF(OR(A4897="",B4897=""),"",B4897-WEEKDAY(B4897,2)+1)</f>
        <v/>
      </c>
      <c r="J4897" s="5">
        <f>IF(I4897="","",I4897+6)</f>
        <v/>
      </c>
      <c r="K4897" s="6">
        <f>IF(OR(A4897="",B4897=""),"",DATE(YEAR(B4897),MONTH(B4897),1))</f>
        <v/>
      </c>
      <c r="L4897" s="7">
        <f>IF(COUNTA(A4897,B4897)=0,"",IF(OR(A4897="",B4897=""),"Preencher CPF e entrada",IF(COUNTIFS($A$12:$A$5011,A4897,$B$12:$B$5011,B4897)&gt;1,"CPF + dia duplicado",IF(OR(AND(E4897&lt;&gt;"",E4897&lt;B4897),AND(F4897&lt;&gt;"",F4897&lt;B4897)),"Evento anterior à entrada",IF(AND(F4897&lt;&gt;"",E4897=""),"Conversa sem agendamento",IF(OR(E4897&gt;TODAY(),F4897&gt;TODAY()),"Verificar evento futuro","OK"))))))</f>
        <v/>
      </c>
    </row>
    <row r="4898" spans="9:12">
      <c r="I4898" s="5">
        <f>IF(OR(A4898="",B4898=""),"",B4898-WEEKDAY(B4898,2)+1)</f>
        <v/>
      </c>
      <c r="J4898" s="5">
        <f>IF(I4898="","",I4898+6)</f>
        <v/>
      </c>
      <c r="K4898" s="6">
        <f>IF(OR(A4898="",B4898=""),"",DATE(YEAR(B4898),MONTH(B4898),1))</f>
        <v/>
      </c>
      <c r="L4898" s="7">
        <f>IF(COUNTA(A4898,B4898)=0,"",IF(OR(A4898="",B4898=""),"Preencher CPF e entrada",IF(COUNTIFS($A$12:$A$5011,A4898,$B$12:$B$5011,B4898)&gt;1,"CPF + dia duplicado",IF(OR(AND(E4898&lt;&gt;"",E4898&lt;B4898),AND(F4898&lt;&gt;"",F4898&lt;B4898)),"Evento anterior à entrada",IF(AND(F4898&lt;&gt;"",E4898=""),"Conversa sem agendamento",IF(OR(E4898&gt;TODAY(),F4898&gt;TODAY()),"Verificar evento futuro","OK"))))))</f>
        <v/>
      </c>
    </row>
    <row r="4899" spans="9:12">
      <c r="I4899" s="5">
        <f>IF(OR(A4899="",B4899=""),"",B4899-WEEKDAY(B4899,2)+1)</f>
        <v/>
      </c>
      <c r="J4899" s="5">
        <f>IF(I4899="","",I4899+6)</f>
        <v/>
      </c>
      <c r="K4899" s="6">
        <f>IF(OR(A4899="",B4899=""),"",DATE(YEAR(B4899),MONTH(B4899),1))</f>
        <v/>
      </c>
      <c r="L4899" s="7">
        <f>IF(COUNTA(A4899,B4899)=0,"",IF(OR(A4899="",B4899=""),"Preencher CPF e entrada",IF(COUNTIFS($A$12:$A$5011,A4899,$B$12:$B$5011,B4899)&gt;1,"CPF + dia duplicado",IF(OR(AND(E4899&lt;&gt;"",E4899&lt;B4899),AND(F4899&lt;&gt;"",F4899&lt;B4899)),"Evento anterior à entrada",IF(AND(F4899&lt;&gt;"",E4899=""),"Conversa sem agendamento",IF(OR(E4899&gt;TODAY(),F4899&gt;TODAY()),"Verificar evento futuro","OK"))))))</f>
        <v/>
      </c>
    </row>
    <row r="4900" spans="9:12">
      <c r="I4900" s="5">
        <f>IF(OR(A4900="",B4900=""),"",B4900-WEEKDAY(B4900,2)+1)</f>
        <v/>
      </c>
      <c r="J4900" s="5">
        <f>IF(I4900="","",I4900+6)</f>
        <v/>
      </c>
      <c r="K4900" s="6">
        <f>IF(OR(A4900="",B4900=""),"",DATE(YEAR(B4900),MONTH(B4900),1))</f>
        <v/>
      </c>
      <c r="L4900" s="7">
        <f>IF(COUNTA(A4900,B4900)=0,"",IF(OR(A4900="",B4900=""),"Preencher CPF e entrada",IF(COUNTIFS($A$12:$A$5011,A4900,$B$12:$B$5011,B4900)&gt;1,"CPF + dia duplicado",IF(OR(AND(E4900&lt;&gt;"",E4900&lt;B4900),AND(F4900&lt;&gt;"",F4900&lt;B4900)),"Evento anterior à entrada",IF(AND(F4900&lt;&gt;"",E4900=""),"Conversa sem agendamento",IF(OR(E4900&gt;TODAY(),F4900&gt;TODAY()),"Verificar evento futuro","OK"))))))</f>
        <v/>
      </c>
    </row>
    <row r="4901" spans="9:12">
      <c r="I4901" s="5">
        <f>IF(OR(A4901="",B4901=""),"",B4901-WEEKDAY(B4901,2)+1)</f>
        <v/>
      </c>
      <c r="J4901" s="5">
        <f>IF(I4901="","",I4901+6)</f>
        <v/>
      </c>
      <c r="K4901" s="6">
        <f>IF(OR(A4901="",B4901=""),"",DATE(YEAR(B4901),MONTH(B4901),1))</f>
        <v/>
      </c>
      <c r="L4901" s="7">
        <f>IF(COUNTA(A4901,B4901)=0,"",IF(OR(A4901="",B4901=""),"Preencher CPF e entrada",IF(COUNTIFS($A$12:$A$5011,A4901,$B$12:$B$5011,B4901)&gt;1,"CPF + dia duplicado",IF(OR(AND(E4901&lt;&gt;"",E4901&lt;B4901),AND(F4901&lt;&gt;"",F4901&lt;B4901)),"Evento anterior à entrada",IF(AND(F4901&lt;&gt;"",E4901=""),"Conversa sem agendamento",IF(OR(E4901&gt;TODAY(),F4901&gt;TODAY()),"Verificar evento futuro","OK"))))))</f>
        <v/>
      </c>
    </row>
    <row r="4902" spans="9:12">
      <c r="I4902" s="5">
        <f>IF(OR(A4902="",B4902=""),"",B4902-WEEKDAY(B4902,2)+1)</f>
        <v/>
      </c>
      <c r="J4902" s="5">
        <f>IF(I4902="","",I4902+6)</f>
        <v/>
      </c>
      <c r="K4902" s="6">
        <f>IF(OR(A4902="",B4902=""),"",DATE(YEAR(B4902),MONTH(B4902),1))</f>
        <v/>
      </c>
      <c r="L4902" s="7">
        <f>IF(COUNTA(A4902,B4902)=0,"",IF(OR(A4902="",B4902=""),"Preencher CPF e entrada",IF(COUNTIFS($A$12:$A$5011,A4902,$B$12:$B$5011,B4902)&gt;1,"CPF + dia duplicado",IF(OR(AND(E4902&lt;&gt;"",E4902&lt;B4902),AND(F4902&lt;&gt;"",F4902&lt;B4902)),"Evento anterior à entrada",IF(AND(F4902&lt;&gt;"",E4902=""),"Conversa sem agendamento",IF(OR(E4902&gt;TODAY(),F4902&gt;TODAY()),"Verificar evento futuro","OK"))))))</f>
        <v/>
      </c>
    </row>
    <row r="4903" spans="9:12">
      <c r="I4903" s="5">
        <f>IF(OR(A4903="",B4903=""),"",B4903-WEEKDAY(B4903,2)+1)</f>
        <v/>
      </c>
      <c r="J4903" s="5">
        <f>IF(I4903="","",I4903+6)</f>
        <v/>
      </c>
      <c r="K4903" s="6">
        <f>IF(OR(A4903="",B4903=""),"",DATE(YEAR(B4903),MONTH(B4903),1))</f>
        <v/>
      </c>
      <c r="L4903" s="7">
        <f>IF(COUNTA(A4903,B4903)=0,"",IF(OR(A4903="",B4903=""),"Preencher CPF e entrada",IF(COUNTIFS($A$12:$A$5011,A4903,$B$12:$B$5011,B4903)&gt;1,"CPF + dia duplicado",IF(OR(AND(E4903&lt;&gt;"",E4903&lt;B4903),AND(F4903&lt;&gt;"",F4903&lt;B4903)),"Evento anterior à entrada",IF(AND(F4903&lt;&gt;"",E4903=""),"Conversa sem agendamento",IF(OR(E4903&gt;TODAY(),F4903&gt;TODAY()),"Verificar evento futuro","OK"))))))</f>
        <v/>
      </c>
    </row>
    <row r="4904" spans="9:12">
      <c r="I4904" s="5">
        <f>IF(OR(A4904="",B4904=""),"",B4904-WEEKDAY(B4904,2)+1)</f>
        <v/>
      </c>
      <c r="J4904" s="5">
        <f>IF(I4904="","",I4904+6)</f>
        <v/>
      </c>
      <c r="K4904" s="6">
        <f>IF(OR(A4904="",B4904=""),"",DATE(YEAR(B4904),MONTH(B4904),1))</f>
        <v/>
      </c>
      <c r="L4904" s="7">
        <f>IF(COUNTA(A4904,B4904)=0,"",IF(OR(A4904="",B4904=""),"Preencher CPF e entrada",IF(COUNTIFS($A$12:$A$5011,A4904,$B$12:$B$5011,B4904)&gt;1,"CPF + dia duplicado",IF(OR(AND(E4904&lt;&gt;"",E4904&lt;B4904),AND(F4904&lt;&gt;"",F4904&lt;B4904)),"Evento anterior à entrada",IF(AND(F4904&lt;&gt;"",E4904=""),"Conversa sem agendamento",IF(OR(E4904&gt;TODAY(),F4904&gt;TODAY()),"Verificar evento futuro","OK"))))))</f>
        <v/>
      </c>
    </row>
    <row r="4905" spans="9:12">
      <c r="I4905" s="5">
        <f>IF(OR(A4905="",B4905=""),"",B4905-WEEKDAY(B4905,2)+1)</f>
        <v/>
      </c>
      <c r="J4905" s="5">
        <f>IF(I4905="","",I4905+6)</f>
        <v/>
      </c>
      <c r="K4905" s="6">
        <f>IF(OR(A4905="",B4905=""),"",DATE(YEAR(B4905),MONTH(B4905),1))</f>
        <v/>
      </c>
      <c r="L4905" s="7">
        <f>IF(COUNTA(A4905,B4905)=0,"",IF(OR(A4905="",B4905=""),"Preencher CPF e entrada",IF(COUNTIFS($A$12:$A$5011,A4905,$B$12:$B$5011,B4905)&gt;1,"CPF + dia duplicado",IF(OR(AND(E4905&lt;&gt;"",E4905&lt;B4905),AND(F4905&lt;&gt;"",F4905&lt;B4905)),"Evento anterior à entrada",IF(AND(F4905&lt;&gt;"",E4905=""),"Conversa sem agendamento",IF(OR(E4905&gt;TODAY(),F4905&gt;TODAY()),"Verificar evento futuro","OK"))))))</f>
        <v/>
      </c>
    </row>
    <row r="4906" spans="9:12">
      <c r="I4906" s="5">
        <f>IF(OR(A4906="",B4906=""),"",B4906-WEEKDAY(B4906,2)+1)</f>
        <v/>
      </c>
      <c r="J4906" s="5">
        <f>IF(I4906="","",I4906+6)</f>
        <v/>
      </c>
      <c r="K4906" s="6">
        <f>IF(OR(A4906="",B4906=""),"",DATE(YEAR(B4906),MONTH(B4906),1))</f>
        <v/>
      </c>
      <c r="L4906" s="7">
        <f>IF(COUNTA(A4906,B4906)=0,"",IF(OR(A4906="",B4906=""),"Preencher CPF e entrada",IF(COUNTIFS($A$12:$A$5011,A4906,$B$12:$B$5011,B4906)&gt;1,"CPF + dia duplicado",IF(OR(AND(E4906&lt;&gt;"",E4906&lt;B4906),AND(F4906&lt;&gt;"",F4906&lt;B4906)),"Evento anterior à entrada",IF(AND(F4906&lt;&gt;"",E4906=""),"Conversa sem agendamento",IF(OR(E4906&gt;TODAY(),F4906&gt;TODAY()),"Verificar evento futuro","OK"))))))</f>
        <v/>
      </c>
    </row>
    <row r="4907" spans="9:12">
      <c r="I4907" s="5">
        <f>IF(OR(A4907="",B4907=""),"",B4907-WEEKDAY(B4907,2)+1)</f>
        <v/>
      </c>
      <c r="J4907" s="5">
        <f>IF(I4907="","",I4907+6)</f>
        <v/>
      </c>
      <c r="K4907" s="6">
        <f>IF(OR(A4907="",B4907=""),"",DATE(YEAR(B4907),MONTH(B4907),1))</f>
        <v/>
      </c>
      <c r="L4907" s="7">
        <f>IF(COUNTA(A4907,B4907)=0,"",IF(OR(A4907="",B4907=""),"Preencher CPF e entrada",IF(COUNTIFS($A$12:$A$5011,A4907,$B$12:$B$5011,B4907)&gt;1,"CPF + dia duplicado",IF(OR(AND(E4907&lt;&gt;"",E4907&lt;B4907),AND(F4907&lt;&gt;"",F4907&lt;B4907)),"Evento anterior à entrada",IF(AND(F4907&lt;&gt;"",E4907=""),"Conversa sem agendamento",IF(OR(E4907&gt;TODAY(),F4907&gt;TODAY()),"Verificar evento futuro","OK"))))))</f>
        <v/>
      </c>
    </row>
    <row r="4908" spans="9:12">
      <c r="I4908" s="5">
        <f>IF(OR(A4908="",B4908=""),"",B4908-WEEKDAY(B4908,2)+1)</f>
        <v/>
      </c>
      <c r="J4908" s="5">
        <f>IF(I4908="","",I4908+6)</f>
        <v/>
      </c>
      <c r="K4908" s="6">
        <f>IF(OR(A4908="",B4908=""),"",DATE(YEAR(B4908),MONTH(B4908),1))</f>
        <v/>
      </c>
      <c r="L4908" s="7">
        <f>IF(COUNTA(A4908,B4908)=0,"",IF(OR(A4908="",B4908=""),"Preencher CPF e entrada",IF(COUNTIFS($A$12:$A$5011,A4908,$B$12:$B$5011,B4908)&gt;1,"CPF + dia duplicado",IF(OR(AND(E4908&lt;&gt;"",E4908&lt;B4908),AND(F4908&lt;&gt;"",F4908&lt;B4908)),"Evento anterior à entrada",IF(AND(F4908&lt;&gt;"",E4908=""),"Conversa sem agendamento",IF(OR(E4908&gt;TODAY(),F4908&gt;TODAY()),"Verificar evento futuro","OK"))))))</f>
        <v/>
      </c>
    </row>
    <row r="4909" spans="9:12">
      <c r="I4909" s="5">
        <f>IF(OR(A4909="",B4909=""),"",B4909-WEEKDAY(B4909,2)+1)</f>
        <v/>
      </c>
      <c r="J4909" s="5">
        <f>IF(I4909="","",I4909+6)</f>
        <v/>
      </c>
      <c r="K4909" s="6">
        <f>IF(OR(A4909="",B4909=""),"",DATE(YEAR(B4909),MONTH(B4909),1))</f>
        <v/>
      </c>
      <c r="L4909" s="7">
        <f>IF(COUNTA(A4909,B4909)=0,"",IF(OR(A4909="",B4909=""),"Preencher CPF e entrada",IF(COUNTIFS($A$12:$A$5011,A4909,$B$12:$B$5011,B4909)&gt;1,"CPF + dia duplicado",IF(OR(AND(E4909&lt;&gt;"",E4909&lt;B4909),AND(F4909&lt;&gt;"",F4909&lt;B4909)),"Evento anterior à entrada",IF(AND(F4909&lt;&gt;"",E4909=""),"Conversa sem agendamento",IF(OR(E4909&gt;TODAY(),F4909&gt;TODAY()),"Verificar evento futuro","OK"))))))</f>
        <v/>
      </c>
    </row>
    <row r="4910" spans="9:12">
      <c r="I4910" s="5">
        <f>IF(OR(A4910="",B4910=""),"",B4910-WEEKDAY(B4910,2)+1)</f>
        <v/>
      </c>
      <c r="J4910" s="5">
        <f>IF(I4910="","",I4910+6)</f>
        <v/>
      </c>
      <c r="K4910" s="6">
        <f>IF(OR(A4910="",B4910=""),"",DATE(YEAR(B4910),MONTH(B4910),1))</f>
        <v/>
      </c>
      <c r="L4910" s="7">
        <f>IF(COUNTA(A4910,B4910)=0,"",IF(OR(A4910="",B4910=""),"Preencher CPF e entrada",IF(COUNTIFS($A$12:$A$5011,A4910,$B$12:$B$5011,B4910)&gt;1,"CPF + dia duplicado",IF(OR(AND(E4910&lt;&gt;"",E4910&lt;B4910),AND(F4910&lt;&gt;"",F4910&lt;B4910)),"Evento anterior à entrada",IF(AND(F4910&lt;&gt;"",E4910=""),"Conversa sem agendamento",IF(OR(E4910&gt;TODAY(),F4910&gt;TODAY()),"Verificar evento futuro","OK"))))))</f>
        <v/>
      </c>
    </row>
    <row r="4911" spans="9:12">
      <c r="I4911" s="5">
        <f>IF(OR(A4911="",B4911=""),"",B4911-WEEKDAY(B4911,2)+1)</f>
        <v/>
      </c>
      <c r="J4911" s="5">
        <f>IF(I4911="","",I4911+6)</f>
        <v/>
      </c>
      <c r="K4911" s="6">
        <f>IF(OR(A4911="",B4911=""),"",DATE(YEAR(B4911),MONTH(B4911),1))</f>
        <v/>
      </c>
      <c r="L4911" s="7">
        <f>IF(COUNTA(A4911,B4911)=0,"",IF(OR(A4911="",B4911=""),"Preencher CPF e entrada",IF(COUNTIFS($A$12:$A$5011,A4911,$B$12:$B$5011,B4911)&gt;1,"CPF + dia duplicado",IF(OR(AND(E4911&lt;&gt;"",E4911&lt;B4911),AND(F4911&lt;&gt;"",F4911&lt;B4911)),"Evento anterior à entrada",IF(AND(F4911&lt;&gt;"",E4911=""),"Conversa sem agendamento",IF(OR(E4911&gt;TODAY(),F4911&gt;TODAY()),"Verificar evento futuro","OK"))))))</f>
        <v/>
      </c>
    </row>
    <row r="4912" spans="9:12">
      <c r="I4912" s="5">
        <f>IF(OR(A4912="",B4912=""),"",B4912-WEEKDAY(B4912,2)+1)</f>
        <v/>
      </c>
      <c r="J4912" s="5">
        <f>IF(I4912="","",I4912+6)</f>
        <v/>
      </c>
      <c r="K4912" s="6">
        <f>IF(OR(A4912="",B4912=""),"",DATE(YEAR(B4912),MONTH(B4912),1))</f>
        <v/>
      </c>
      <c r="L4912" s="7">
        <f>IF(COUNTA(A4912,B4912)=0,"",IF(OR(A4912="",B4912=""),"Preencher CPF e entrada",IF(COUNTIFS($A$12:$A$5011,A4912,$B$12:$B$5011,B4912)&gt;1,"CPF + dia duplicado",IF(OR(AND(E4912&lt;&gt;"",E4912&lt;B4912),AND(F4912&lt;&gt;"",F4912&lt;B4912)),"Evento anterior à entrada",IF(AND(F4912&lt;&gt;"",E4912=""),"Conversa sem agendamento",IF(OR(E4912&gt;TODAY(),F4912&gt;TODAY()),"Verificar evento futuro","OK"))))))</f>
        <v/>
      </c>
    </row>
    <row r="4913" spans="9:12">
      <c r="I4913" s="5">
        <f>IF(OR(A4913="",B4913=""),"",B4913-WEEKDAY(B4913,2)+1)</f>
        <v/>
      </c>
      <c r="J4913" s="5">
        <f>IF(I4913="","",I4913+6)</f>
        <v/>
      </c>
      <c r="K4913" s="6">
        <f>IF(OR(A4913="",B4913=""),"",DATE(YEAR(B4913),MONTH(B4913),1))</f>
        <v/>
      </c>
      <c r="L4913" s="7">
        <f>IF(COUNTA(A4913,B4913)=0,"",IF(OR(A4913="",B4913=""),"Preencher CPF e entrada",IF(COUNTIFS($A$12:$A$5011,A4913,$B$12:$B$5011,B4913)&gt;1,"CPF + dia duplicado",IF(OR(AND(E4913&lt;&gt;"",E4913&lt;B4913),AND(F4913&lt;&gt;"",F4913&lt;B4913)),"Evento anterior à entrada",IF(AND(F4913&lt;&gt;"",E4913=""),"Conversa sem agendamento",IF(OR(E4913&gt;TODAY(),F4913&gt;TODAY()),"Verificar evento futuro","OK"))))))</f>
        <v/>
      </c>
    </row>
    <row r="4914" spans="9:12">
      <c r="I4914" s="5">
        <f>IF(OR(A4914="",B4914=""),"",B4914-WEEKDAY(B4914,2)+1)</f>
        <v/>
      </c>
      <c r="J4914" s="5">
        <f>IF(I4914="","",I4914+6)</f>
        <v/>
      </c>
      <c r="K4914" s="6">
        <f>IF(OR(A4914="",B4914=""),"",DATE(YEAR(B4914),MONTH(B4914),1))</f>
        <v/>
      </c>
      <c r="L4914" s="7">
        <f>IF(COUNTA(A4914,B4914)=0,"",IF(OR(A4914="",B4914=""),"Preencher CPF e entrada",IF(COUNTIFS($A$12:$A$5011,A4914,$B$12:$B$5011,B4914)&gt;1,"CPF + dia duplicado",IF(OR(AND(E4914&lt;&gt;"",E4914&lt;B4914),AND(F4914&lt;&gt;"",F4914&lt;B4914)),"Evento anterior à entrada",IF(AND(F4914&lt;&gt;"",E4914=""),"Conversa sem agendamento",IF(OR(E4914&gt;TODAY(),F4914&gt;TODAY()),"Verificar evento futuro","OK"))))))</f>
        <v/>
      </c>
    </row>
    <row r="4915" spans="9:12">
      <c r="I4915" s="5">
        <f>IF(OR(A4915="",B4915=""),"",B4915-WEEKDAY(B4915,2)+1)</f>
        <v/>
      </c>
      <c r="J4915" s="5">
        <f>IF(I4915="","",I4915+6)</f>
        <v/>
      </c>
      <c r="K4915" s="6">
        <f>IF(OR(A4915="",B4915=""),"",DATE(YEAR(B4915),MONTH(B4915),1))</f>
        <v/>
      </c>
      <c r="L4915" s="7">
        <f>IF(COUNTA(A4915,B4915)=0,"",IF(OR(A4915="",B4915=""),"Preencher CPF e entrada",IF(COUNTIFS($A$12:$A$5011,A4915,$B$12:$B$5011,B4915)&gt;1,"CPF + dia duplicado",IF(OR(AND(E4915&lt;&gt;"",E4915&lt;B4915),AND(F4915&lt;&gt;"",F4915&lt;B4915)),"Evento anterior à entrada",IF(AND(F4915&lt;&gt;"",E4915=""),"Conversa sem agendamento",IF(OR(E4915&gt;TODAY(),F4915&gt;TODAY()),"Verificar evento futuro","OK"))))))</f>
        <v/>
      </c>
    </row>
    <row r="4916" spans="9:12">
      <c r="I4916" s="5">
        <f>IF(OR(A4916="",B4916=""),"",B4916-WEEKDAY(B4916,2)+1)</f>
        <v/>
      </c>
      <c r="J4916" s="5">
        <f>IF(I4916="","",I4916+6)</f>
        <v/>
      </c>
      <c r="K4916" s="6">
        <f>IF(OR(A4916="",B4916=""),"",DATE(YEAR(B4916),MONTH(B4916),1))</f>
        <v/>
      </c>
      <c r="L4916" s="7">
        <f>IF(COUNTA(A4916,B4916)=0,"",IF(OR(A4916="",B4916=""),"Preencher CPF e entrada",IF(COUNTIFS($A$12:$A$5011,A4916,$B$12:$B$5011,B4916)&gt;1,"CPF + dia duplicado",IF(OR(AND(E4916&lt;&gt;"",E4916&lt;B4916),AND(F4916&lt;&gt;"",F4916&lt;B4916)),"Evento anterior à entrada",IF(AND(F4916&lt;&gt;"",E4916=""),"Conversa sem agendamento",IF(OR(E4916&gt;TODAY(),F4916&gt;TODAY()),"Verificar evento futuro","OK"))))))</f>
        <v/>
      </c>
    </row>
    <row r="4917" spans="9:12">
      <c r="I4917" s="5">
        <f>IF(OR(A4917="",B4917=""),"",B4917-WEEKDAY(B4917,2)+1)</f>
        <v/>
      </c>
      <c r="J4917" s="5">
        <f>IF(I4917="","",I4917+6)</f>
        <v/>
      </c>
      <c r="K4917" s="6">
        <f>IF(OR(A4917="",B4917=""),"",DATE(YEAR(B4917),MONTH(B4917),1))</f>
        <v/>
      </c>
      <c r="L4917" s="7">
        <f>IF(COUNTA(A4917,B4917)=0,"",IF(OR(A4917="",B4917=""),"Preencher CPF e entrada",IF(COUNTIFS($A$12:$A$5011,A4917,$B$12:$B$5011,B4917)&gt;1,"CPF + dia duplicado",IF(OR(AND(E4917&lt;&gt;"",E4917&lt;B4917),AND(F4917&lt;&gt;"",F4917&lt;B4917)),"Evento anterior à entrada",IF(AND(F4917&lt;&gt;"",E4917=""),"Conversa sem agendamento",IF(OR(E4917&gt;TODAY(),F4917&gt;TODAY()),"Verificar evento futuro","OK"))))))</f>
        <v/>
      </c>
    </row>
    <row r="4918" spans="9:12">
      <c r="I4918" s="5">
        <f>IF(OR(A4918="",B4918=""),"",B4918-WEEKDAY(B4918,2)+1)</f>
        <v/>
      </c>
      <c r="J4918" s="5">
        <f>IF(I4918="","",I4918+6)</f>
        <v/>
      </c>
      <c r="K4918" s="6">
        <f>IF(OR(A4918="",B4918=""),"",DATE(YEAR(B4918),MONTH(B4918),1))</f>
        <v/>
      </c>
      <c r="L4918" s="7">
        <f>IF(COUNTA(A4918,B4918)=0,"",IF(OR(A4918="",B4918=""),"Preencher CPF e entrada",IF(COUNTIFS($A$12:$A$5011,A4918,$B$12:$B$5011,B4918)&gt;1,"CPF + dia duplicado",IF(OR(AND(E4918&lt;&gt;"",E4918&lt;B4918),AND(F4918&lt;&gt;"",F4918&lt;B4918)),"Evento anterior à entrada",IF(AND(F4918&lt;&gt;"",E4918=""),"Conversa sem agendamento",IF(OR(E4918&gt;TODAY(),F4918&gt;TODAY()),"Verificar evento futuro","OK"))))))</f>
        <v/>
      </c>
    </row>
    <row r="4919" spans="9:12">
      <c r="I4919" s="5">
        <f>IF(OR(A4919="",B4919=""),"",B4919-WEEKDAY(B4919,2)+1)</f>
        <v/>
      </c>
      <c r="J4919" s="5">
        <f>IF(I4919="","",I4919+6)</f>
        <v/>
      </c>
      <c r="K4919" s="6">
        <f>IF(OR(A4919="",B4919=""),"",DATE(YEAR(B4919),MONTH(B4919),1))</f>
        <v/>
      </c>
      <c r="L4919" s="7">
        <f>IF(COUNTA(A4919,B4919)=0,"",IF(OR(A4919="",B4919=""),"Preencher CPF e entrada",IF(COUNTIFS($A$12:$A$5011,A4919,$B$12:$B$5011,B4919)&gt;1,"CPF + dia duplicado",IF(OR(AND(E4919&lt;&gt;"",E4919&lt;B4919),AND(F4919&lt;&gt;"",F4919&lt;B4919)),"Evento anterior à entrada",IF(AND(F4919&lt;&gt;"",E4919=""),"Conversa sem agendamento",IF(OR(E4919&gt;TODAY(),F4919&gt;TODAY()),"Verificar evento futuro","OK"))))))</f>
        <v/>
      </c>
    </row>
    <row r="4920" spans="9:12">
      <c r="I4920" s="5">
        <f>IF(OR(A4920="",B4920=""),"",B4920-WEEKDAY(B4920,2)+1)</f>
        <v/>
      </c>
      <c r="J4920" s="5">
        <f>IF(I4920="","",I4920+6)</f>
        <v/>
      </c>
      <c r="K4920" s="6">
        <f>IF(OR(A4920="",B4920=""),"",DATE(YEAR(B4920),MONTH(B4920),1))</f>
        <v/>
      </c>
      <c r="L4920" s="7">
        <f>IF(COUNTA(A4920,B4920)=0,"",IF(OR(A4920="",B4920=""),"Preencher CPF e entrada",IF(COUNTIFS($A$12:$A$5011,A4920,$B$12:$B$5011,B4920)&gt;1,"CPF + dia duplicado",IF(OR(AND(E4920&lt;&gt;"",E4920&lt;B4920),AND(F4920&lt;&gt;"",F4920&lt;B4920)),"Evento anterior à entrada",IF(AND(F4920&lt;&gt;"",E4920=""),"Conversa sem agendamento",IF(OR(E4920&gt;TODAY(),F4920&gt;TODAY()),"Verificar evento futuro","OK"))))))</f>
        <v/>
      </c>
    </row>
    <row r="4921" spans="9:12">
      <c r="I4921" s="5">
        <f>IF(OR(A4921="",B4921=""),"",B4921-WEEKDAY(B4921,2)+1)</f>
        <v/>
      </c>
      <c r="J4921" s="5">
        <f>IF(I4921="","",I4921+6)</f>
        <v/>
      </c>
      <c r="K4921" s="6">
        <f>IF(OR(A4921="",B4921=""),"",DATE(YEAR(B4921),MONTH(B4921),1))</f>
        <v/>
      </c>
      <c r="L4921" s="7">
        <f>IF(COUNTA(A4921,B4921)=0,"",IF(OR(A4921="",B4921=""),"Preencher CPF e entrada",IF(COUNTIFS($A$12:$A$5011,A4921,$B$12:$B$5011,B4921)&gt;1,"CPF + dia duplicado",IF(OR(AND(E4921&lt;&gt;"",E4921&lt;B4921),AND(F4921&lt;&gt;"",F4921&lt;B4921)),"Evento anterior à entrada",IF(AND(F4921&lt;&gt;"",E4921=""),"Conversa sem agendamento",IF(OR(E4921&gt;TODAY(),F4921&gt;TODAY()),"Verificar evento futuro","OK"))))))</f>
        <v/>
      </c>
    </row>
    <row r="4922" spans="9:12">
      <c r="I4922" s="5">
        <f>IF(OR(A4922="",B4922=""),"",B4922-WEEKDAY(B4922,2)+1)</f>
        <v/>
      </c>
      <c r="J4922" s="5">
        <f>IF(I4922="","",I4922+6)</f>
        <v/>
      </c>
      <c r="K4922" s="6">
        <f>IF(OR(A4922="",B4922=""),"",DATE(YEAR(B4922),MONTH(B4922),1))</f>
        <v/>
      </c>
      <c r="L4922" s="7">
        <f>IF(COUNTA(A4922,B4922)=0,"",IF(OR(A4922="",B4922=""),"Preencher CPF e entrada",IF(COUNTIFS($A$12:$A$5011,A4922,$B$12:$B$5011,B4922)&gt;1,"CPF + dia duplicado",IF(OR(AND(E4922&lt;&gt;"",E4922&lt;B4922),AND(F4922&lt;&gt;"",F4922&lt;B4922)),"Evento anterior à entrada",IF(AND(F4922&lt;&gt;"",E4922=""),"Conversa sem agendamento",IF(OR(E4922&gt;TODAY(),F4922&gt;TODAY()),"Verificar evento futuro","OK"))))))</f>
        <v/>
      </c>
    </row>
    <row r="4923" spans="9:12">
      <c r="I4923" s="5">
        <f>IF(OR(A4923="",B4923=""),"",B4923-WEEKDAY(B4923,2)+1)</f>
        <v/>
      </c>
      <c r="J4923" s="5">
        <f>IF(I4923="","",I4923+6)</f>
        <v/>
      </c>
      <c r="K4923" s="6">
        <f>IF(OR(A4923="",B4923=""),"",DATE(YEAR(B4923),MONTH(B4923),1))</f>
        <v/>
      </c>
      <c r="L4923" s="7">
        <f>IF(COUNTA(A4923,B4923)=0,"",IF(OR(A4923="",B4923=""),"Preencher CPF e entrada",IF(COUNTIFS($A$12:$A$5011,A4923,$B$12:$B$5011,B4923)&gt;1,"CPF + dia duplicado",IF(OR(AND(E4923&lt;&gt;"",E4923&lt;B4923),AND(F4923&lt;&gt;"",F4923&lt;B4923)),"Evento anterior à entrada",IF(AND(F4923&lt;&gt;"",E4923=""),"Conversa sem agendamento",IF(OR(E4923&gt;TODAY(),F4923&gt;TODAY()),"Verificar evento futuro","OK"))))))</f>
        <v/>
      </c>
    </row>
    <row r="4924" spans="9:12">
      <c r="I4924" s="5">
        <f>IF(OR(A4924="",B4924=""),"",B4924-WEEKDAY(B4924,2)+1)</f>
        <v/>
      </c>
      <c r="J4924" s="5">
        <f>IF(I4924="","",I4924+6)</f>
        <v/>
      </c>
      <c r="K4924" s="6">
        <f>IF(OR(A4924="",B4924=""),"",DATE(YEAR(B4924),MONTH(B4924),1))</f>
        <v/>
      </c>
      <c r="L4924" s="7">
        <f>IF(COUNTA(A4924,B4924)=0,"",IF(OR(A4924="",B4924=""),"Preencher CPF e entrada",IF(COUNTIFS($A$12:$A$5011,A4924,$B$12:$B$5011,B4924)&gt;1,"CPF + dia duplicado",IF(OR(AND(E4924&lt;&gt;"",E4924&lt;B4924),AND(F4924&lt;&gt;"",F4924&lt;B4924)),"Evento anterior à entrada",IF(AND(F4924&lt;&gt;"",E4924=""),"Conversa sem agendamento",IF(OR(E4924&gt;TODAY(),F4924&gt;TODAY()),"Verificar evento futuro","OK"))))))</f>
        <v/>
      </c>
    </row>
    <row r="4925" spans="9:12">
      <c r="I4925" s="5">
        <f>IF(OR(A4925="",B4925=""),"",B4925-WEEKDAY(B4925,2)+1)</f>
        <v/>
      </c>
      <c r="J4925" s="5">
        <f>IF(I4925="","",I4925+6)</f>
        <v/>
      </c>
      <c r="K4925" s="6">
        <f>IF(OR(A4925="",B4925=""),"",DATE(YEAR(B4925),MONTH(B4925),1))</f>
        <v/>
      </c>
      <c r="L4925" s="7">
        <f>IF(COUNTA(A4925,B4925)=0,"",IF(OR(A4925="",B4925=""),"Preencher CPF e entrada",IF(COUNTIFS($A$12:$A$5011,A4925,$B$12:$B$5011,B4925)&gt;1,"CPF + dia duplicado",IF(OR(AND(E4925&lt;&gt;"",E4925&lt;B4925),AND(F4925&lt;&gt;"",F4925&lt;B4925)),"Evento anterior à entrada",IF(AND(F4925&lt;&gt;"",E4925=""),"Conversa sem agendamento",IF(OR(E4925&gt;TODAY(),F4925&gt;TODAY()),"Verificar evento futuro","OK"))))))</f>
        <v/>
      </c>
    </row>
    <row r="4926" spans="9:12">
      <c r="I4926" s="5">
        <f>IF(OR(A4926="",B4926=""),"",B4926-WEEKDAY(B4926,2)+1)</f>
        <v/>
      </c>
      <c r="J4926" s="5">
        <f>IF(I4926="","",I4926+6)</f>
        <v/>
      </c>
      <c r="K4926" s="6">
        <f>IF(OR(A4926="",B4926=""),"",DATE(YEAR(B4926),MONTH(B4926),1))</f>
        <v/>
      </c>
      <c r="L4926" s="7">
        <f>IF(COUNTA(A4926,B4926)=0,"",IF(OR(A4926="",B4926=""),"Preencher CPF e entrada",IF(COUNTIFS($A$12:$A$5011,A4926,$B$12:$B$5011,B4926)&gt;1,"CPF + dia duplicado",IF(OR(AND(E4926&lt;&gt;"",E4926&lt;B4926),AND(F4926&lt;&gt;"",F4926&lt;B4926)),"Evento anterior à entrada",IF(AND(F4926&lt;&gt;"",E4926=""),"Conversa sem agendamento",IF(OR(E4926&gt;TODAY(),F4926&gt;TODAY()),"Verificar evento futuro","OK"))))))</f>
        <v/>
      </c>
    </row>
    <row r="4927" spans="9:12">
      <c r="I4927" s="5">
        <f>IF(OR(A4927="",B4927=""),"",B4927-WEEKDAY(B4927,2)+1)</f>
        <v/>
      </c>
      <c r="J4927" s="5">
        <f>IF(I4927="","",I4927+6)</f>
        <v/>
      </c>
      <c r="K4927" s="6">
        <f>IF(OR(A4927="",B4927=""),"",DATE(YEAR(B4927),MONTH(B4927),1))</f>
        <v/>
      </c>
      <c r="L4927" s="7">
        <f>IF(COUNTA(A4927,B4927)=0,"",IF(OR(A4927="",B4927=""),"Preencher CPF e entrada",IF(COUNTIFS($A$12:$A$5011,A4927,$B$12:$B$5011,B4927)&gt;1,"CPF + dia duplicado",IF(OR(AND(E4927&lt;&gt;"",E4927&lt;B4927),AND(F4927&lt;&gt;"",F4927&lt;B4927)),"Evento anterior à entrada",IF(AND(F4927&lt;&gt;"",E4927=""),"Conversa sem agendamento",IF(OR(E4927&gt;TODAY(),F4927&gt;TODAY()),"Verificar evento futuro","OK"))))))</f>
        <v/>
      </c>
    </row>
    <row r="4928" spans="9:12">
      <c r="I4928" s="5">
        <f>IF(OR(A4928="",B4928=""),"",B4928-WEEKDAY(B4928,2)+1)</f>
        <v/>
      </c>
      <c r="J4928" s="5">
        <f>IF(I4928="","",I4928+6)</f>
        <v/>
      </c>
      <c r="K4928" s="6">
        <f>IF(OR(A4928="",B4928=""),"",DATE(YEAR(B4928),MONTH(B4928),1))</f>
        <v/>
      </c>
      <c r="L4928" s="7">
        <f>IF(COUNTA(A4928,B4928)=0,"",IF(OR(A4928="",B4928=""),"Preencher CPF e entrada",IF(COUNTIFS($A$12:$A$5011,A4928,$B$12:$B$5011,B4928)&gt;1,"CPF + dia duplicado",IF(OR(AND(E4928&lt;&gt;"",E4928&lt;B4928),AND(F4928&lt;&gt;"",F4928&lt;B4928)),"Evento anterior à entrada",IF(AND(F4928&lt;&gt;"",E4928=""),"Conversa sem agendamento",IF(OR(E4928&gt;TODAY(),F4928&gt;TODAY()),"Verificar evento futuro","OK"))))))</f>
        <v/>
      </c>
    </row>
    <row r="4929" spans="9:12">
      <c r="I4929" s="5">
        <f>IF(OR(A4929="",B4929=""),"",B4929-WEEKDAY(B4929,2)+1)</f>
        <v/>
      </c>
      <c r="J4929" s="5">
        <f>IF(I4929="","",I4929+6)</f>
        <v/>
      </c>
      <c r="K4929" s="6">
        <f>IF(OR(A4929="",B4929=""),"",DATE(YEAR(B4929),MONTH(B4929),1))</f>
        <v/>
      </c>
      <c r="L4929" s="7">
        <f>IF(COUNTA(A4929,B4929)=0,"",IF(OR(A4929="",B4929=""),"Preencher CPF e entrada",IF(COUNTIFS($A$12:$A$5011,A4929,$B$12:$B$5011,B4929)&gt;1,"CPF + dia duplicado",IF(OR(AND(E4929&lt;&gt;"",E4929&lt;B4929),AND(F4929&lt;&gt;"",F4929&lt;B4929)),"Evento anterior à entrada",IF(AND(F4929&lt;&gt;"",E4929=""),"Conversa sem agendamento",IF(OR(E4929&gt;TODAY(),F4929&gt;TODAY()),"Verificar evento futuro","OK"))))))</f>
        <v/>
      </c>
    </row>
    <row r="4930" spans="9:12">
      <c r="I4930" s="5">
        <f>IF(OR(A4930="",B4930=""),"",B4930-WEEKDAY(B4930,2)+1)</f>
        <v/>
      </c>
      <c r="J4930" s="5">
        <f>IF(I4930="","",I4930+6)</f>
        <v/>
      </c>
      <c r="K4930" s="6">
        <f>IF(OR(A4930="",B4930=""),"",DATE(YEAR(B4930),MONTH(B4930),1))</f>
        <v/>
      </c>
      <c r="L4930" s="7">
        <f>IF(COUNTA(A4930,B4930)=0,"",IF(OR(A4930="",B4930=""),"Preencher CPF e entrada",IF(COUNTIFS($A$12:$A$5011,A4930,$B$12:$B$5011,B4930)&gt;1,"CPF + dia duplicado",IF(OR(AND(E4930&lt;&gt;"",E4930&lt;B4930),AND(F4930&lt;&gt;"",F4930&lt;B4930)),"Evento anterior à entrada",IF(AND(F4930&lt;&gt;"",E4930=""),"Conversa sem agendamento",IF(OR(E4930&gt;TODAY(),F4930&gt;TODAY()),"Verificar evento futuro","OK"))))))</f>
        <v/>
      </c>
    </row>
    <row r="4931" spans="9:12">
      <c r="I4931" s="5">
        <f>IF(OR(A4931="",B4931=""),"",B4931-WEEKDAY(B4931,2)+1)</f>
        <v/>
      </c>
      <c r="J4931" s="5">
        <f>IF(I4931="","",I4931+6)</f>
        <v/>
      </c>
      <c r="K4931" s="6">
        <f>IF(OR(A4931="",B4931=""),"",DATE(YEAR(B4931),MONTH(B4931),1))</f>
        <v/>
      </c>
      <c r="L4931" s="7">
        <f>IF(COUNTA(A4931,B4931)=0,"",IF(OR(A4931="",B4931=""),"Preencher CPF e entrada",IF(COUNTIFS($A$12:$A$5011,A4931,$B$12:$B$5011,B4931)&gt;1,"CPF + dia duplicado",IF(OR(AND(E4931&lt;&gt;"",E4931&lt;B4931),AND(F4931&lt;&gt;"",F4931&lt;B4931)),"Evento anterior à entrada",IF(AND(F4931&lt;&gt;"",E4931=""),"Conversa sem agendamento",IF(OR(E4931&gt;TODAY(),F4931&gt;TODAY()),"Verificar evento futuro","OK"))))))</f>
        <v/>
      </c>
    </row>
    <row r="4932" spans="9:12">
      <c r="I4932" s="5">
        <f>IF(OR(A4932="",B4932=""),"",B4932-WEEKDAY(B4932,2)+1)</f>
        <v/>
      </c>
      <c r="J4932" s="5">
        <f>IF(I4932="","",I4932+6)</f>
        <v/>
      </c>
      <c r="K4932" s="6">
        <f>IF(OR(A4932="",B4932=""),"",DATE(YEAR(B4932),MONTH(B4932),1))</f>
        <v/>
      </c>
      <c r="L4932" s="7">
        <f>IF(COUNTA(A4932,B4932)=0,"",IF(OR(A4932="",B4932=""),"Preencher CPF e entrada",IF(COUNTIFS($A$12:$A$5011,A4932,$B$12:$B$5011,B4932)&gt;1,"CPF + dia duplicado",IF(OR(AND(E4932&lt;&gt;"",E4932&lt;B4932),AND(F4932&lt;&gt;"",F4932&lt;B4932)),"Evento anterior à entrada",IF(AND(F4932&lt;&gt;"",E4932=""),"Conversa sem agendamento",IF(OR(E4932&gt;TODAY(),F4932&gt;TODAY()),"Verificar evento futuro","OK"))))))</f>
        <v/>
      </c>
    </row>
    <row r="4933" spans="9:12">
      <c r="I4933" s="5">
        <f>IF(OR(A4933="",B4933=""),"",B4933-WEEKDAY(B4933,2)+1)</f>
        <v/>
      </c>
      <c r="J4933" s="5">
        <f>IF(I4933="","",I4933+6)</f>
        <v/>
      </c>
      <c r="K4933" s="6">
        <f>IF(OR(A4933="",B4933=""),"",DATE(YEAR(B4933),MONTH(B4933),1))</f>
        <v/>
      </c>
      <c r="L4933" s="7">
        <f>IF(COUNTA(A4933,B4933)=0,"",IF(OR(A4933="",B4933=""),"Preencher CPF e entrada",IF(COUNTIFS($A$12:$A$5011,A4933,$B$12:$B$5011,B4933)&gt;1,"CPF + dia duplicado",IF(OR(AND(E4933&lt;&gt;"",E4933&lt;B4933),AND(F4933&lt;&gt;"",F4933&lt;B4933)),"Evento anterior à entrada",IF(AND(F4933&lt;&gt;"",E4933=""),"Conversa sem agendamento",IF(OR(E4933&gt;TODAY(),F4933&gt;TODAY()),"Verificar evento futuro","OK"))))))</f>
        <v/>
      </c>
    </row>
    <row r="4934" spans="9:12">
      <c r="I4934" s="5">
        <f>IF(OR(A4934="",B4934=""),"",B4934-WEEKDAY(B4934,2)+1)</f>
        <v/>
      </c>
      <c r="J4934" s="5">
        <f>IF(I4934="","",I4934+6)</f>
        <v/>
      </c>
      <c r="K4934" s="6">
        <f>IF(OR(A4934="",B4934=""),"",DATE(YEAR(B4934),MONTH(B4934),1))</f>
        <v/>
      </c>
      <c r="L4934" s="7">
        <f>IF(COUNTA(A4934,B4934)=0,"",IF(OR(A4934="",B4934=""),"Preencher CPF e entrada",IF(COUNTIFS($A$12:$A$5011,A4934,$B$12:$B$5011,B4934)&gt;1,"CPF + dia duplicado",IF(OR(AND(E4934&lt;&gt;"",E4934&lt;B4934),AND(F4934&lt;&gt;"",F4934&lt;B4934)),"Evento anterior à entrada",IF(AND(F4934&lt;&gt;"",E4934=""),"Conversa sem agendamento",IF(OR(E4934&gt;TODAY(),F4934&gt;TODAY()),"Verificar evento futuro","OK"))))))</f>
        <v/>
      </c>
    </row>
    <row r="4935" spans="9:12">
      <c r="I4935" s="5">
        <f>IF(OR(A4935="",B4935=""),"",B4935-WEEKDAY(B4935,2)+1)</f>
        <v/>
      </c>
      <c r="J4935" s="5">
        <f>IF(I4935="","",I4935+6)</f>
        <v/>
      </c>
      <c r="K4935" s="6">
        <f>IF(OR(A4935="",B4935=""),"",DATE(YEAR(B4935),MONTH(B4935),1))</f>
        <v/>
      </c>
      <c r="L4935" s="7">
        <f>IF(COUNTA(A4935,B4935)=0,"",IF(OR(A4935="",B4935=""),"Preencher CPF e entrada",IF(COUNTIFS($A$12:$A$5011,A4935,$B$12:$B$5011,B4935)&gt;1,"CPF + dia duplicado",IF(OR(AND(E4935&lt;&gt;"",E4935&lt;B4935),AND(F4935&lt;&gt;"",F4935&lt;B4935)),"Evento anterior à entrada",IF(AND(F4935&lt;&gt;"",E4935=""),"Conversa sem agendamento",IF(OR(E4935&gt;TODAY(),F4935&gt;TODAY()),"Verificar evento futuro","OK"))))))</f>
        <v/>
      </c>
    </row>
    <row r="4936" spans="9:12">
      <c r="I4936" s="5">
        <f>IF(OR(A4936="",B4936=""),"",B4936-WEEKDAY(B4936,2)+1)</f>
        <v/>
      </c>
      <c r="J4936" s="5">
        <f>IF(I4936="","",I4936+6)</f>
        <v/>
      </c>
      <c r="K4936" s="6">
        <f>IF(OR(A4936="",B4936=""),"",DATE(YEAR(B4936),MONTH(B4936),1))</f>
        <v/>
      </c>
      <c r="L4936" s="7">
        <f>IF(COUNTA(A4936,B4936)=0,"",IF(OR(A4936="",B4936=""),"Preencher CPF e entrada",IF(COUNTIFS($A$12:$A$5011,A4936,$B$12:$B$5011,B4936)&gt;1,"CPF + dia duplicado",IF(OR(AND(E4936&lt;&gt;"",E4936&lt;B4936),AND(F4936&lt;&gt;"",F4936&lt;B4936)),"Evento anterior à entrada",IF(AND(F4936&lt;&gt;"",E4936=""),"Conversa sem agendamento",IF(OR(E4936&gt;TODAY(),F4936&gt;TODAY()),"Verificar evento futuro","OK"))))))</f>
        <v/>
      </c>
    </row>
    <row r="4937" spans="9:12">
      <c r="I4937" s="5">
        <f>IF(OR(A4937="",B4937=""),"",B4937-WEEKDAY(B4937,2)+1)</f>
        <v/>
      </c>
      <c r="J4937" s="5">
        <f>IF(I4937="","",I4937+6)</f>
        <v/>
      </c>
      <c r="K4937" s="6">
        <f>IF(OR(A4937="",B4937=""),"",DATE(YEAR(B4937),MONTH(B4937),1))</f>
        <v/>
      </c>
      <c r="L4937" s="7">
        <f>IF(COUNTA(A4937,B4937)=0,"",IF(OR(A4937="",B4937=""),"Preencher CPF e entrada",IF(COUNTIFS($A$12:$A$5011,A4937,$B$12:$B$5011,B4937)&gt;1,"CPF + dia duplicado",IF(OR(AND(E4937&lt;&gt;"",E4937&lt;B4937),AND(F4937&lt;&gt;"",F4937&lt;B4937)),"Evento anterior à entrada",IF(AND(F4937&lt;&gt;"",E4937=""),"Conversa sem agendamento",IF(OR(E4937&gt;TODAY(),F4937&gt;TODAY()),"Verificar evento futuro","OK"))))))</f>
        <v/>
      </c>
    </row>
    <row r="4938" spans="9:12">
      <c r="I4938" s="5">
        <f>IF(OR(A4938="",B4938=""),"",B4938-WEEKDAY(B4938,2)+1)</f>
        <v/>
      </c>
      <c r="J4938" s="5">
        <f>IF(I4938="","",I4938+6)</f>
        <v/>
      </c>
      <c r="K4938" s="6">
        <f>IF(OR(A4938="",B4938=""),"",DATE(YEAR(B4938),MONTH(B4938),1))</f>
        <v/>
      </c>
      <c r="L4938" s="7">
        <f>IF(COUNTA(A4938,B4938)=0,"",IF(OR(A4938="",B4938=""),"Preencher CPF e entrada",IF(COUNTIFS($A$12:$A$5011,A4938,$B$12:$B$5011,B4938)&gt;1,"CPF + dia duplicado",IF(OR(AND(E4938&lt;&gt;"",E4938&lt;B4938),AND(F4938&lt;&gt;"",F4938&lt;B4938)),"Evento anterior à entrada",IF(AND(F4938&lt;&gt;"",E4938=""),"Conversa sem agendamento",IF(OR(E4938&gt;TODAY(),F4938&gt;TODAY()),"Verificar evento futuro","OK"))))))</f>
        <v/>
      </c>
    </row>
    <row r="4939" spans="9:12">
      <c r="I4939" s="5">
        <f>IF(OR(A4939="",B4939=""),"",B4939-WEEKDAY(B4939,2)+1)</f>
        <v/>
      </c>
      <c r="J4939" s="5">
        <f>IF(I4939="","",I4939+6)</f>
        <v/>
      </c>
      <c r="K4939" s="6">
        <f>IF(OR(A4939="",B4939=""),"",DATE(YEAR(B4939),MONTH(B4939),1))</f>
        <v/>
      </c>
      <c r="L4939" s="7">
        <f>IF(COUNTA(A4939,B4939)=0,"",IF(OR(A4939="",B4939=""),"Preencher CPF e entrada",IF(COUNTIFS($A$12:$A$5011,A4939,$B$12:$B$5011,B4939)&gt;1,"CPF + dia duplicado",IF(OR(AND(E4939&lt;&gt;"",E4939&lt;B4939),AND(F4939&lt;&gt;"",F4939&lt;B4939)),"Evento anterior à entrada",IF(AND(F4939&lt;&gt;"",E4939=""),"Conversa sem agendamento",IF(OR(E4939&gt;TODAY(),F4939&gt;TODAY()),"Verificar evento futuro","OK"))))))</f>
        <v/>
      </c>
    </row>
    <row r="4940" spans="9:12">
      <c r="I4940" s="5">
        <f>IF(OR(A4940="",B4940=""),"",B4940-WEEKDAY(B4940,2)+1)</f>
        <v/>
      </c>
      <c r="J4940" s="5">
        <f>IF(I4940="","",I4940+6)</f>
        <v/>
      </c>
      <c r="K4940" s="6">
        <f>IF(OR(A4940="",B4940=""),"",DATE(YEAR(B4940),MONTH(B4940),1))</f>
        <v/>
      </c>
      <c r="L4940" s="7">
        <f>IF(COUNTA(A4940,B4940)=0,"",IF(OR(A4940="",B4940=""),"Preencher CPF e entrada",IF(COUNTIFS($A$12:$A$5011,A4940,$B$12:$B$5011,B4940)&gt;1,"CPF + dia duplicado",IF(OR(AND(E4940&lt;&gt;"",E4940&lt;B4940),AND(F4940&lt;&gt;"",F4940&lt;B4940)),"Evento anterior à entrada",IF(AND(F4940&lt;&gt;"",E4940=""),"Conversa sem agendamento",IF(OR(E4940&gt;TODAY(),F4940&gt;TODAY()),"Verificar evento futuro","OK"))))))</f>
        <v/>
      </c>
    </row>
    <row r="4941" spans="9:12">
      <c r="I4941" s="5">
        <f>IF(OR(A4941="",B4941=""),"",B4941-WEEKDAY(B4941,2)+1)</f>
        <v/>
      </c>
      <c r="J4941" s="5">
        <f>IF(I4941="","",I4941+6)</f>
        <v/>
      </c>
      <c r="K4941" s="6">
        <f>IF(OR(A4941="",B4941=""),"",DATE(YEAR(B4941),MONTH(B4941),1))</f>
        <v/>
      </c>
      <c r="L4941" s="7">
        <f>IF(COUNTA(A4941,B4941)=0,"",IF(OR(A4941="",B4941=""),"Preencher CPF e entrada",IF(COUNTIFS($A$12:$A$5011,A4941,$B$12:$B$5011,B4941)&gt;1,"CPF + dia duplicado",IF(OR(AND(E4941&lt;&gt;"",E4941&lt;B4941),AND(F4941&lt;&gt;"",F4941&lt;B4941)),"Evento anterior à entrada",IF(AND(F4941&lt;&gt;"",E4941=""),"Conversa sem agendamento",IF(OR(E4941&gt;TODAY(),F4941&gt;TODAY()),"Verificar evento futuro","OK"))))))</f>
        <v/>
      </c>
    </row>
    <row r="4942" spans="9:12">
      <c r="I4942" s="5">
        <f>IF(OR(A4942="",B4942=""),"",B4942-WEEKDAY(B4942,2)+1)</f>
        <v/>
      </c>
      <c r="J4942" s="5">
        <f>IF(I4942="","",I4942+6)</f>
        <v/>
      </c>
      <c r="K4942" s="6">
        <f>IF(OR(A4942="",B4942=""),"",DATE(YEAR(B4942),MONTH(B4942),1))</f>
        <v/>
      </c>
      <c r="L4942" s="7">
        <f>IF(COUNTA(A4942,B4942)=0,"",IF(OR(A4942="",B4942=""),"Preencher CPF e entrada",IF(COUNTIFS($A$12:$A$5011,A4942,$B$12:$B$5011,B4942)&gt;1,"CPF + dia duplicado",IF(OR(AND(E4942&lt;&gt;"",E4942&lt;B4942),AND(F4942&lt;&gt;"",F4942&lt;B4942)),"Evento anterior à entrada",IF(AND(F4942&lt;&gt;"",E4942=""),"Conversa sem agendamento",IF(OR(E4942&gt;TODAY(),F4942&gt;TODAY()),"Verificar evento futuro","OK"))))))</f>
        <v/>
      </c>
    </row>
    <row r="4943" spans="9:12">
      <c r="I4943" s="5">
        <f>IF(OR(A4943="",B4943=""),"",B4943-WEEKDAY(B4943,2)+1)</f>
        <v/>
      </c>
      <c r="J4943" s="5">
        <f>IF(I4943="","",I4943+6)</f>
        <v/>
      </c>
      <c r="K4943" s="6">
        <f>IF(OR(A4943="",B4943=""),"",DATE(YEAR(B4943),MONTH(B4943),1))</f>
        <v/>
      </c>
      <c r="L4943" s="7">
        <f>IF(COUNTA(A4943,B4943)=0,"",IF(OR(A4943="",B4943=""),"Preencher CPF e entrada",IF(COUNTIFS($A$12:$A$5011,A4943,$B$12:$B$5011,B4943)&gt;1,"CPF + dia duplicado",IF(OR(AND(E4943&lt;&gt;"",E4943&lt;B4943),AND(F4943&lt;&gt;"",F4943&lt;B4943)),"Evento anterior à entrada",IF(AND(F4943&lt;&gt;"",E4943=""),"Conversa sem agendamento",IF(OR(E4943&gt;TODAY(),F4943&gt;TODAY()),"Verificar evento futuro","OK"))))))</f>
        <v/>
      </c>
    </row>
    <row r="4944" spans="9:12">
      <c r="I4944" s="5">
        <f>IF(OR(A4944="",B4944=""),"",B4944-WEEKDAY(B4944,2)+1)</f>
        <v/>
      </c>
      <c r="J4944" s="5">
        <f>IF(I4944="","",I4944+6)</f>
        <v/>
      </c>
      <c r="K4944" s="6">
        <f>IF(OR(A4944="",B4944=""),"",DATE(YEAR(B4944),MONTH(B4944),1))</f>
        <v/>
      </c>
      <c r="L4944" s="7">
        <f>IF(COUNTA(A4944,B4944)=0,"",IF(OR(A4944="",B4944=""),"Preencher CPF e entrada",IF(COUNTIFS($A$12:$A$5011,A4944,$B$12:$B$5011,B4944)&gt;1,"CPF + dia duplicado",IF(OR(AND(E4944&lt;&gt;"",E4944&lt;B4944),AND(F4944&lt;&gt;"",F4944&lt;B4944)),"Evento anterior à entrada",IF(AND(F4944&lt;&gt;"",E4944=""),"Conversa sem agendamento",IF(OR(E4944&gt;TODAY(),F4944&gt;TODAY()),"Verificar evento futuro","OK"))))))</f>
        <v/>
      </c>
    </row>
    <row r="4945" spans="9:12">
      <c r="I4945" s="5">
        <f>IF(OR(A4945="",B4945=""),"",B4945-WEEKDAY(B4945,2)+1)</f>
        <v/>
      </c>
      <c r="J4945" s="5">
        <f>IF(I4945="","",I4945+6)</f>
        <v/>
      </c>
      <c r="K4945" s="6">
        <f>IF(OR(A4945="",B4945=""),"",DATE(YEAR(B4945),MONTH(B4945),1))</f>
        <v/>
      </c>
      <c r="L4945" s="7">
        <f>IF(COUNTA(A4945,B4945)=0,"",IF(OR(A4945="",B4945=""),"Preencher CPF e entrada",IF(COUNTIFS($A$12:$A$5011,A4945,$B$12:$B$5011,B4945)&gt;1,"CPF + dia duplicado",IF(OR(AND(E4945&lt;&gt;"",E4945&lt;B4945),AND(F4945&lt;&gt;"",F4945&lt;B4945)),"Evento anterior à entrada",IF(AND(F4945&lt;&gt;"",E4945=""),"Conversa sem agendamento",IF(OR(E4945&gt;TODAY(),F4945&gt;TODAY()),"Verificar evento futuro","OK"))))))</f>
        <v/>
      </c>
    </row>
    <row r="4946" spans="9:12">
      <c r="I4946" s="5">
        <f>IF(OR(A4946="",B4946=""),"",B4946-WEEKDAY(B4946,2)+1)</f>
        <v/>
      </c>
      <c r="J4946" s="5">
        <f>IF(I4946="","",I4946+6)</f>
        <v/>
      </c>
      <c r="K4946" s="6">
        <f>IF(OR(A4946="",B4946=""),"",DATE(YEAR(B4946),MONTH(B4946),1))</f>
        <v/>
      </c>
      <c r="L4946" s="7">
        <f>IF(COUNTA(A4946,B4946)=0,"",IF(OR(A4946="",B4946=""),"Preencher CPF e entrada",IF(COUNTIFS($A$12:$A$5011,A4946,$B$12:$B$5011,B4946)&gt;1,"CPF + dia duplicado",IF(OR(AND(E4946&lt;&gt;"",E4946&lt;B4946),AND(F4946&lt;&gt;"",F4946&lt;B4946)),"Evento anterior à entrada",IF(AND(F4946&lt;&gt;"",E4946=""),"Conversa sem agendamento",IF(OR(E4946&gt;TODAY(),F4946&gt;TODAY()),"Verificar evento futuro","OK"))))))</f>
        <v/>
      </c>
    </row>
    <row r="4947" spans="9:12">
      <c r="I4947" s="5">
        <f>IF(OR(A4947="",B4947=""),"",B4947-WEEKDAY(B4947,2)+1)</f>
        <v/>
      </c>
      <c r="J4947" s="5">
        <f>IF(I4947="","",I4947+6)</f>
        <v/>
      </c>
      <c r="K4947" s="6">
        <f>IF(OR(A4947="",B4947=""),"",DATE(YEAR(B4947),MONTH(B4947),1))</f>
        <v/>
      </c>
      <c r="L4947" s="7">
        <f>IF(COUNTA(A4947,B4947)=0,"",IF(OR(A4947="",B4947=""),"Preencher CPF e entrada",IF(COUNTIFS($A$12:$A$5011,A4947,$B$12:$B$5011,B4947)&gt;1,"CPF + dia duplicado",IF(OR(AND(E4947&lt;&gt;"",E4947&lt;B4947),AND(F4947&lt;&gt;"",F4947&lt;B4947)),"Evento anterior à entrada",IF(AND(F4947&lt;&gt;"",E4947=""),"Conversa sem agendamento",IF(OR(E4947&gt;TODAY(),F4947&gt;TODAY()),"Verificar evento futuro","OK"))))))</f>
        <v/>
      </c>
    </row>
    <row r="4948" spans="9:12">
      <c r="I4948" s="5">
        <f>IF(OR(A4948="",B4948=""),"",B4948-WEEKDAY(B4948,2)+1)</f>
        <v/>
      </c>
      <c r="J4948" s="5">
        <f>IF(I4948="","",I4948+6)</f>
        <v/>
      </c>
      <c r="K4948" s="6">
        <f>IF(OR(A4948="",B4948=""),"",DATE(YEAR(B4948),MONTH(B4948),1))</f>
        <v/>
      </c>
      <c r="L4948" s="7">
        <f>IF(COUNTA(A4948,B4948)=0,"",IF(OR(A4948="",B4948=""),"Preencher CPF e entrada",IF(COUNTIFS($A$12:$A$5011,A4948,$B$12:$B$5011,B4948)&gt;1,"CPF + dia duplicado",IF(OR(AND(E4948&lt;&gt;"",E4948&lt;B4948),AND(F4948&lt;&gt;"",F4948&lt;B4948)),"Evento anterior à entrada",IF(AND(F4948&lt;&gt;"",E4948=""),"Conversa sem agendamento",IF(OR(E4948&gt;TODAY(),F4948&gt;TODAY()),"Verificar evento futuro","OK"))))))</f>
        <v/>
      </c>
    </row>
    <row r="4949" spans="9:12">
      <c r="I4949" s="5">
        <f>IF(OR(A4949="",B4949=""),"",B4949-WEEKDAY(B4949,2)+1)</f>
        <v/>
      </c>
      <c r="J4949" s="5">
        <f>IF(I4949="","",I4949+6)</f>
        <v/>
      </c>
      <c r="K4949" s="6">
        <f>IF(OR(A4949="",B4949=""),"",DATE(YEAR(B4949),MONTH(B4949),1))</f>
        <v/>
      </c>
      <c r="L4949" s="7">
        <f>IF(COUNTA(A4949,B4949)=0,"",IF(OR(A4949="",B4949=""),"Preencher CPF e entrada",IF(COUNTIFS($A$12:$A$5011,A4949,$B$12:$B$5011,B4949)&gt;1,"CPF + dia duplicado",IF(OR(AND(E4949&lt;&gt;"",E4949&lt;B4949),AND(F4949&lt;&gt;"",F4949&lt;B4949)),"Evento anterior à entrada",IF(AND(F4949&lt;&gt;"",E4949=""),"Conversa sem agendamento",IF(OR(E4949&gt;TODAY(),F4949&gt;TODAY()),"Verificar evento futuro","OK"))))))</f>
        <v/>
      </c>
    </row>
    <row r="4950" spans="9:12">
      <c r="I4950" s="5">
        <f>IF(OR(A4950="",B4950=""),"",B4950-WEEKDAY(B4950,2)+1)</f>
        <v/>
      </c>
      <c r="J4950" s="5">
        <f>IF(I4950="","",I4950+6)</f>
        <v/>
      </c>
      <c r="K4950" s="6">
        <f>IF(OR(A4950="",B4950=""),"",DATE(YEAR(B4950),MONTH(B4950),1))</f>
        <v/>
      </c>
      <c r="L4950" s="7">
        <f>IF(COUNTA(A4950,B4950)=0,"",IF(OR(A4950="",B4950=""),"Preencher CPF e entrada",IF(COUNTIFS($A$12:$A$5011,A4950,$B$12:$B$5011,B4950)&gt;1,"CPF + dia duplicado",IF(OR(AND(E4950&lt;&gt;"",E4950&lt;B4950),AND(F4950&lt;&gt;"",F4950&lt;B4950)),"Evento anterior à entrada",IF(AND(F4950&lt;&gt;"",E4950=""),"Conversa sem agendamento",IF(OR(E4950&gt;TODAY(),F4950&gt;TODAY()),"Verificar evento futuro","OK"))))))</f>
        <v/>
      </c>
    </row>
    <row r="4951" spans="9:12">
      <c r="I4951" s="5">
        <f>IF(OR(A4951="",B4951=""),"",B4951-WEEKDAY(B4951,2)+1)</f>
        <v/>
      </c>
      <c r="J4951" s="5">
        <f>IF(I4951="","",I4951+6)</f>
        <v/>
      </c>
      <c r="K4951" s="6">
        <f>IF(OR(A4951="",B4951=""),"",DATE(YEAR(B4951),MONTH(B4951),1))</f>
        <v/>
      </c>
      <c r="L4951" s="7">
        <f>IF(COUNTA(A4951,B4951)=0,"",IF(OR(A4951="",B4951=""),"Preencher CPF e entrada",IF(COUNTIFS($A$12:$A$5011,A4951,$B$12:$B$5011,B4951)&gt;1,"CPF + dia duplicado",IF(OR(AND(E4951&lt;&gt;"",E4951&lt;B4951),AND(F4951&lt;&gt;"",F4951&lt;B4951)),"Evento anterior à entrada",IF(AND(F4951&lt;&gt;"",E4951=""),"Conversa sem agendamento",IF(OR(E4951&gt;TODAY(),F4951&gt;TODAY()),"Verificar evento futuro","OK"))))))</f>
        <v/>
      </c>
    </row>
    <row r="4952" spans="9:12">
      <c r="I4952" s="5">
        <f>IF(OR(A4952="",B4952=""),"",B4952-WEEKDAY(B4952,2)+1)</f>
        <v/>
      </c>
      <c r="J4952" s="5">
        <f>IF(I4952="","",I4952+6)</f>
        <v/>
      </c>
      <c r="K4952" s="6">
        <f>IF(OR(A4952="",B4952=""),"",DATE(YEAR(B4952),MONTH(B4952),1))</f>
        <v/>
      </c>
      <c r="L4952" s="7">
        <f>IF(COUNTA(A4952,B4952)=0,"",IF(OR(A4952="",B4952=""),"Preencher CPF e entrada",IF(COUNTIFS($A$12:$A$5011,A4952,$B$12:$B$5011,B4952)&gt;1,"CPF + dia duplicado",IF(OR(AND(E4952&lt;&gt;"",E4952&lt;B4952),AND(F4952&lt;&gt;"",F4952&lt;B4952)),"Evento anterior à entrada",IF(AND(F4952&lt;&gt;"",E4952=""),"Conversa sem agendamento",IF(OR(E4952&gt;TODAY(),F4952&gt;TODAY()),"Verificar evento futuro","OK"))))))</f>
        <v/>
      </c>
    </row>
    <row r="4953" spans="9:12">
      <c r="I4953" s="5">
        <f>IF(OR(A4953="",B4953=""),"",B4953-WEEKDAY(B4953,2)+1)</f>
        <v/>
      </c>
      <c r="J4953" s="5">
        <f>IF(I4953="","",I4953+6)</f>
        <v/>
      </c>
      <c r="K4953" s="6">
        <f>IF(OR(A4953="",B4953=""),"",DATE(YEAR(B4953),MONTH(B4953),1))</f>
        <v/>
      </c>
      <c r="L4953" s="7">
        <f>IF(COUNTA(A4953,B4953)=0,"",IF(OR(A4953="",B4953=""),"Preencher CPF e entrada",IF(COUNTIFS($A$12:$A$5011,A4953,$B$12:$B$5011,B4953)&gt;1,"CPF + dia duplicado",IF(OR(AND(E4953&lt;&gt;"",E4953&lt;B4953),AND(F4953&lt;&gt;"",F4953&lt;B4953)),"Evento anterior à entrada",IF(AND(F4953&lt;&gt;"",E4953=""),"Conversa sem agendamento",IF(OR(E4953&gt;TODAY(),F4953&gt;TODAY()),"Verificar evento futuro","OK"))))))</f>
        <v/>
      </c>
    </row>
    <row r="4954" spans="9:12">
      <c r="I4954" s="5">
        <f>IF(OR(A4954="",B4954=""),"",B4954-WEEKDAY(B4954,2)+1)</f>
        <v/>
      </c>
      <c r="J4954" s="5">
        <f>IF(I4954="","",I4954+6)</f>
        <v/>
      </c>
      <c r="K4954" s="6">
        <f>IF(OR(A4954="",B4954=""),"",DATE(YEAR(B4954),MONTH(B4954),1))</f>
        <v/>
      </c>
      <c r="L4954" s="7">
        <f>IF(COUNTA(A4954,B4954)=0,"",IF(OR(A4954="",B4954=""),"Preencher CPF e entrada",IF(COUNTIFS($A$12:$A$5011,A4954,$B$12:$B$5011,B4954)&gt;1,"CPF + dia duplicado",IF(OR(AND(E4954&lt;&gt;"",E4954&lt;B4954),AND(F4954&lt;&gt;"",F4954&lt;B4954)),"Evento anterior à entrada",IF(AND(F4954&lt;&gt;"",E4954=""),"Conversa sem agendamento",IF(OR(E4954&gt;TODAY(),F4954&gt;TODAY()),"Verificar evento futuro","OK"))))))</f>
        <v/>
      </c>
    </row>
    <row r="4955" spans="9:12">
      <c r="I4955" s="5">
        <f>IF(OR(A4955="",B4955=""),"",B4955-WEEKDAY(B4955,2)+1)</f>
        <v/>
      </c>
      <c r="J4955" s="5">
        <f>IF(I4955="","",I4955+6)</f>
        <v/>
      </c>
      <c r="K4955" s="6">
        <f>IF(OR(A4955="",B4955=""),"",DATE(YEAR(B4955),MONTH(B4955),1))</f>
        <v/>
      </c>
      <c r="L4955" s="7">
        <f>IF(COUNTA(A4955,B4955)=0,"",IF(OR(A4955="",B4955=""),"Preencher CPF e entrada",IF(COUNTIFS($A$12:$A$5011,A4955,$B$12:$B$5011,B4955)&gt;1,"CPF + dia duplicado",IF(OR(AND(E4955&lt;&gt;"",E4955&lt;B4955),AND(F4955&lt;&gt;"",F4955&lt;B4955)),"Evento anterior à entrada",IF(AND(F4955&lt;&gt;"",E4955=""),"Conversa sem agendamento",IF(OR(E4955&gt;TODAY(),F4955&gt;TODAY()),"Verificar evento futuro","OK"))))))</f>
        <v/>
      </c>
    </row>
    <row r="4956" spans="9:12">
      <c r="I4956" s="5">
        <f>IF(OR(A4956="",B4956=""),"",B4956-WEEKDAY(B4956,2)+1)</f>
        <v/>
      </c>
      <c r="J4956" s="5">
        <f>IF(I4956="","",I4956+6)</f>
        <v/>
      </c>
      <c r="K4956" s="6">
        <f>IF(OR(A4956="",B4956=""),"",DATE(YEAR(B4956),MONTH(B4956),1))</f>
        <v/>
      </c>
      <c r="L4956" s="7">
        <f>IF(COUNTA(A4956,B4956)=0,"",IF(OR(A4956="",B4956=""),"Preencher CPF e entrada",IF(COUNTIFS($A$12:$A$5011,A4956,$B$12:$B$5011,B4956)&gt;1,"CPF + dia duplicado",IF(OR(AND(E4956&lt;&gt;"",E4956&lt;B4956),AND(F4956&lt;&gt;"",F4956&lt;B4956)),"Evento anterior à entrada",IF(AND(F4956&lt;&gt;"",E4956=""),"Conversa sem agendamento",IF(OR(E4956&gt;TODAY(),F4956&gt;TODAY()),"Verificar evento futuro","OK"))))))</f>
        <v/>
      </c>
    </row>
    <row r="4957" spans="9:12">
      <c r="I4957" s="5">
        <f>IF(OR(A4957="",B4957=""),"",B4957-WEEKDAY(B4957,2)+1)</f>
        <v/>
      </c>
      <c r="J4957" s="5">
        <f>IF(I4957="","",I4957+6)</f>
        <v/>
      </c>
      <c r="K4957" s="6">
        <f>IF(OR(A4957="",B4957=""),"",DATE(YEAR(B4957),MONTH(B4957),1))</f>
        <v/>
      </c>
      <c r="L4957" s="7">
        <f>IF(COUNTA(A4957,B4957)=0,"",IF(OR(A4957="",B4957=""),"Preencher CPF e entrada",IF(COUNTIFS($A$12:$A$5011,A4957,$B$12:$B$5011,B4957)&gt;1,"CPF + dia duplicado",IF(OR(AND(E4957&lt;&gt;"",E4957&lt;B4957),AND(F4957&lt;&gt;"",F4957&lt;B4957)),"Evento anterior à entrada",IF(AND(F4957&lt;&gt;"",E4957=""),"Conversa sem agendamento",IF(OR(E4957&gt;TODAY(),F4957&gt;TODAY()),"Verificar evento futuro","OK"))))))</f>
        <v/>
      </c>
    </row>
    <row r="4958" spans="9:12">
      <c r="I4958" s="5">
        <f>IF(OR(A4958="",B4958=""),"",B4958-WEEKDAY(B4958,2)+1)</f>
        <v/>
      </c>
      <c r="J4958" s="5">
        <f>IF(I4958="","",I4958+6)</f>
        <v/>
      </c>
      <c r="K4958" s="6">
        <f>IF(OR(A4958="",B4958=""),"",DATE(YEAR(B4958),MONTH(B4958),1))</f>
        <v/>
      </c>
      <c r="L4958" s="7">
        <f>IF(COUNTA(A4958,B4958)=0,"",IF(OR(A4958="",B4958=""),"Preencher CPF e entrada",IF(COUNTIFS($A$12:$A$5011,A4958,$B$12:$B$5011,B4958)&gt;1,"CPF + dia duplicado",IF(OR(AND(E4958&lt;&gt;"",E4958&lt;B4958),AND(F4958&lt;&gt;"",F4958&lt;B4958)),"Evento anterior à entrada",IF(AND(F4958&lt;&gt;"",E4958=""),"Conversa sem agendamento",IF(OR(E4958&gt;TODAY(),F4958&gt;TODAY()),"Verificar evento futuro","OK"))))))</f>
        <v/>
      </c>
    </row>
    <row r="4959" spans="9:12">
      <c r="I4959" s="5">
        <f>IF(OR(A4959="",B4959=""),"",B4959-WEEKDAY(B4959,2)+1)</f>
        <v/>
      </c>
      <c r="J4959" s="5">
        <f>IF(I4959="","",I4959+6)</f>
        <v/>
      </c>
      <c r="K4959" s="6">
        <f>IF(OR(A4959="",B4959=""),"",DATE(YEAR(B4959),MONTH(B4959),1))</f>
        <v/>
      </c>
      <c r="L4959" s="7">
        <f>IF(COUNTA(A4959,B4959)=0,"",IF(OR(A4959="",B4959=""),"Preencher CPF e entrada",IF(COUNTIFS($A$12:$A$5011,A4959,$B$12:$B$5011,B4959)&gt;1,"CPF + dia duplicado",IF(OR(AND(E4959&lt;&gt;"",E4959&lt;B4959),AND(F4959&lt;&gt;"",F4959&lt;B4959)),"Evento anterior à entrada",IF(AND(F4959&lt;&gt;"",E4959=""),"Conversa sem agendamento",IF(OR(E4959&gt;TODAY(),F4959&gt;TODAY()),"Verificar evento futuro","OK"))))))</f>
        <v/>
      </c>
    </row>
    <row r="4960" spans="9:12">
      <c r="I4960" s="5">
        <f>IF(OR(A4960="",B4960=""),"",B4960-WEEKDAY(B4960,2)+1)</f>
        <v/>
      </c>
      <c r="J4960" s="5">
        <f>IF(I4960="","",I4960+6)</f>
        <v/>
      </c>
      <c r="K4960" s="6">
        <f>IF(OR(A4960="",B4960=""),"",DATE(YEAR(B4960),MONTH(B4960),1))</f>
        <v/>
      </c>
      <c r="L4960" s="7">
        <f>IF(COUNTA(A4960,B4960)=0,"",IF(OR(A4960="",B4960=""),"Preencher CPF e entrada",IF(COUNTIFS($A$12:$A$5011,A4960,$B$12:$B$5011,B4960)&gt;1,"CPF + dia duplicado",IF(OR(AND(E4960&lt;&gt;"",E4960&lt;B4960),AND(F4960&lt;&gt;"",F4960&lt;B4960)),"Evento anterior à entrada",IF(AND(F4960&lt;&gt;"",E4960=""),"Conversa sem agendamento",IF(OR(E4960&gt;TODAY(),F4960&gt;TODAY()),"Verificar evento futuro","OK"))))))</f>
        <v/>
      </c>
    </row>
    <row r="4961" spans="9:12">
      <c r="I4961" s="5">
        <f>IF(OR(A4961="",B4961=""),"",B4961-WEEKDAY(B4961,2)+1)</f>
        <v/>
      </c>
      <c r="J4961" s="5">
        <f>IF(I4961="","",I4961+6)</f>
        <v/>
      </c>
      <c r="K4961" s="6">
        <f>IF(OR(A4961="",B4961=""),"",DATE(YEAR(B4961),MONTH(B4961),1))</f>
        <v/>
      </c>
      <c r="L4961" s="7">
        <f>IF(COUNTA(A4961,B4961)=0,"",IF(OR(A4961="",B4961=""),"Preencher CPF e entrada",IF(COUNTIFS($A$12:$A$5011,A4961,$B$12:$B$5011,B4961)&gt;1,"CPF + dia duplicado",IF(OR(AND(E4961&lt;&gt;"",E4961&lt;B4961),AND(F4961&lt;&gt;"",F4961&lt;B4961)),"Evento anterior à entrada",IF(AND(F4961&lt;&gt;"",E4961=""),"Conversa sem agendamento",IF(OR(E4961&gt;TODAY(),F4961&gt;TODAY()),"Verificar evento futuro","OK"))))))</f>
        <v/>
      </c>
    </row>
    <row r="4962" spans="9:12">
      <c r="I4962" s="5">
        <f>IF(OR(A4962="",B4962=""),"",B4962-WEEKDAY(B4962,2)+1)</f>
        <v/>
      </c>
      <c r="J4962" s="5">
        <f>IF(I4962="","",I4962+6)</f>
        <v/>
      </c>
      <c r="K4962" s="6">
        <f>IF(OR(A4962="",B4962=""),"",DATE(YEAR(B4962),MONTH(B4962),1))</f>
        <v/>
      </c>
      <c r="L4962" s="7">
        <f>IF(COUNTA(A4962,B4962)=0,"",IF(OR(A4962="",B4962=""),"Preencher CPF e entrada",IF(COUNTIFS($A$12:$A$5011,A4962,$B$12:$B$5011,B4962)&gt;1,"CPF + dia duplicado",IF(OR(AND(E4962&lt;&gt;"",E4962&lt;B4962),AND(F4962&lt;&gt;"",F4962&lt;B4962)),"Evento anterior à entrada",IF(AND(F4962&lt;&gt;"",E4962=""),"Conversa sem agendamento",IF(OR(E4962&gt;TODAY(),F4962&gt;TODAY()),"Verificar evento futuro","OK"))))))</f>
        <v/>
      </c>
    </row>
    <row r="4963" spans="9:12">
      <c r="I4963" s="5">
        <f>IF(OR(A4963="",B4963=""),"",B4963-WEEKDAY(B4963,2)+1)</f>
        <v/>
      </c>
      <c r="J4963" s="5">
        <f>IF(I4963="","",I4963+6)</f>
        <v/>
      </c>
      <c r="K4963" s="6">
        <f>IF(OR(A4963="",B4963=""),"",DATE(YEAR(B4963),MONTH(B4963),1))</f>
        <v/>
      </c>
      <c r="L4963" s="7">
        <f>IF(COUNTA(A4963,B4963)=0,"",IF(OR(A4963="",B4963=""),"Preencher CPF e entrada",IF(COUNTIFS($A$12:$A$5011,A4963,$B$12:$B$5011,B4963)&gt;1,"CPF + dia duplicado",IF(OR(AND(E4963&lt;&gt;"",E4963&lt;B4963),AND(F4963&lt;&gt;"",F4963&lt;B4963)),"Evento anterior à entrada",IF(AND(F4963&lt;&gt;"",E4963=""),"Conversa sem agendamento",IF(OR(E4963&gt;TODAY(),F4963&gt;TODAY()),"Verificar evento futuro","OK"))))))</f>
        <v/>
      </c>
    </row>
    <row r="4964" spans="9:12">
      <c r="I4964" s="5">
        <f>IF(OR(A4964="",B4964=""),"",B4964-WEEKDAY(B4964,2)+1)</f>
        <v/>
      </c>
      <c r="J4964" s="5">
        <f>IF(I4964="","",I4964+6)</f>
        <v/>
      </c>
      <c r="K4964" s="6">
        <f>IF(OR(A4964="",B4964=""),"",DATE(YEAR(B4964),MONTH(B4964),1))</f>
        <v/>
      </c>
      <c r="L4964" s="7">
        <f>IF(COUNTA(A4964,B4964)=0,"",IF(OR(A4964="",B4964=""),"Preencher CPF e entrada",IF(COUNTIFS($A$12:$A$5011,A4964,$B$12:$B$5011,B4964)&gt;1,"CPF + dia duplicado",IF(OR(AND(E4964&lt;&gt;"",E4964&lt;B4964),AND(F4964&lt;&gt;"",F4964&lt;B4964)),"Evento anterior à entrada",IF(AND(F4964&lt;&gt;"",E4964=""),"Conversa sem agendamento",IF(OR(E4964&gt;TODAY(),F4964&gt;TODAY()),"Verificar evento futuro","OK"))))))</f>
        <v/>
      </c>
    </row>
    <row r="4965" spans="9:12">
      <c r="I4965" s="5">
        <f>IF(OR(A4965="",B4965=""),"",B4965-WEEKDAY(B4965,2)+1)</f>
        <v/>
      </c>
      <c r="J4965" s="5">
        <f>IF(I4965="","",I4965+6)</f>
        <v/>
      </c>
      <c r="K4965" s="6">
        <f>IF(OR(A4965="",B4965=""),"",DATE(YEAR(B4965),MONTH(B4965),1))</f>
        <v/>
      </c>
      <c r="L4965" s="7">
        <f>IF(COUNTA(A4965,B4965)=0,"",IF(OR(A4965="",B4965=""),"Preencher CPF e entrada",IF(COUNTIFS($A$12:$A$5011,A4965,$B$12:$B$5011,B4965)&gt;1,"CPF + dia duplicado",IF(OR(AND(E4965&lt;&gt;"",E4965&lt;B4965),AND(F4965&lt;&gt;"",F4965&lt;B4965)),"Evento anterior à entrada",IF(AND(F4965&lt;&gt;"",E4965=""),"Conversa sem agendamento",IF(OR(E4965&gt;TODAY(),F4965&gt;TODAY()),"Verificar evento futuro","OK"))))))</f>
        <v/>
      </c>
    </row>
    <row r="4966" spans="9:12">
      <c r="I4966" s="5">
        <f>IF(OR(A4966="",B4966=""),"",B4966-WEEKDAY(B4966,2)+1)</f>
        <v/>
      </c>
      <c r="J4966" s="5">
        <f>IF(I4966="","",I4966+6)</f>
        <v/>
      </c>
      <c r="K4966" s="6">
        <f>IF(OR(A4966="",B4966=""),"",DATE(YEAR(B4966),MONTH(B4966),1))</f>
        <v/>
      </c>
      <c r="L4966" s="7">
        <f>IF(COUNTA(A4966,B4966)=0,"",IF(OR(A4966="",B4966=""),"Preencher CPF e entrada",IF(COUNTIFS($A$12:$A$5011,A4966,$B$12:$B$5011,B4966)&gt;1,"CPF + dia duplicado",IF(OR(AND(E4966&lt;&gt;"",E4966&lt;B4966),AND(F4966&lt;&gt;"",F4966&lt;B4966)),"Evento anterior à entrada",IF(AND(F4966&lt;&gt;"",E4966=""),"Conversa sem agendamento",IF(OR(E4966&gt;TODAY(),F4966&gt;TODAY()),"Verificar evento futuro","OK"))))))</f>
        <v/>
      </c>
    </row>
    <row r="4967" spans="9:12">
      <c r="I4967" s="5">
        <f>IF(OR(A4967="",B4967=""),"",B4967-WEEKDAY(B4967,2)+1)</f>
        <v/>
      </c>
      <c r="J4967" s="5">
        <f>IF(I4967="","",I4967+6)</f>
        <v/>
      </c>
      <c r="K4967" s="6">
        <f>IF(OR(A4967="",B4967=""),"",DATE(YEAR(B4967),MONTH(B4967),1))</f>
        <v/>
      </c>
      <c r="L4967" s="7">
        <f>IF(COUNTA(A4967,B4967)=0,"",IF(OR(A4967="",B4967=""),"Preencher CPF e entrada",IF(COUNTIFS($A$12:$A$5011,A4967,$B$12:$B$5011,B4967)&gt;1,"CPF + dia duplicado",IF(OR(AND(E4967&lt;&gt;"",E4967&lt;B4967),AND(F4967&lt;&gt;"",F4967&lt;B4967)),"Evento anterior à entrada",IF(AND(F4967&lt;&gt;"",E4967=""),"Conversa sem agendamento",IF(OR(E4967&gt;TODAY(),F4967&gt;TODAY()),"Verificar evento futuro","OK"))))))</f>
        <v/>
      </c>
    </row>
    <row r="4968" spans="9:12">
      <c r="I4968" s="5">
        <f>IF(OR(A4968="",B4968=""),"",B4968-WEEKDAY(B4968,2)+1)</f>
        <v/>
      </c>
      <c r="J4968" s="5">
        <f>IF(I4968="","",I4968+6)</f>
        <v/>
      </c>
      <c r="K4968" s="6">
        <f>IF(OR(A4968="",B4968=""),"",DATE(YEAR(B4968),MONTH(B4968),1))</f>
        <v/>
      </c>
      <c r="L4968" s="7">
        <f>IF(COUNTA(A4968,B4968)=0,"",IF(OR(A4968="",B4968=""),"Preencher CPF e entrada",IF(COUNTIFS($A$12:$A$5011,A4968,$B$12:$B$5011,B4968)&gt;1,"CPF + dia duplicado",IF(OR(AND(E4968&lt;&gt;"",E4968&lt;B4968),AND(F4968&lt;&gt;"",F4968&lt;B4968)),"Evento anterior à entrada",IF(AND(F4968&lt;&gt;"",E4968=""),"Conversa sem agendamento",IF(OR(E4968&gt;TODAY(),F4968&gt;TODAY()),"Verificar evento futuro","OK"))))))</f>
        <v/>
      </c>
    </row>
    <row r="4969" spans="9:12">
      <c r="I4969" s="5">
        <f>IF(OR(A4969="",B4969=""),"",B4969-WEEKDAY(B4969,2)+1)</f>
        <v/>
      </c>
      <c r="J4969" s="5">
        <f>IF(I4969="","",I4969+6)</f>
        <v/>
      </c>
      <c r="K4969" s="6">
        <f>IF(OR(A4969="",B4969=""),"",DATE(YEAR(B4969),MONTH(B4969),1))</f>
        <v/>
      </c>
      <c r="L4969" s="7">
        <f>IF(COUNTA(A4969,B4969)=0,"",IF(OR(A4969="",B4969=""),"Preencher CPF e entrada",IF(COUNTIFS($A$12:$A$5011,A4969,$B$12:$B$5011,B4969)&gt;1,"CPF + dia duplicado",IF(OR(AND(E4969&lt;&gt;"",E4969&lt;B4969),AND(F4969&lt;&gt;"",F4969&lt;B4969)),"Evento anterior à entrada",IF(AND(F4969&lt;&gt;"",E4969=""),"Conversa sem agendamento",IF(OR(E4969&gt;TODAY(),F4969&gt;TODAY()),"Verificar evento futuro","OK"))))))</f>
        <v/>
      </c>
    </row>
    <row r="4970" spans="9:12">
      <c r="I4970" s="5">
        <f>IF(OR(A4970="",B4970=""),"",B4970-WEEKDAY(B4970,2)+1)</f>
        <v/>
      </c>
      <c r="J4970" s="5">
        <f>IF(I4970="","",I4970+6)</f>
        <v/>
      </c>
      <c r="K4970" s="6">
        <f>IF(OR(A4970="",B4970=""),"",DATE(YEAR(B4970),MONTH(B4970),1))</f>
        <v/>
      </c>
      <c r="L4970" s="7">
        <f>IF(COUNTA(A4970,B4970)=0,"",IF(OR(A4970="",B4970=""),"Preencher CPF e entrada",IF(COUNTIFS($A$12:$A$5011,A4970,$B$12:$B$5011,B4970)&gt;1,"CPF + dia duplicado",IF(OR(AND(E4970&lt;&gt;"",E4970&lt;B4970),AND(F4970&lt;&gt;"",F4970&lt;B4970)),"Evento anterior à entrada",IF(AND(F4970&lt;&gt;"",E4970=""),"Conversa sem agendamento",IF(OR(E4970&gt;TODAY(),F4970&gt;TODAY()),"Verificar evento futuro","OK"))))))</f>
        <v/>
      </c>
    </row>
    <row r="4971" spans="9:12">
      <c r="I4971" s="5">
        <f>IF(OR(A4971="",B4971=""),"",B4971-WEEKDAY(B4971,2)+1)</f>
        <v/>
      </c>
      <c r="J4971" s="5">
        <f>IF(I4971="","",I4971+6)</f>
        <v/>
      </c>
      <c r="K4971" s="6">
        <f>IF(OR(A4971="",B4971=""),"",DATE(YEAR(B4971),MONTH(B4971),1))</f>
        <v/>
      </c>
      <c r="L4971" s="7">
        <f>IF(COUNTA(A4971,B4971)=0,"",IF(OR(A4971="",B4971=""),"Preencher CPF e entrada",IF(COUNTIFS($A$12:$A$5011,A4971,$B$12:$B$5011,B4971)&gt;1,"CPF + dia duplicado",IF(OR(AND(E4971&lt;&gt;"",E4971&lt;B4971),AND(F4971&lt;&gt;"",F4971&lt;B4971)),"Evento anterior à entrada",IF(AND(F4971&lt;&gt;"",E4971=""),"Conversa sem agendamento",IF(OR(E4971&gt;TODAY(),F4971&gt;TODAY()),"Verificar evento futuro","OK"))))))</f>
        <v/>
      </c>
    </row>
    <row r="4972" spans="9:12">
      <c r="I4972" s="5">
        <f>IF(OR(A4972="",B4972=""),"",B4972-WEEKDAY(B4972,2)+1)</f>
        <v/>
      </c>
      <c r="J4972" s="5">
        <f>IF(I4972="","",I4972+6)</f>
        <v/>
      </c>
      <c r="K4972" s="6">
        <f>IF(OR(A4972="",B4972=""),"",DATE(YEAR(B4972),MONTH(B4972),1))</f>
        <v/>
      </c>
      <c r="L4972" s="7">
        <f>IF(COUNTA(A4972,B4972)=0,"",IF(OR(A4972="",B4972=""),"Preencher CPF e entrada",IF(COUNTIFS($A$12:$A$5011,A4972,$B$12:$B$5011,B4972)&gt;1,"CPF + dia duplicado",IF(OR(AND(E4972&lt;&gt;"",E4972&lt;B4972),AND(F4972&lt;&gt;"",F4972&lt;B4972)),"Evento anterior à entrada",IF(AND(F4972&lt;&gt;"",E4972=""),"Conversa sem agendamento",IF(OR(E4972&gt;TODAY(),F4972&gt;TODAY()),"Verificar evento futuro","OK"))))))</f>
        <v/>
      </c>
    </row>
    <row r="4973" spans="9:12">
      <c r="I4973" s="5">
        <f>IF(OR(A4973="",B4973=""),"",B4973-WEEKDAY(B4973,2)+1)</f>
        <v/>
      </c>
      <c r="J4973" s="5">
        <f>IF(I4973="","",I4973+6)</f>
        <v/>
      </c>
      <c r="K4973" s="6">
        <f>IF(OR(A4973="",B4973=""),"",DATE(YEAR(B4973),MONTH(B4973),1))</f>
        <v/>
      </c>
      <c r="L4973" s="7">
        <f>IF(COUNTA(A4973,B4973)=0,"",IF(OR(A4973="",B4973=""),"Preencher CPF e entrada",IF(COUNTIFS($A$12:$A$5011,A4973,$B$12:$B$5011,B4973)&gt;1,"CPF + dia duplicado",IF(OR(AND(E4973&lt;&gt;"",E4973&lt;B4973),AND(F4973&lt;&gt;"",F4973&lt;B4973)),"Evento anterior à entrada",IF(AND(F4973&lt;&gt;"",E4973=""),"Conversa sem agendamento",IF(OR(E4973&gt;TODAY(),F4973&gt;TODAY()),"Verificar evento futuro","OK"))))))</f>
        <v/>
      </c>
    </row>
    <row r="4974" spans="9:12">
      <c r="I4974" s="5">
        <f>IF(OR(A4974="",B4974=""),"",B4974-WEEKDAY(B4974,2)+1)</f>
        <v/>
      </c>
      <c r="J4974" s="5">
        <f>IF(I4974="","",I4974+6)</f>
        <v/>
      </c>
      <c r="K4974" s="6">
        <f>IF(OR(A4974="",B4974=""),"",DATE(YEAR(B4974),MONTH(B4974),1))</f>
        <v/>
      </c>
      <c r="L4974" s="7">
        <f>IF(COUNTA(A4974,B4974)=0,"",IF(OR(A4974="",B4974=""),"Preencher CPF e entrada",IF(COUNTIFS($A$12:$A$5011,A4974,$B$12:$B$5011,B4974)&gt;1,"CPF + dia duplicado",IF(OR(AND(E4974&lt;&gt;"",E4974&lt;B4974),AND(F4974&lt;&gt;"",F4974&lt;B4974)),"Evento anterior à entrada",IF(AND(F4974&lt;&gt;"",E4974=""),"Conversa sem agendamento",IF(OR(E4974&gt;TODAY(),F4974&gt;TODAY()),"Verificar evento futuro","OK"))))))</f>
        <v/>
      </c>
    </row>
    <row r="4975" spans="9:12">
      <c r="I4975" s="5">
        <f>IF(OR(A4975="",B4975=""),"",B4975-WEEKDAY(B4975,2)+1)</f>
        <v/>
      </c>
      <c r="J4975" s="5">
        <f>IF(I4975="","",I4975+6)</f>
        <v/>
      </c>
      <c r="K4975" s="6">
        <f>IF(OR(A4975="",B4975=""),"",DATE(YEAR(B4975),MONTH(B4975),1))</f>
        <v/>
      </c>
      <c r="L4975" s="7">
        <f>IF(COUNTA(A4975,B4975)=0,"",IF(OR(A4975="",B4975=""),"Preencher CPF e entrada",IF(COUNTIFS($A$12:$A$5011,A4975,$B$12:$B$5011,B4975)&gt;1,"CPF + dia duplicado",IF(OR(AND(E4975&lt;&gt;"",E4975&lt;B4975),AND(F4975&lt;&gt;"",F4975&lt;B4975)),"Evento anterior à entrada",IF(AND(F4975&lt;&gt;"",E4975=""),"Conversa sem agendamento",IF(OR(E4975&gt;TODAY(),F4975&gt;TODAY()),"Verificar evento futuro","OK"))))))</f>
        <v/>
      </c>
    </row>
    <row r="4976" spans="9:12">
      <c r="I4976" s="5">
        <f>IF(OR(A4976="",B4976=""),"",B4976-WEEKDAY(B4976,2)+1)</f>
        <v/>
      </c>
      <c r="J4976" s="5">
        <f>IF(I4976="","",I4976+6)</f>
        <v/>
      </c>
      <c r="K4976" s="6">
        <f>IF(OR(A4976="",B4976=""),"",DATE(YEAR(B4976),MONTH(B4976),1))</f>
        <v/>
      </c>
      <c r="L4976" s="7">
        <f>IF(COUNTA(A4976,B4976)=0,"",IF(OR(A4976="",B4976=""),"Preencher CPF e entrada",IF(COUNTIFS($A$12:$A$5011,A4976,$B$12:$B$5011,B4976)&gt;1,"CPF + dia duplicado",IF(OR(AND(E4976&lt;&gt;"",E4976&lt;B4976),AND(F4976&lt;&gt;"",F4976&lt;B4976)),"Evento anterior à entrada",IF(AND(F4976&lt;&gt;"",E4976=""),"Conversa sem agendamento",IF(OR(E4976&gt;TODAY(),F4976&gt;TODAY()),"Verificar evento futuro","OK"))))))</f>
        <v/>
      </c>
    </row>
    <row r="4977" spans="9:12">
      <c r="I4977" s="5">
        <f>IF(OR(A4977="",B4977=""),"",B4977-WEEKDAY(B4977,2)+1)</f>
        <v/>
      </c>
      <c r="J4977" s="5">
        <f>IF(I4977="","",I4977+6)</f>
        <v/>
      </c>
      <c r="K4977" s="6">
        <f>IF(OR(A4977="",B4977=""),"",DATE(YEAR(B4977),MONTH(B4977),1))</f>
        <v/>
      </c>
      <c r="L4977" s="7">
        <f>IF(COUNTA(A4977,B4977)=0,"",IF(OR(A4977="",B4977=""),"Preencher CPF e entrada",IF(COUNTIFS($A$12:$A$5011,A4977,$B$12:$B$5011,B4977)&gt;1,"CPF + dia duplicado",IF(OR(AND(E4977&lt;&gt;"",E4977&lt;B4977),AND(F4977&lt;&gt;"",F4977&lt;B4977)),"Evento anterior à entrada",IF(AND(F4977&lt;&gt;"",E4977=""),"Conversa sem agendamento",IF(OR(E4977&gt;TODAY(),F4977&gt;TODAY()),"Verificar evento futuro","OK"))))))</f>
        <v/>
      </c>
    </row>
    <row r="4978" spans="9:12">
      <c r="I4978" s="5">
        <f>IF(OR(A4978="",B4978=""),"",B4978-WEEKDAY(B4978,2)+1)</f>
        <v/>
      </c>
      <c r="J4978" s="5">
        <f>IF(I4978="","",I4978+6)</f>
        <v/>
      </c>
      <c r="K4978" s="6">
        <f>IF(OR(A4978="",B4978=""),"",DATE(YEAR(B4978),MONTH(B4978),1))</f>
        <v/>
      </c>
      <c r="L4978" s="7">
        <f>IF(COUNTA(A4978,B4978)=0,"",IF(OR(A4978="",B4978=""),"Preencher CPF e entrada",IF(COUNTIFS($A$12:$A$5011,A4978,$B$12:$B$5011,B4978)&gt;1,"CPF + dia duplicado",IF(OR(AND(E4978&lt;&gt;"",E4978&lt;B4978),AND(F4978&lt;&gt;"",F4978&lt;B4978)),"Evento anterior à entrada",IF(AND(F4978&lt;&gt;"",E4978=""),"Conversa sem agendamento",IF(OR(E4978&gt;TODAY(),F4978&gt;TODAY()),"Verificar evento futuro","OK"))))))</f>
        <v/>
      </c>
    </row>
    <row r="4979" spans="9:12">
      <c r="I4979" s="5">
        <f>IF(OR(A4979="",B4979=""),"",B4979-WEEKDAY(B4979,2)+1)</f>
        <v/>
      </c>
      <c r="J4979" s="5">
        <f>IF(I4979="","",I4979+6)</f>
        <v/>
      </c>
      <c r="K4979" s="6">
        <f>IF(OR(A4979="",B4979=""),"",DATE(YEAR(B4979),MONTH(B4979),1))</f>
        <v/>
      </c>
      <c r="L4979" s="7">
        <f>IF(COUNTA(A4979,B4979)=0,"",IF(OR(A4979="",B4979=""),"Preencher CPF e entrada",IF(COUNTIFS($A$12:$A$5011,A4979,$B$12:$B$5011,B4979)&gt;1,"CPF + dia duplicado",IF(OR(AND(E4979&lt;&gt;"",E4979&lt;B4979),AND(F4979&lt;&gt;"",F4979&lt;B4979)),"Evento anterior à entrada",IF(AND(F4979&lt;&gt;"",E4979=""),"Conversa sem agendamento",IF(OR(E4979&gt;TODAY(),F4979&gt;TODAY()),"Verificar evento futuro","OK"))))))</f>
        <v/>
      </c>
    </row>
    <row r="4980" spans="9:12">
      <c r="I4980" s="5">
        <f>IF(OR(A4980="",B4980=""),"",B4980-WEEKDAY(B4980,2)+1)</f>
        <v/>
      </c>
      <c r="J4980" s="5">
        <f>IF(I4980="","",I4980+6)</f>
        <v/>
      </c>
      <c r="K4980" s="6">
        <f>IF(OR(A4980="",B4980=""),"",DATE(YEAR(B4980),MONTH(B4980),1))</f>
        <v/>
      </c>
      <c r="L4980" s="7">
        <f>IF(COUNTA(A4980,B4980)=0,"",IF(OR(A4980="",B4980=""),"Preencher CPF e entrada",IF(COUNTIFS($A$12:$A$5011,A4980,$B$12:$B$5011,B4980)&gt;1,"CPF + dia duplicado",IF(OR(AND(E4980&lt;&gt;"",E4980&lt;B4980),AND(F4980&lt;&gt;"",F4980&lt;B4980)),"Evento anterior à entrada",IF(AND(F4980&lt;&gt;"",E4980=""),"Conversa sem agendamento",IF(OR(E4980&gt;TODAY(),F4980&gt;TODAY()),"Verificar evento futuro","OK"))))))</f>
        <v/>
      </c>
    </row>
    <row r="4981" spans="9:12">
      <c r="I4981" s="5">
        <f>IF(OR(A4981="",B4981=""),"",B4981-WEEKDAY(B4981,2)+1)</f>
        <v/>
      </c>
      <c r="J4981" s="5">
        <f>IF(I4981="","",I4981+6)</f>
        <v/>
      </c>
      <c r="K4981" s="6">
        <f>IF(OR(A4981="",B4981=""),"",DATE(YEAR(B4981),MONTH(B4981),1))</f>
        <v/>
      </c>
      <c r="L4981" s="7">
        <f>IF(COUNTA(A4981,B4981)=0,"",IF(OR(A4981="",B4981=""),"Preencher CPF e entrada",IF(COUNTIFS($A$12:$A$5011,A4981,$B$12:$B$5011,B4981)&gt;1,"CPF + dia duplicado",IF(OR(AND(E4981&lt;&gt;"",E4981&lt;B4981),AND(F4981&lt;&gt;"",F4981&lt;B4981)),"Evento anterior à entrada",IF(AND(F4981&lt;&gt;"",E4981=""),"Conversa sem agendamento",IF(OR(E4981&gt;TODAY(),F4981&gt;TODAY()),"Verificar evento futuro","OK"))))))</f>
        <v/>
      </c>
    </row>
    <row r="4982" spans="9:12">
      <c r="I4982" s="5">
        <f>IF(OR(A4982="",B4982=""),"",B4982-WEEKDAY(B4982,2)+1)</f>
        <v/>
      </c>
      <c r="J4982" s="5">
        <f>IF(I4982="","",I4982+6)</f>
        <v/>
      </c>
      <c r="K4982" s="6">
        <f>IF(OR(A4982="",B4982=""),"",DATE(YEAR(B4982),MONTH(B4982),1))</f>
        <v/>
      </c>
      <c r="L4982" s="7">
        <f>IF(COUNTA(A4982,B4982)=0,"",IF(OR(A4982="",B4982=""),"Preencher CPF e entrada",IF(COUNTIFS($A$12:$A$5011,A4982,$B$12:$B$5011,B4982)&gt;1,"CPF + dia duplicado",IF(OR(AND(E4982&lt;&gt;"",E4982&lt;B4982),AND(F4982&lt;&gt;"",F4982&lt;B4982)),"Evento anterior à entrada",IF(AND(F4982&lt;&gt;"",E4982=""),"Conversa sem agendamento",IF(OR(E4982&gt;TODAY(),F4982&gt;TODAY()),"Verificar evento futuro","OK"))))))</f>
        <v/>
      </c>
    </row>
    <row r="4983" spans="9:12">
      <c r="I4983" s="5">
        <f>IF(OR(A4983="",B4983=""),"",B4983-WEEKDAY(B4983,2)+1)</f>
        <v/>
      </c>
      <c r="J4983" s="5">
        <f>IF(I4983="","",I4983+6)</f>
        <v/>
      </c>
      <c r="K4983" s="6">
        <f>IF(OR(A4983="",B4983=""),"",DATE(YEAR(B4983),MONTH(B4983),1))</f>
        <v/>
      </c>
      <c r="L4983" s="7">
        <f>IF(COUNTA(A4983,B4983)=0,"",IF(OR(A4983="",B4983=""),"Preencher CPF e entrada",IF(COUNTIFS($A$12:$A$5011,A4983,$B$12:$B$5011,B4983)&gt;1,"CPF + dia duplicado",IF(OR(AND(E4983&lt;&gt;"",E4983&lt;B4983),AND(F4983&lt;&gt;"",F4983&lt;B4983)),"Evento anterior à entrada",IF(AND(F4983&lt;&gt;"",E4983=""),"Conversa sem agendamento",IF(OR(E4983&gt;TODAY(),F4983&gt;TODAY()),"Verificar evento futuro","OK"))))))</f>
        <v/>
      </c>
    </row>
    <row r="4984" spans="9:12">
      <c r="I4984" s="5">
        <f>IF(OR(A4984="",B4984=""),"",B4984-WEEKDAY(B4984,2)+1)</f>
        <v/>
      </c>
      <c r="J4984" s="5">
        <f>IF(I4984="","",I4984+6)</f>
        <v/>
      </c>
      <c r="K4984" s="6">
        <f>IF(OR(A4984="",B4984=""),"",DATE(YEAR(B4984),MONTH(B4984),1))</f>
        <v/>
      </c>
      <c r="L4984" s="7">
        <f>IF(COUNTA(A4984,B4984)=0,"",IF(OR(A4984="",B4984=""),"Preencher CPF e entrada",IF(COUNTIFS($A$12:$A$5011,A4984,$B$12:$B$5011,B4984)&gt;1,"CPF + dia duplicado",IF(OR(AND(E4984&lt;&gt;"",E4984&lt;B4984),AND(F4984&lt;&gt;"",F4984&lt;B4984)),"Evento anterior à entrada",IF(AND(F4984&lt;&gt;"",E4984=""),"Conversa sem agendamento",IF(OR(E4984&gt;TODAY(),F4984&gt;TODAY()),"Verificar evento futuro","OK"))))))</f>
        <v/>
      </c>
    </row>
    <row r="4985" spans="9:12">
      <c r="I4985" s="5">
        <f>IF(OR(A4985="",B4985=""),"",B4985-WEEKDAY(B4985,2)+1)</f>
        <v/>
      </c>
      <c r="J4985" s="5">
        <f>IF(I4985="","",I4985+6)</f>
        <v/>
      </c>
      <c r="K4985" s="6">
        <f>IF(OR(A4985="",B4985=""),"",DATE(YEAR(B4985),MONTH(B4985),1))</f>
        <v/>
      </c>
      <c r="L4985" s="7">
        <f>IF(COUNTA(A4985,B4985)=0,"",IF(OR(A4985="",B4985=""),"Preencher CPF e entrada",IF(COUNTIFS($A$12:$A$5011,A4985,$B$12:$B$5011,B4985)&gt;1,"CPF + dia duplicado",IF(OR(AND(E4985&lt;&gt;"",E4985&lt;B4985),AND(F4985&lt;&gt;"",F4985&lt;B4985)),"Evento anterior à entrada",IF(AND(F4985&lt;&gt;"",E4985=""),"Conversa sem agendamento",IF(OR(E4985&gt;TODAY(),F4985&gt;TODAY()),"Verificar evento futuro","OK"))))))</f>
        <v/>
      </c>
    </row>
    <row r="4986" spans="9:12">
      <c r="I4986" s="5">
        <f>IF(OR(A4986="",B4986=""),"",B4986-WEEKDAY(B4986,2)+1)</f>
        <v/>
      </c>
      <c r="J4986" s="5">
        <f>IF(I4986="","",I4986+6)</f>
        <v/>
      </c>
      <c r="K4986" s="6">
        <f>IF(OR(A4986="",B4986=""),"",DATE(YEAR(B4986),MONTH(B4986),1))</f>
        <v/>
      </c>
      <c r="L4986" s="7">
        <f>IF(COUNTA(A4986,B4986)=0,"",IF(OR(A4986="",B4986=""),"Preencher CPF e entrada",IF(COUNTIFS($A$12:$A$5011,A4986,$B$12:$B$5011,B4986)&gt;1,"CPF + dia duplicado",IF(OR(AND(E4986&lt;&gt;"",E4986&lt;B4986),AND(F4986&lt;&gt;"",F4986&lt;B4986)),"Evento anterior à entrada",IF(AND(F4986&lt;&gt;"",E4986=""),"Conversa sem agendamento",IF(OR(E4986&gt;TODAY(),F4986&gt;TODAY()),"Verificar evento futuro","OK"))))))</f>
        <v/>
      </c>
    </row>
    <row r="4987" spans="9:12">
      <c r="I4987" s="5">
        <f>IF(OR(A4987="",B4987=""),"",B4987-WEEKDAY(B4987,2)+1)</f>
        <v/>
      </c>
      <c r="J4987" s="5">
        <f>IF(I4987="","",I4987+6)</f>
        <v/>
      </c>
      <c r="K4987" s="6">
        <f>IF(OR(A4987="",B4987=""),"",DATE(YEAR(B4987),MONTH(B4987),1))</f>
        <v/>
      </c>
      <c r="L4987" s="7">
        <f>IF(COUNTA(A4987,B4987)=0,"",IF(OR(A4987="",B4987=""),"Preencher CPF e entrada",IF(COUNTIFS($A$12:$A$5011,A4987,$B$12:$B$5011,B4987)&gt;1,"CPF + dia duplicado",IF(OR(AND(E4987&lt;&gt;"",E4987&lt;B4987),AND(F4987&lt;&gt;"",F4987&lt;B4987)),"Evento anterior à entrada",IF(AND(F4987&lt;&gt;"",E4987=""),"Conversa sem agendamento",IF(OR(E4987&gt;TODAY(),F4987&gt;TODAY()),"Verificar evento futuro","OK"))))))</f>
        <v/>
      </c>
    </row>
    <row r="4988" spans="9:12">
      <c r="I4988" s="5">
        <f>IF(OR(A4988="",B4988=""),"",B4988-WEEKDAY(B4988,2)+1)</f>
        <v/>
      </c>
      <c r="J4988" s="5">
        <f>IF(I4988="","",I4988+6)</f>
        <v/>
      </c>
      <c r="K4988" s="6">
        <f>IF(OR(A4988="",B4988=""),"",DATE(YEAR(B4988),MONTH(B4988),1))</f>
        <v/>
      </c>
      <c r="L4988" s="7">
        <f>IF(COUNTA(A4988,B4988)=0,"",IF(OR(A4988="",B4988=""),"Preencher CPF e entrada",IF(COUNTIFS($A$12:$A$5011,A4988,$B$12:$B$5011,B4988)&gt;1,"CPF + dia duplicado",IF(OR(AND(E4988&lt;&gt;"",E4988&lt;B4988),AND(F4988&lt;&gt;"",F4988&lt;B4988)),"Evento anterior à entrada",IF(AND(F4988&lt;&gt;"",E4988=""),"Conversa sem agendamento",IF(OR(E4988&gt;TODAY(),F4988&gt;TODAY()),"Verificar evento futuro","OK"))))))</f>
        <v/>
      </c>
    </row>
    <row r="4989" spans="9:12">
      <c r="I4989" s="5">
        <f>IF(OR(A4989="",B4989=""),"",B4989-WEEKDAY(B4989,2)+1)</f>
        <v/>
      </c>
      <c r="J4989" s="5">
        <f>IF(I4989="","",I4989+6)</f>
        <v/>
      </c>
      <c r="K4989" s="6">
        <f>IF(OR(A4989="",B4989=""),"",DATE(YEAR(B4989),MONTH(B4989),1))</f>
        <v/>
      </c>
      <c r="L4989" s="7">
        <f>IF(COUNTA(A4989,B4989)=0,"",IF(OR(A4989="",B4989=""),"Preencher CPF e entrada",IF(COUNTIFS($A$12:$A$5011,A4989,$B$12:$B$5011,B4989)&gt;1,"CPF + dia duplicado",IF(OR(AND(E4989&lt;&gt;"",E4989&lt;B4989),AND(F4989&lt;&gt;"",F4989&lt;B4989)),"Evento anterior à entrada",IF(AND(F4989&lt;&gt;"",E4989=""),"Conversa sem agendamento",IF(OR(E4989&gt;TODAY(),F4989&gt;TODAY()),"Verificar evento futuro","OK"))))))</f>
        <v/>
      </c>
    </row>
    <row r="4990" spans="9:12">
      <c r="I4990" s="5">
        <f>IF(OR(A4990="",B4990=""),"",B4990-WEEKDAY(B4990,2)+1)</f>
        <v/>
      </c>
      <c r="J4990" s="5">
        <f>IF(I4990="","",I4990+6)</f>
        <v/>
      </c>
      <c r="K4990" s="6">
        <f>IF(OR(A4990="",B4990=""),"",DATE(YEAR(B4990),MONTH(B4990),1))</f>
        <v/>
      </c>
      <c r="L4990" s="7">
        <f>IF(COUNTA(A4990,B4990)=0,"",IF(OR(A4990="",B4990=""),"Preencher CPF e entrada",IF(COUNTIFS($A$12:$A$5011,A4990,$B$12:$B$5011,B4990)&gt;1,"CPF + dia duplicado",IF(OR(AND(E4990&lt;&gt;"",E4990&lt;B4990),AND(F4990&lt;&gt;"",F4990&lt;B4990)),"Evento anterior à entrada",IF(AND(F4990&lt;&gt;"",E4990=""),"Conversa sem agendamento",IF(OR(E4990&gt;TODAY(),F4990&gt;TODAY()),"Verificar evento futuro","OK"))))))</f>
        <v/>
      </c>
    </row>
    <row r="4991" spans="9:12">
      <c r="I4991" s="5">
        <f>IF(OR(A4991="",B4991=""),"",B4991-WEEKDAY(B4991,2)+1)</f>
        <v/>
      </c>
      <c r="J4991" s="5">
        <f>IF(I4991="","",I4991+6)</f>
        <v/>
      </c>
      <c r="K4991" s="6">
        <f>IF(OR(A4991="",B4991=""),"",DATE(YEAR(B4991),MONTH(B4991),1))</f>
        <v/>
      </c>
      <c r="L4991" s="7">
        <f>IF(COUNTA(A4991,B4991)=0,"",IF(OR(A4991="",B4991=""),"Preencher CPF e entrada",IF(COUNTIFS($A$12:$A$5011,A4991,$B$12:$B$5011,B4991)&gt;1,"CPF + dia duplicado",IF(OR(AND(E4991&lt;&gt;"",E4991&lt;B4991),AND(F4991&lt;&gt;"",F4991&lt;B4991)),"Evento anterior à entrada",IF(AND(F4991&lt;&gt;"",E4991=""),"Conversa sem agendamento",IF(OR(E4991&gt;TODAY(),F4991&gt;TODAY()),"Verificar evento futuro","OK"))))))</f>
        <v/>
      </c>
    </row>
    <row r="4992" spans="9:12">
      <c r="I4992" s="5">
        <f>IF(OR(A4992="",B4992=""),"",B4992-WEEKDAY(B4992,2)+1)</f>
        <v/>
      </c>
      <c r="J4992" s="5">
        <f>IF(I4992="","",I4992+6)</f>
        <v/>
      </c>
      <c r="K4992" s="6">
        <f>IF(OR(A4992="",B4992=""),"",DATE(YEAR(B4992),MONTH(B4992),1))</f>
        <v/>
      </c>
      <c r="L4992" s="7">
        <f>IF(COUNTA(A4992,B4992)=0,"",IF(OR(A4992="",B4992=""),"Preencher CPF e entrada",IF(COUNTIFS($A$12:$A$5011,A4992,$B$12:$B$5011,B4992)&gt;1,"CPF + dia duplicado",IF(OR(AND(E4992&lt;&gt;"",E4992&lt;B4992),AND(F4992&lt;&gt;"",F4992&lt;B4992)),"Evento anterior à entrada",IF(AND(F4992&lt;&gt;"",E4992=""),"Conversa sem agendamento",IF(OR(E4992&gt;TODAY(),F4992&gt;TODAY()),"Verificar evento futuro","OK"))))))</f>
        <v/>
      </c>
    </row>
    <row r="4993" spans="9:12">
      <c r="I4993" s="5">
        <f>IF(OR(A4993="",B4993=""),"",B4993-WEEKDAY(B4993,2)+1)</f>
        <v/>
      </c>
      <c r="J4993" s="5">
        <f>IF(I4993="","",I4993+6)</f>
        <v/>
      </c>
      <c r="K4993" s="6">
        <f>IF(OR(A4993="",B4993=""),"",DATE(YEAR(B4993),MONTH(B4993),1))</f>
        <v/>
      </c>
      <c r="L4993" s="7">
        <f>IF(COUNTA(A4993,B4993)=0,"",IF(OR(A4993="",B4993=""),"Preencher CPF e entrada",IF(COUNTIFS($A$12:$A$5011,A4993,$B$12:$B$5011,B4993)&gt;1,"CPF + dia duplicado",IF(OR(AND(E4993&lt;&gt;"",E4993&lt;B4993),AND(F4993&lt;&gt;"",F4993&lt;B4993)),"Evento anterior à entrada",IF(AND(F4993&lt;&gt;"",E4993=""),"Conversa sem agendamento",IF(OR(E4993&gt;TODAY(),F4993&gt;TODAY()),"Verificar evento futuro","OK"))))))</f>
        <v/>
      </c>
    </row>
    <row r="4994" spans="9:12">
      <c r="I4994" s="5">
        <f>IF(OR(A4994="",B4994=""),"",B4994-WEEKDAY(B4994,2)+1)</f>
        <v/>
      </c>
      <c r="J4994" s="5">
        <f>IF(I4994="","",I4994+6)</f>
        <v/>
      </c>
      <c r="K4994" s="6">
        <f>IF(OR(A4994="",B4994=""),"",DATE(YEAR(B4994),MONTH(B4994),1))</f>
        <v/>
      </c>
      <c r="L4994" s="7">
        <f>IF(COUNTA(A4994,B4994)=0,"",IF(OR(A4994="",B4994=""),"Preencher CPF e entrada",IF(COUNTIFS($A$12:$A$5011,A4994,$B$12:$B$5011,B4994)&gt;1,"CPF + dia duplicado",IF(OR(AND(E4994&lt;&gt;"",E4994&lt;B4994),AND(F4994&lt;&gt;"",F4994&lt;B4994)),"Evento anterior à entrada",IF(AND(F4994&lt;&gt;"",E4994=""),"Conversa sem agendamento",IF(OR(E4994&gt;TODAY(),F4994&gt;TODAY()),"Verificar evento futuro","OK"))))))</f>
        <v/>
      </c>
    </row>
    <row r="4995" spans="9:12">
      <c r="I4995" s="5">
        <f>IF(OR(A4995="",B4995=""),"",B4995-WEEKDAY(B4995,2)+1)</f>
        <v/>
      </c>
      <c r="J4995" s="5">
        <f>IF(I4995="","",I4995+6)</f>
        <v/>
      </c>
      <c r="K4995" s="6">
        <f>IF(OR(A4995="",B4995=""),"",DATE(YEAR(B4995),MONTH(B4995),1))</f>
        <v/>
      </c>
      <c r="L4995" s="7">
        <f>IF(COUNTA(A4995,B4995)=0,"",IF(OR(A4995="",B4995=""),"Preencher CPF e entrada",IF(COUNTIFS($A$12:$A$5011,A4995,$B$12:$B$5011,B4995)&gt;1,"CPF + dia duplicado",IF(OR(AND(E4995&lt;&gt;"",E4995&lt;B4995),AND(F4995&lt;&gt;"",F4995&lt;B4995)),"Evento anterior à entrada",IF(AND(F4995&lt;&gt;"",E4995=""),"Conversa sem agendamento",IF(OR(E4995&gt;TODAY(),F4995&gt;TODAY()),"Verificar evento futuro","OK"))))))</f>
        <v/>
      </c>
    </row>
    <row r="4996" spans="9:12">
      <c r="I4996" s="5">
        <f>IF(OR(A4996="",B4996=""),"",B4996-WEEKDAY(B4996,2)+1)</f>
        <v/>
      </c>
      <c r="J4996" s="5">
        <f>IF(I4996="","",I4996+6)</f>
        <v/>
      </c>
      <c r="K4996" s="6">
        <f>IF(OR(A4996="",B4996=""),"",DATE(YEAR(B4996),MONTH(B4996),1))</f>
        <v/>
      </c>
      <c r="L4996" s="7">
        <f>IF(COUNTA(A4996,B4996)=0,"",IF(OR(A4996="",B4996=""),"Preencher CPF e entrada",IF(COUNTIFS($A$12:$A$5011,A4996,$B$12:$B$5011,B4996)&gt;1,"CPF + dia duplicado",IF(OR(AND(E4996&lt;&gt;"",E4996&lt;B4996),AND(F4996&lt;&gt;"",F4996&lt;B4996)),"Evento anterior à entrada",IF(AND(F4996&lt;&gt;"",E4996=""),"Conversa sem agendamento",IF(OR(E4996&gt;TODAY(),F4996&gt;TODAY()),"Verificar evento futuro","OK"))))))</f>
        <v/>
      </c>
    </row>
    <row r="4997" spans="9:12">
      <c r="I4997" s="5">
        <f>IF(OR(A4997="",B4997=""),"",B4997-WEEKDAY(B4997,2)+1)</f>
        <v/>
      </c>
      <c r="J4997" s="5">
        <f>IF(I4997="","",I4997+6)</f>
        <v/>
      </c>
      <c r="K4997" s="6">
        <f>IF(OR(A4997="",B4997=""),"",DATE(YEAR(B4997),MONTH(B4997),1))</f>
        <v/>
      </c>
      <c r="L4997" s="7">
        <f>IF(COUNTA(A4997,B4997)=0,"",IF(OR(A4997="",B4997=""),"Preencher CPF e entrada",IF(COUNTIFS($A$12:$A$5011,A4997,$B$12:$B$5011,B4997)&gt;1,"CPF + dia duplicado",IF(OR(AND(E4997&lt;&gt;"",E4997&lt;B4997),AND(F4997&lt;&gt;"",F4997&lt;B4997)),"Evento anterior à entrada",IF(AND(F4997&lt;&gt;"",E4997=""),"Conversa sem agendamento",IF(OR(E4997&gt;TODAY(),F4997&gt;TODAY()),"Verificar evento futuro","OK"))))))</f>
        <v/>
      </c>
    </row>
    <row r="4998" spans="9:12">
      <c r="I4998" s="5">
        <f>IF(OR(A4998="",B4998=""),"",B4998-WEEKDAY(B4998,2)+1)</f>
        <v/>
      </c>
      <c r="J4998" s="5">
        <f>IF(I4998="","",I4998+6)</f>
        <v/>
      </c>
      <c r="K4998" s="6">
        <f>IF(OR(A4998="",B4998=""),"",DATE(YEAR(B4998),MONTH(B4998),1))</f>
        <v/>
      </c>
      <c r="L4998" s="7">
        <f>IF(COUNTA(A4998,B4998)=0,"",IF(OR(A4998="",B4998=""),"Preencher CPF e entrada",IF(COUNTIFS($A$12:$A$5011,A4998,$B$12:$B$5011,B4998)&gt;1,"CPF + dia duplicado",IF(OR(AND(E4998&lt;&gt;"",E4998&lt;B4998),AND(F4998&lt;&gt;"",F4998&lt;B4998)),"Evento anterior à entrada",IF(AND(F4998&lt;&gt;"",E4998=""),"Conversa sem agendamento",IF(OR(E4998&gt;TODAY(),F4998&gt;TODAY()),"Verificar evento futuro","OK"))))))</f>
        <v/>
      </c>
    </row>
    <row r="4999" spans="9:12">
      <c r="I4999" s="5">
        <f>IF(OR(A4999="",B4999=""),"",B4999-WEEKDAY(B4999,2)+1)</f>
        <v/>
      </c>
      <c r="J4999" s="5">
        <f>IF(I4999="","",I4999+6)</f>
        <v/>
      </c>
      <c r="K4999" s="6">
        <f>IF(OR(A4999="",B4999=""),"",DATE(YEAR(B4999),MONTH(B4999),1))</f>
        <v/>
      </c>
      <c r="L4999" s="7">
        <f>IF(COUNTA(A4999,B4999)=0,"",IF(OR(A4999="",B4999=""),"Preencher CPF e entrada",IF(COUNTIFS($A$12:$A$5011,A4999,$B$12:$B$5011,B4999)&gt;1,"CPF + dia duplicado",IF(OR(AND(E4999&lt;&gt;"",E4999&lt;B4999),AND(F4999&lt;&gt;"",F4999&lt;B4999)),"Evento anterior à entrada",IF(AND(F4999&lt;&gt;"",E4999=""),"Conversa sem agendamento",IF(OR(E4999&gt;TODAY(),F4999&gt;TODAY()),"Verificar evento futuro","OK"))))))</f>
        <v/>
      </c>
    </row>
    <row r="5000" spans="9:12">
      <c r="I5000" s="5">
        <f>IF(OR(A5000="",B5000=""),"",B5000-WEEKDAY(B5000,2)+1)</f>
        <v/>
      </c>
      <c r="J5000" s="5">
        <f>IF(I5000="","",I5000+6)</f>
        <v/>
      </c>
      <c r="K5000" s="6">
        <f>IF(OR(A5000="",B5000=""),"",DATE(YEAR(B5000),MONTH(B5000),1))</f>
        <v/>
      </c>
      <c r="L5000" s="7">
        <f>IF(COUNTA(A5000,B5000)=0,"",IF(OR(A5000="",B5000=""),"Preencher CPF e entrada",IF(COUNTIFS($A$12:$A$5011,A5000,$B$12:$B$5011,B5000)&gt;1,"CPF + dia duplicado",IF(OR(AND(E5000&lt;&gt;"",E5000&lt;B5000),AND(F5000&lt;&gt;"",F5000&lt;B5000)),"Evento anterior à entrada",IF(AND(F5000&lt;&gt;"",E5000=""),"Conversa sem agendamento",IF(OR(E5000&gt;TODAY(),F5000&gt;TODAY()),"Verificar evento futuro","OK"))))))</f>
        <v/>
      </c>
    </row>
    <row r="5001" spans="9:12">
      <c r="I5001" s="5">
        <f>IF(OR(A5001="",B5001=""),"",B5001-WEEKDAY(B5001,2)+1)</f>
        <v/>
      </c>
      <c r="J5001" s="5">
        <f>IF(I5001="","",I5001+6)</f>
        <v/>
      </c>
      <c r="K5001" s="6">
        <f>IF(OR(A5001="",B5001=""),"",DATE(YEAR(B5001),MONTH(B5001),1))</f>
        <v/>
      </c>
      <c r="L5001" s="7">
        <f>IF(COUNTA(A5001,B5001)=0,"",IF(OR(A5001="",B5001=""),"Preencher CPF e entrada",IF(COUNTIFS($A$12:$A$5011,A5001,$B$12:$B$5011,B5001)&gt;1,"CPF + dia duplicado",IF(OR(AND(E5001&lt;&gt;"",E5001&lt;B5001),AND(F5001&lt;&gt;"",F5001&lt;B5001)),"Evento anterior à entrada",IF(AND(F5001&lt;&gt;"",E5001=""),"Conversa sem agendamento",IF(OR(E5001&gt;TODAY(),F5001&gt;TODAY()),"Verificar evento futuro","OK"))))))</f>
        <v/>
      </c>
    </row>
    <row r="5002" spans="9:12">
      <c r="I5002" s="5">
        <f>IF(OR(A5002="",B5002=""),"",B5002-WEEKDAY(B5002,2)+1)</f>
        <v/>
      </c>
      <c r="J5002" s="5">
        <f>IF(I5002="","",I5002+6)</f>
        <v/>
      </c>
      <c r="K5002" s="6">
        <f>IF(OR(A5002="",B5002=""),"",DATE(YEAR(B5002),MONTH(B5002),1))</f>
        <v/>
      </c>
      <c r="L5002" s="7">
        <f>IF(COUNTA(A5002,B5002)=0,"",IF(OR(A5002="",B5002=""),"Preencher CPF e entrada",IF(COUNTIFS($A$12:$A$5011,A5002,$B$12:$B$5011,B5002)&gt;1,"CPF + dia duplicado",IF(OR(AND(E5002&lt;&gt;"",E5002&lt;B5002),AND(F5002&lt;&gt;"",F5002&lt;B5002)),"Evento anterior à entrada",IF(AND(F5002&lt;&gt;"",E5002=""),"Conversa sem agendamento",IF(OR(E5002&gt;TODAY(),F5002&gt;TODAY()),"Verificar evento futuro","OK"))))))</f>
        <v/>
      </c>
    </row>
    <row r="5003" spans="9:12">
      <c r="I5003" s="5">
        <f>IF(OR(A5003="",B5003=""),"",B5003-WEEKDAY(B5003,2)+1)</f>
        <v/>
      </c>
      <c r="J5003" s="5">
        <f>IF(I5003="","",I5003+6)</f>
        <v/>
      </c>
      <c r="K5003" s="6">
        <f>IF(OR(A5003="",B5003=""),"",DATE(YEAR(B5003),MONTH(B5003),1))</f>
        <v/>
      </c>
      <c r="L5003" s="7">
        <f>IF(COUNTA(A5003,B5003)=0,"",IF(OR(A5003="",B5003=""),"Preencher CPF e entrada",IF(COUNTIFS($A$12:$A$5011,A5003,$B$12:$B$5011,B5003)&gt;1,"CPF + dia duplicado",IF(OR(AND(E5003&lt;&gt;"",E5003&lt;B5003),AND(F5003&lt;&gt;"",F5003&lt;B5003)),"Evento anterior à entrada",IF(AND(F5003&lt;&gt;"",E5003=""),"Conversa sem agendamento",IF(OR(E5003&gt;TODAY(),F5003&gt;TODAY()),"Verificar evento futuro","OK"))))))</f>
        <v/>
      </c>
    </row>
    <row r="5004" spans="9:12">
      <c r="I5004" s="5">
        <f>IF(OR(A5004="",B5004=""),"",B5004-WEEKDAY(B5004,2)+1)</f>
        <v/>
      </c>
      <c r="J5004" s="5">
        <f>IF(I5004="","",I5004+6)</f>
        <v/>
      </c>
      <c r="K5004" s="6">
        <f>IF(OR(A5004="",B5004=""),"",DATE(YEAR(B5004),MONTH(B5004),1))</f>
        <v/>
      </c>
      <c r="L5004" s="7">
        <f>IF(COUNTA(A5004,B5004)=0,"",IF(OR(A5004="",B5004=""),"Preencher CPF e entrada",IF(COUNTIFS($A$12:$A$5011,A5004,$B$12:$B$5011,B5004)&gt;1,"CPF + dia duplicado",IF(OR(AND(E5004&lt;&gt;"",E5004&lt;B5004),AND(F5004&lt;&gt;"",F5004&lt;B5004)),"Evento anterior à entrada",IF(AND(F5004&lt;&gt;"",E5004=""),"Conversa sem agendamento",IF(OR(E5004&gt;TODAY(),F5004&gt;TODAY()),"Verificar evento futuro","OK"))))))</f>
        <v/>
      </c>
    </row>
    <row r="5005" spans="9:12">
      <c r="I5005" s="5">
        <f>IF(OR(A5005="",B5005=""),"",B5005-WEEKDAY(B5005,2)+1)</f>
        <v/>
      </c>
      <c r="J5005" s="5">
        <f>IF(I5005="","",I5005+6)</f>
        <v/>
      </c>
      <c r="K5005" s="6">
        <f>IF(OR(A5005="",B5005=""),"",DATE(YEAR(B5005),MONTH(B5005),1))</f>
        <v/>
      </c>
      <c r="L5005" s="7">
        <f>IF(COUNTA(A5005,B5005)=0,"",IF(OR(A5005="",B5005=""),"Preencher CPF e entrada",IF(COUNTIFS($A$12:$A$5011,A5005,$B$12:$B$5011,B5005)&gt;1,"CPF + dia duplicado",IF(OR(AND(E5005&lt;&gt;"",E5005&lt;B5005),AND(F5005&lt;&gt;"",F5005&lt;B5005)),"Evento anterior à entrada",IF(AND(F5005&lt;&gt;"",E5005=""),"Conversa sem agendamento",IF(OR(E5005&gt;TODAY(),F5005&gt;TODAY()),"Verificar evento futuro","OK"))))))</f>
        <v/>
      </c>
    </row>
    <row r="5006" spans="9:12">
      <c r="I5006" s="5">
        <f>IF(OR(A5006="",B5006=""),"",B5006-WEEKDAY(B5006,2)+1)</f>
        <v/>
      </c>
      <c r="J5006" s="5">
        <f>IF(I5006="","",I5006+6)</f>
        <v/>
      </c>
      <c r="K5006" s="6">
        <f>IF(OR(A5006="",B5006=""),"",DATE(YEAR(B5006),MONTH(B5006),1))</f>
        <v/>
      </c>
      <c r="L5006" s="7">
        <f>IF(COUNTA(A5006,B5006)=0,"",IF(OR(A5006="",B5006=""),"Preencher CPF e entrada",IF(COUNTIFS($A$12:$A$5011,A5006,$B$12:$B$5011,B5006)&gt;1,"CPF + dia duplicado",IF(OR(AND(E5006&lt;&gt;"",E5006&lt;B5006),AND(F5006&lt;&gt;"",F5006&lt;B5006)),"Evento anterior à entrada",IF(AND(F5006&lt;&gt;"",E5006=""),"Conversa sem agendamento",IF(OR(E5006&gt;TODAY(),F5006&gt;TODAY()),"Verificar evento futuro","OK"))))))</f>
        <v/>
      </c>
    </row>
    <row r="5007" spans="9:12">
      <c r="I5007" s="5">
        <f>IF(OR(A5007="",B5007=""),"",B5007-WEEKDAY(B5007,2)+1)</f>
        <v/>
      </c>
      <c r="J5007" s="5">
        <f>IF(I5007="","",I5007+6)</f>
        <v/>
      </c>
      <c r="K5007" s="6">
        <f>IF(OR(A5007="",B5007=""),"",DATE(YEAR(B5007),MONTH(B5007),1))</f>
        <v/>
      </c>
      <c r="L5007" s="7">
        <f>IF(COUNTA(A5007,B5007)=0,"",IF(OR(A5007="",B5007=""),"Preencher CPF e entrada",IF(COUNTIFS($A$12:$A$5011,A5007,$B$12:$B$5011,B5007)&gt;1,"CPF + dia duplicado",IF(OR(AND(E5007&lt;&gt;"",E5007&lt;B5007),AND(F5007&lt;&gt;"",F5007&lt;B5007)),"Evento anterior à entrada",IF(AND(F5007&lt;&gt;"",E5007=""),"Conversa sem agendamento",IF(OR(E5007&gt;TODAY(),F5007&gt;TODAY()),"Verificar evento futuro","OK"))))))</f>
        <v/>
      </c>
    </row>
    <row r="5008" spans="9:12">
      <c r="I5008" s="5">
        <f>IF(OR(A5008="",B5008=""),"",B5008-WEEKDAY(B5008,2)+1)</f>
        <v/>
      </c>
      <c r="J5008" s="5">
        <f>IF(I5008="","",I5008+6)</f>
        <v/>
      </c>
      <c r="K5008" s="6">
        <f>IF(OR(A5008="",B5008=""),"",DATE(YEAR(B5008),MONTH(B5008),1))</f>
        <v/>
      </c>
      <c r="L5008" s="7">
        <f>IF(COUNTA(A5008,B5008)=0,"",IF(OR(A5008="",B5008=""),"Preencher CPF e entrada",IF(COUNTIFS($A$12:$A$5011,A5008,$B$12:$B$5011,B5008)&gt;1,"CPF + dia duplicado",IF(OR(AND(E5008&lt;&gt;"",E5008&lt;B5008),AND(F5008&lt;&gt;"",F5008&lt;B5008)),"Evento anterior à entrada",IF(AND(F5008&lt;&gt;"",E5008=""),"Conversa sem agendamento",IF(OR(E5008&gt;TODAY(),F5008&gt;TODAY()),"Verificar evento futuro","OK"))))))</f>
        <v/>
      </c>
    </row>
    <row r="5009" spans="9:12">
      <c r="I5009" s="5">
        <f>IF(OR(A5009="",B5009=""),"",B5009-WEEKDAY(B5009,2)+1)</f>
        <v/>
      </c>
      <c r="J5009" s="5">
        <f>IF(I5009="","",I5009+6)</f>
        <v/>
      </c>
      <c r="K5009" s="6">
        <f>IF(OR(A5009="",B5009=""),"",DATE(YEAR(B5009),MONTH(B5009),1))</f>
        <v/>
      </c>
      <c r="L5009" s="7">
        <f>IF(COUNTA(A5009,B5009)=0,"",IF(OR(A5009="",B5009=""),"Preencher CPF e entrada",IF(COUNTIFS($A$12:$A$5011,A5009,$B$12:$B$5011,B5009)&gt;1,"CPF + dia duplicado",IF(OR(AND(E5009&lt;&gt;"",E5009&lt;B5009),AND(F5009&lt;&gt;"",F5009&lt;B5009)),"Evento anterior à entrada",IF(AND(F5009&lt;&gt;"",E5009=""),"Conversa sem agendamento",IF(OR(E5009&gt;TODAY(),F5009&gt;TODAY()),"Verificar evento futuro","OK"))))))</f>
        <v/>
      </c>
    </row>
    <row r="5010" spans="9:12">
      <c r="I5010" s="5">
        <f>IF(OR(A5010="",B5010=""),"",B5010-WEEKDAY(B5010,2)+1)</f>
        <v/>
      </c>
      <c r="J5010" s="5">
        <f>IF(I5010="","",I5010+6)</f>
        <v/>
      </c>
      <c r="K5010" s="6">
        <f>IF(OR(A5010="",B5010=""),"",DATE(YEAR(B5010),MONTH(B5010),1))</f>
        <v/>
      </c>
      <c r="L5010" s="7">
        <f>IF(COUNTA(A5010,B5010)=0,"",IF(OR(A5010="",B5010=""),"Preencher CPF e entrada",IF(COUNTIFS($A$12:$A$5011,A5010,$B$12:$B$5011,B5010)&gt;1,"CPF + dia duplicado",IF(OR(AND(E5010&lt;&gt;"",E5010&lt;B5010),AND(F5010&lt;&gt;"",F5010&lt;B5010)),"Evento anterior à entrada",IF(AND(F5010&lt;&gt;"",E5010=""),"Conversa sem agendamento",IF(OR(E5010&gt;TODAY(),F5010&gt;TODAY()),"Verificar evento futuro","OK"))))))</f>
        <v/>
      </c>
    </row>
    <row r="5011" spans="9:12">
      <c r="I5011" s="5">
        <f>IF(OR(A5011="",B5011=""),"",B5011-WEEKDAY(B5011,2)+1)</f>
        <v/>
      </c>
      <c r="J5011" s="5">
        <f>IF(I5011="","",I5011+6)</f>
        <v/>
      </c>
      <c r="K5011" s="6">
        <f>IF(OR(A5011="",B5011=""),"",DATE(YEAR(B5011),MONTH(B5011),1))</f>
        <v/>
      </c>
      <c r="L5011" s="7">
        <f>IF(COUNTA(A5011,B5011)=0,"",IF(OR(A5011="",B5011=""),"Preencher CPF e entrada",IF(COUNTIFS($A$12:$A$5011,A5011,$B$12:$B$5011,B5011)&gt;1,"CPF + dia duplicado",IF(OR(AND(E5011&lt;&gt;"",E5011&lt;B5011),AND(F5011&lt;&gt;"",F5011&lt;B5011)),"Evento anterior à entrada",IF(AND(F5011&lt;&gt;"",E5011=""),"Conversa sem agendamento",IF(OR(E5011&gt;TODAY(),F5011&gt;TODAY()),"Verificar evento futuro","OK"))))))</f>
        <v/>
      </c>
    </row>
  </sheetData>
  <mergeCells count="7">
    <mergeCell ref="A1:L2"/>
    <mergeCell ref="A3:L4"/>
    <mergeCell ref="A5:L5"/>
    <mergeCell ref="A6:L6"/>
    <mergeCell ref="A7:L7"/>
    <mergeCell ref="A8:L8"/>
    <mergeCell ref="A9:L9"/>
  </mergeCells>
  <conditionalFormatting sqref="L12:L5011">
    <cfRule type="expression" dxfId="7" priority="1">
      <formula>AND($L12&lt;&gt;"",$L12&lt;&gt;"OK")</formula>
    </cfRule>
  </conditionalFormatting>
  <dataValidations count="4">
    <dataValidation type="date" allowBlank="1" showInputMessage="1" showErrorMessage="1" errorTitle="Data inválida" error="Informe uma data entre 2000 e 2100." sqref="B12:B5011">
      <formula1>36526</formula1>
      <formula2>73415</formula2>
    </dataValidation>
    <dataValidation type="date" allowBlank="1" showInputMessage="1" showErrorMessage="1" sqref="E12:E5011">
      <formula1>36526</formula1>
      <formula2>73415</formula2>
    </dataValidation>
    <dataValidation type="date" allowBlank="1" showInputMessage="1" showErrorMessage="1" sqref="F12:F5011">
      <formula1>36526</formula1>
      <formula2>73415</formula2>
    </dataValidation>
    <dataValidation type="decimal" operator="greaterThanOrEqual" allowBlank="1" showInputMessage="1" showErrorMessage="1" error="Use minutos, com valor igual ou maior que zero." sqref="G12:G5011">
      <formula1>0</formula1>
    </dataValidation>
  </dataValidations>
  <pageMargins left="0.7" right="0.7" top="0.75" bottom="0.75" header="0.3" footer="0.3"/>
  <pageSetup paperSize="9" fitToHeight="0" orientation="landscape"/>
  <headerFooter>
    <oddFooter>&amp;LComercial e Captação WPP&amp;R&amp;P / &amp;N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68"/>
  <sheetViews>
    <sheetView showGridLines="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2" width="18.7109375" customWidth="1"/>
    <col min="3" max="5" width="20.7109375" customWidth="1"/>
    <col min="6" max="7" width="24.7109375" customWidth="1"/>
    <col min="8" max="10" width="19.7109375" customWidth="1"/>
  </cols>
  <sheetData>
    <row r="1" spans="1:10" ht="24" customHeight="1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</row>
    <row r="2" spans="1:10" ht="14" customHeight="1">
      <c r="A2" s="8"/>
      <c r="B2" s="8"/>
      <c r="C2" s="8"/>
      <c r="D2" s="8"/>
      <c r="E2" s="8"/>
      <c r="F2" s="8"/>
      <c r="G2" s="8"/>
      <c r="H2" s="8"/>
      <c r="I2" s="8"/>
      <c r="J2" s="8"/>
    </row>
    <row r="3" spans="1:10">
      <c r="A3" s="9" t="s">
        <v>20</v>
      </c>
      <c r="B3" s="9"/>
      <c r="C3" s="9"/>
      <c r="D3" s="9"/>
      <c r="E3" s="9"/>
      <c r="F3" s="9"/>
      <c r="G3" s="9"/>
      <c r="H3" s="9"/>
      <c r="I3" s="9"/>
      <c r="J3" s="9"/>
    </row>
    <row r="4" spans="1:10">
      <c r="A4" s="9"/>
      <c r="B4" s="9"/>
      <c r="C4" s="9"/>
      <c r="D4" s="9"/>
      <c r="E4" s="9"/>
      <c r="F4" s="9"/>
      <c r="G4" s="9"/>
      <c r="H4" s="9"/>
      <c r="I4" s="9"/>
      <c r="J4" s="9"/>
    </row>
    <row r="5" spans="1:10">
      <c r="A5" s="9" t="s">
        <v>21</v>
      </c>
      <c r="B5" s="10">
        <v>2026</v>
      </c>
      <c r="C5" s="9" t="s">
        <v>22</v>
      </c>
      <c r="D5" s="9"/>
      <c r="E5" s="9"/>
      <c r="F5" s="9"/>
      <c r="G5" s="9"/>
      <c r="H5" s="9"/>
      <c r="I5" s="9"/>
      <c r="J5" s="9"/>
    </row>
    <row r="6" spans="1:10">
      <c r="A6" s="9" t="s">
        <v>23</v>
      </c>
      <c r="B6" s="9"/>
      <c r="C6" s="9"/>
      <c r="D6" s="9"/>
      <c r="E6" s="9"/>
      <c r="F6" s="9"/>
      <c r="G6" s="9"/>
      <c r="H6" s="9"/>
      <c r="I6" s="9"/>
      <c r="J6" s="9"/>
    </row>
    <row r="7" spans="1:10">
      <c r="A7" s="9" t="s">
        <v>24</v>
      </c>
      <c r="B7" s="9"/>
      <c r="C7" s="9"/>
      <c r="D7" s="9"/>
      <c r="E7" s="9"/>
      <c r="F7" s="9"/>
      <c r="G7" s="9"/>
      <c r="H7" s="9"/>
      <c r="I7" s="9"/>
      <c r="J7" s="9"/>
    </row>
    <row r="8" spans="1:10">
      <c r="A8" s="9" t="s">
        <v>25</v>
      </c>
      <c r="B8" s="9"/>
      <c r="C8" s="9"/>
      <c r="D8" s="9"/>
      <c r="E8" s="9"/>
      <c r="F8" s="9"/>
      <c r="G8" s="9"/>
      <c r="H8" s="9"/>
      <c r="I8" s="9"/>
      <c r="J8" s="9"/>
    </row>
    <row r="11" spans="1:10" ht="44" customHeight="1">
      <c r="A11" s="11" t="s">
        <v>26</v>
      </c>
      <c r="B11" s="11" t="s">
        <v>27</v>
      </c>
      <c r="C11" s="11" t="s">
        <v>28</v>
      </c>
      <c r="D11" s="11" t="s">
        <v>29</v>
      </c>
      <c r="E11" s="11" t="s">
        <v>30</v>
      </c>
      <c r="F11" s="11" t="s">
        <v>31</v>
      </c>
      <c r="G11" s="11" t="s">
        <v>32</v>
      </c>
      <c r="H11" s="11" t="s">
        <v>33</v>
      </c>
      <c r="I11" s="11" t="s">
        <v>34</v>
      </c>
      <c r="J11" s="11" t="s">
        <v>35</v>
      </c>
    </row>
    <row r="12" spans="1:10">
      <c r="A12" s="5">
        <f>DATE($B$5,1,1)-WEEKDAY(DATE($B$5,1,1),2)+1</f>
        <v>0</v>
      </c>
      <c r="B12" s="5">
        <f>A12+6</f>
        <v>0</v>
      </c>
      <c r="C12" s="12">
        <f>COUNTIFS(Leads[CPF],"&lt;&gt;",Leads[Data de entrada],"&gt;="&amp;A12,Leads[Data de entrada],"&lt;"&amp;(B12+1))</f>
        <v>0</v>
      </c>
      <c r="D12" s="12">
        <f>COUNTIFS(Leads[CPF],"&lt;&gt;",Leads[Data de entrada],"&gt;="&amp;A12,Leads[Data de entrada],"&lt;"&amp;(B12+1),Leads[Data do agendamento],"&gt;0")</f>
        <v>0</v>
      </c>
      <c r="E12" s="12">
        <f>COUNTIFS(Leads[CPF],"&lt;&gt;",Leads[Data de entrada],"&gt;="&amp;A12,Leads[Data de entrada],"&lt;"&amp;(B12+1),Leads[Data da conversa presencial executada],"&gt;0")</f>
        <v>0</v>
      </c>
      <c r="F12" s="13">
        <f>IFERROR(AVERAGEIFS(Leads[Tempo de resposta (min)],Leads[CPF],"&lt;&gt;",Leads[Data de entrada],"&gt;="&amp;A12,Leads[Data de entrada],"&lt;"&amp;(B12+1),Leads[Tempo de resposta (min)],"&gt;=0",Leads[Tempo de resposta (min)],"&lt;&gt;"),"")</f>
        <v/>
      </c>
      <c r="G12" s="12">
        <f>COUNTIFS(Leads[CPF],"&lt;&gt;",Leads[Data de entrada],"&gt;="&amp;A12,Leads[Data de entrada],"&lt;"&amp;(B12+1),Leads[Tempo de resposta (min)],"&gt;=0",Leads[Tempo de resposta (min)],"&lt;&gt;")</f>
        <v>0</v>
      </c>
      <c r="H12" s="14">
        <f>IFERROR(D12/C12,"")</f>
        <v/>
      </c>
      <c r="I12" s="14">
        <f>IFERROR(E12/D12,"")</f>
        <v/>
      </c>
      <c r="J12" s="14">
        <f>IFERROR(E12/C12,"")</f>
        <v/>
      </c>
    </row>
    <row r="13" spans="1:10">
      <c r="A13" s="5">
        <f>A12+7</f>
        <v>0</v>
      </c>
      <c r="B13" s="5">
        <f>A13+6</f>
        <v>0</v>
      </c>
      <c r="C13" s="12">
        <f>COUNTIFS(Leads[CPF],"&lt;&gt;",Leads[Data de entrada],"&gt;="&amp;A13,Leads[Data de entrada],"&lt;"&amp;(B13+1))</f>
        <v>0</v>
      </c>
      <c r="D13" s="12">
        <f>COUNTIFS(Leads[CPF],"&lt;&gt;",Leads[Data de entrada],"&gt;="&amp;A13,Leads[Data de entrada],"&lt;"&amp;(B13+1),Leads[Data do agendamento],"&gt;0")</f>
        <v>0</v>
      </c>
      <c r="E13" s="12">
        <f>COUNTIFS(Leads[CPF],"&lt;&gt;",Leads[Data de entrada],"&gt;="&amp;A13,Leads[Data de entrada],"&lt;"&amp;(B13+1),Leads[Data da conversa presencial executada],"&gt;0")</f>
        <v>0</v>
      </c>
      <c r="F13" s="13">
        <f>IFERROR(AVERAGEIFS(Leads[Tempo de resposta (min)],Leads[CPF],"&lt;&gt;",Leads[Data de entrada],"&gt;="&amp;A13,Leads[Data de entrada],"&lt;"&amp;(B13+1),Leads[Tempo de resposta (min)],"&gt;=0",Leads[Tempo de resposta (min)],"&lt;&gt;"),"")</f>
        <v/>
      </c>
      <c r="G13" s="12">
        <f>COUNTIFS(Leads[CPF],"&lt;&gt;",Leads[Data de entrada],"&gt;="&amp;A13,Leads[Data de entrada],"&lt;"&amp;(B13+1),Leads[Tempo de resposta (min)],"&gt;=0",Leads[Tempo de resposta (min)],"&lt;&gt;")</f>
        <v>0</v>
      </c>
      <c r="H13" s="14">
        <f>IFERROR(D13/C13,"")</f>
        <v/>
      </c>
      <c r="I13" s="14">
        <f>IFERROR(E13/D13,"")</f>
        <v/>
      </c>
      <c r="J13" s="14">
        <f>IFERROR(E13/C13,"")</f>
        <v/>
      </c>
    </row>
    <row r="14" spans="1:10">
      <c r="A14" s="5">
        <f>A13+7</f>
        <v>0</v>
      </c>
      <c r="B14" s="5">
        <f>A14+6</f>
        <v>0</v>
      </c>
      <c r="C14" s="12">
        <f>COUNTIFS(Leads[CPF],"&lt;&gt;",Leads[Data de entrada],"&gt;="&amp;A14,Leads[Data de entrada],"&lt;"&amp;(B14+1))</f>
        <v>0</v>
      </c>
      <c r="D14" s="12">
        <f>COUNTIFS(Leads[CPF],"&lt;&gt;",Leads[Data de entrada],"&gt;="&amp;A14,Leads[Data de entrada],"&lt;"&amp;(B14+1),Leads[Data do agendamento],"&gt;0")</f>
        <v>0</v>
      </c>
      <c r="E14" s="12">
        <f>COUNTIFS(Leads[CPF],"&lt;&gt;",Leads[Data de entrada],"&gt;="&amp;A14,Leads[Data de entrada],"&lt;"&amp;(B14+1),Leads[Data da conversa presencial executada],"&gt;0")</f>
        <v>0</v>
      </c>
      <c r="F14" s="13">
        <f>IFERROR(AVERAGEIFS(Leads[Tempo de resposta (min)],Leads[CPF],"&lt;&gt;",Leads[Data de entrada],"&gt;="&amp;A14,Leads[Data de entrada],"&lt;"&amp;(B14+1),Leads[Tempo de resposta (min)],"&gt;=0",Leads[Tempo de resposta (min)],"&lt;&gt;"),"")</f>
        <v/>
      </c>
      <c r="G14" s="12">
        <f>COUNTIFS(Leads[CPF],"&lt;&gt;",Leads[Data de entrada],"&gt;="&amp;A14,Leads[Data de entrada],"&lt;"&amp;(B14+1),Leads[Tempo de resposta (min)],"&gt;=0",Leads[Tempo de resposta (min)],"&lt;&gt;")</f>
        <v>0</v>
      </c>
      <c r="H14" s="14">
        <f>IFERROR(D14/C14,"")</f>
        <v/>
      </c>
      <c r="I14" s="14">
        <f>IFERROR(E14/D14,"")</f>
        <v/>
      </c>
      <c r="J14" s="14">
        <f>IFERROR(E14/C14,"")</f>
        <v/>
      </c>
    </row>
    <row r="15" spans="1:10">
      <c r="A15" s="5">
        <f>A14+7</f>
        <v>0</v>
      </c>
      <c r="B15" s="5">
        <f>A15+6</f>
        <v>0</v>
      </c>
      <c r="C15" s="12">
        <f>COUNTIFS(Leads[CPF],"&lt;&gt;",Leads[Data de entrada],"&gt;="&amp;A15,Leads[Data de entrada],"&lt;"&amp;(B15+1))</f>
        <v>0</v>
      </c>
      <c r="D15" s="12">
        <f>COUNTIFS(Leads[CPF],"&lt;&gt;",Leads[Data de entrada],"&gt;="&amp;A15,Leads[Data de entrada],"&lt;"&amp;(B15+1),Leads[Data do agendamento],"&gt;0")</f>
        <v>0</v>
      </c>
      <c r="E15" s="12">
        <f>COUNTIFS(Leads[CPF],"&lt;&gt;",Leads[Data de entrada],"&gt;="&amp;A15,Leads[Data de entrada],"&lt;"&amp;(B15+1),Leads[Data da conversa presencial executada],"&gt;0")</f>
        <v>0</v>
      </c>
      <c r="F15" s="13">
        <f>IFERROR(AVERAGEIFS(Leads[Tempo de resposta (min)],Leads[CPF],"&lt;&gt;",Leads[Data de entrada],"&gt;="&amp;A15,Leads[Data de entrada],"&lt;"&amp;(B15+1),Leads[Tempo de resposta (min)],"&gt;=0",Leads[Tempo de resposta (min)],"&lt;&gt;"),"")</f>
        <v/>
      </c>
      <c r="G15" s="12">
        <f>COUNTIFS(Leads[CPF],"&lt;&gt;",Leads[Data de entrada],"&gt;="&amp;A15,Leads[Data de entrada],"&lt;"&amp;(B15+1),Leads[Tempo de resposta (min)],"&gt;=0",Leads[Tempo de resposta (min)],"&lt;&gt;")</f>
        <v>0</v>
      </c>
      <c r="H15" s="14">
        <f>IFERROR(D15/C15,"")</f>
        <v/>
      </c>
      <c r="I15" s="14">
        <f>IFERROR(E15/D15,"")</f>
        <v/>
      </c>
      <c r="J15" s="14">
        <f>IFERROR(E15/C15,"")</f>
        <v/>
      </c>
    </row>
    <row r="16" spans="1:10">
      <c r="A16" s="5">
        <f>A15+7</f>
        <v>0</v>
      </c>
      <c r="B16" s="5">
        <f>A16+6</f>
        <v>0</v>
      </c>
      <c r="C16" s="12">
        <f>COUNTIFS(Leads[CPF],"&lt;&gt;",Leads[Data de entrada],"&gt;="&amp;A16,Leads[Data de entrada],"&lt;"&amp;(B16+1))</f>
        <v>0</v>
      </c>
      <c r="D16" s="12">
        <f>COUNTIFS(Leads[CPF],"&lt;&gt;",Leads[Data de entrada],"&gt;="&amp;A16,Leads[Data de entrada],"&lt;"&amp;(B16+1),Leads[Data do agendamento],"&gt;0")</f>
        <v>0</v>
      </c>
      <c r="E16" s="12">
        <f>COUNTIFS(Leads[CPF],"&lt;&gt;",Leads[Data de entrada],"&gt;="&amp;A16,Leads[Data de entrada],"&lt;"&amp;(B16+1),Leads[Data da conversa presencial executada],"&gt;0")</f>
        <v>0</v>
      </c>
      <c r="F16" s="13">
        <f>IFERROR(AVERAGEIFS(Leads[Tempo de resposta (min)],Leads[CPF],"&lt;&gt;",Leads[Data de entrada],"&gt;="&amp;A16,Leads[Data de entrada],"&lt;"&amp;(B16+1),Leads[Tempo de resposta (min)],"&gt;=0",Leads[Tempo de resposta (min)],"&lt;&gt;"),"")</f>
        <v/>
      </c>
      <c r="G16" s="12">
        <f>COUNTIFS(Leads[CPF],"&lt;&gt;",Leads[Data de entrada],"&gt;="&amp;A16,Leads[Data de entrada],"&lt;"&amp;(B16+1),Leads[Tempo de resposta (min)],"&gt;=0",Leads[Tempo de resposta (min)],"&lt;&gt;")</f>
        <v>0</v>
      </c>
      <c r="H16" s="14">
        <f>IFERROR(D16/C16,"")</f>
        <v/>
      </c>
      <c r="I16" s="14">
        <f>IFERROR(E16/D16,"")</f>
        <v/>
      </c>
      <c r="J16" s="14">
        <f>IFERROR(E16/C16,"")</f>
        <v/>
      </c>
    </row>
    <row r="17" spans="1:10">
      <c r="A17" s="5">
        <f>A16+7</f>
        <v>0</v>
      </c>
      <c r="B17" s="5">
        <f>A17+6</f>
        <v>0</v>
      </c>
      <c r="C17" s="12">
        <f>COUNTIFS(Leads[CPF],"&lt;&gt;",Leads[Data de entrada],"&gt;="&amp;A17,Leads[Data de entrada],"&lt;"&amp;(B17+1))</f>
        <v>0</v>
      </c>
      <c r="D17" s="12">
        <f>COUNTIFS(Leads[CPF],"&lt;&gt;",Leads[Data de entrada],"&gt;="&amp;A17,Leads[Data de entrada],"&lt;"&amp;(B17+1),Leads[Data do agendamento],"&gt;0")</f>
        <v>0</v>
      </c>
      <c r="E17" s="12">
        <f>COUNTIFS(Leads[CPF],"&lt;&gt;",Leads[Data de entrada],"&gt;="&amp;A17,Leads[Data de entrada],"&lt;"&amp;(B17+1),Leads[Data da conversa presencial executada],"&gt;0")</f>
        <v>0</v>
      </c>
      <c r="F17" s="13">
        <f>IFERROR(AVERAGEIFS(Leads[Tempo de resposta (min)],Leads[CPF],"&lt;&gt;",Leads[Data de entrada],"&gt;="&amp;A17,Leads[Data de entrada],"&lt;"&amp;(B17+1),Leads[Tempo de resposta (min)],"&gt;=0",Leads[Tempo de resposta (min)],"&lt;&gt;"),"")</f>
        <v/>
      </c>
      <c r="G17" s="12">
        <f>COUNTIFS(Leads[CPF],"&lt;&gt;",Leads[Data de entrada],"&gt;="&amp;A17,Leads[Data de entrada],"&lt;"&amp;(B17+1),Leads[Tempo de resposta (min)],"&gt;=0",Leads[Tempo de resposta (min)],"&lt;&gt;")</f>
        <v>0</v>
      </c>
      <c r="H17" s="14">
        <f>IFERROR(D17/C17,"")</f>
        <v/>
      </c>
      <c r="I17" s="14">
        <f>IFERROR(E17/D17,"")</f>
        <v/>
      </c>
      <c r="J17" s="14">
        <f>IFERROR(E17/C17,"")</f>
        <v/>
      </c>
    </row>
    <row r="18" spans="1:10">
      <c r="A18" s="5">
        <f>A17+7</f>
        <v>0</v>
      </c>
      <c r="B18" s="5">
        <f>A18+6</f>
        <v>0</v>
      </c>
      <c r="C18" s="12">
        <f>COUNTIFS(Leads[CPF],"&lt;&gt;",Leads[Data de entrada],"&gt;="&amp;A18,Leads[Data de entrada],"&lt;"&amp;(B18+1))</f>
        <v>0</v>
      </c>
      <c r="D18" s="12">
        <f>COUNTIFS(Leads[CPF],"&lt;&gt;",Leads[Data de entrada],"&gt;="&amp;A18,Leads[Data de entrada],"&lt;"&amp;(B18+1),Leads[Data do agendamento],"&gt;0")</f>
        <v>0</v>
      </c>
      <c r="E18" s="12">
        <f>COUNTIFS(Leads[CPF],"&lt;&gt;",Leads[Data de entrada],"&gt;="&amp;A18,Leads[Data de entrada],"&lt;"&amp;(B18+1),Leads[Data da conversa presencial executada],"&gt;0")</f>
        <v>0</v>
      </c>
      <c r="F18" s="13">
        <f>IFERROR(AVERAGEIFS(Leads[Tempo de resposta (min)],Leads[CPF],"&lt;&gt;",Leads[Data de entrada],"&gt;="&amp;A18,Leads[Data de entrada],"&lt;"&amp;(B18+1),Leads[Tempo de resposta (min)],"&gt;=0",Leads[Tempo de resposta (min)],"&lt;&gt;"),"")</f>
        <v/>
      </c>
      <c r="G18" s="12">
        <f>COUNTIFS(Leads[CPF],"&lt;&gt;",Leads[Data de entrada],"&gt;="&amp;A18,Leads[Data de entrada],"&lt;"&amp;(B18+1),Leads[Tempo de resposta (min)],"&gt;=0",Leads[Tempo de resposta (min)],"&lt;&gt;")</f>
        <v>0</v>
      </c>
      <c r="H18" s="14">
        <f>IFERROR(D18/C18,"")</f>
        <v/>
      </c>
      <c r="I18" s="14">
        <f>IFERROR(E18/D18,"")</f>
        <v/>
      </c>
      <c r="J18" s="14">
        <f>IFERROR(E18/C18,"")</f>
        <v/>
      </c>
    </row>
    <row r="19" spans="1:10">
      <c r="A19" s="5">
        <f>A18+7</f>
        <v>0</v>
      </c>
      <c r="B19" s="5">
        <f>A19+6</f>
        <v>0</v>
      </c>
      <c r="C19" s="12">
        <f>COUNTIFS(Leads[CPF],"&lt;&gt;",Leads[Data de entrada],"&gt;="&amp;A19,Leads[Data de entrada],"&lt;"&amp;(B19+1))</f>
        <v>0</v>
      </c>
      <c r="D19" s="12">
        <f>COUNTIFS(Leads[CPF],"&lt;&gt;",Leads[Data de entrada],"&gt;="&amp;A19,Leads[Data de entrada],"&lt;"&amp;(B19+1),Leads[Data do agendamento],"&gt;0")</f>
        <v>0</v>
      </c>
      <c r="E19" s="12">
        <f>COUNTIFS(Leads[CPF],"&lt;&gt;",Leads[Data de entrada],"&gt;="&amp;A19,Leads[Data de entrada],"&lt;"&amp;(B19+1),Leads[Data da conversa presencial executada],"&gt;0")</f>
        <v>0</v>
      </c>
      <c r="F19" s="13">
        <f>IFERROR(AVERAGEIFS(Leads[Tempo de resposta (min)],Leads[CPF],"&lt;&gt;",Leads[Data de entrada],"&gt;="&amp;A19,Leads[Data de entrada],"&lt;"&amp;(B19+1),Leads[Tempo de resposta (min)],"&gt;=0",Leads[Tempo de resposta (min)],"&lt;&gt;"),"")</f>
        <v/>
      </c>
      <c r="G19" s="12">
        <f>COUNTIFS(Leads[CPF],"&lt;&gt;",Leads[Data de entrada],"&gt;="&amp;A19,Leads[Data de entrada],"&lt;"&amp;(B19+1),Leads[Tempo de resposta (min)],"&gt;=0",Leads[Tempo de resposta (min)],"&lt;&gt;")</f>
        <v>0</v>
      </c>
      <c r="H19" s="14">
        <f>IFERROR(D19/C19,"")</f>
        <v/>
      </c>
      <c r="I19" s="14">
        <f>IFERROR(E19/D19,"")</f>
        <v/>
      </c>
      <c r="J19" s="14">
        <f>IFERROR(E19/C19,"")</f>
        <v/>
      </c>
    </row>
    <row r="20" spans="1:10">
      <c r="A20" s="5">
        <f>A19+7</f>
        <v>0</v>
      </c>
      <c r="B20" s="5">
        <f>A20+6</f>
        <v>0</v>
      </c>
      <c r="C20" s="12">
        <f>COUNTIFS(Leads[CPF],"&lt;&gt;",Leads[Data de entrada],"&gt;="&amp;A20,Leads[Data de entrada],"&lt;"&amp;(B20+1))</f>
        <v>0</v>
      </c>
      <c r="D20" s="12">
        <f>COUNTIFS(Leads[CPF],"&lt;&gt;",Leads[Data de entrada],"&gt;="&amp;A20,Leads[Data de entrada],"&lt;"&amp;(B20+1),Leads[Data do agendamento],"&gt;0")</f>
        <v>0</v>
      </c>
      <c r="E20" s="12">
        <f>COUNTIFS(Leads[CPF],"&lt;&gt;",Leads[Data de entrada],"&gt;="&amp;A20,Leads[Data de entrada],"&lt;"&amp;(B20+1),Leads[Data da conversa presencial executada],"&gt;0")</f>
        <v>0</v>
      </c>
      <c r="F20" s="13">
        <f>IFERROR(AVERAGEIFS(Leads[Tempo de resposta (min)],Leads[CPF],"&lt;&gt;",Leads[Data de entrada],"&gt;="&amp;A20,Leads[Data de entrada],"&lt;"&amp;(B20+1),Leads[Tempo de resposta (min)],"&gt;=0",Leads[Tempo de resposta (min)],"&lt;&gt;"),"")</f>
        <v/>
      </c>
      <c r="G20" s="12">
        <f>COUNTIFS(Leads[CPF],"&lt;&gt;",Leads[Data de entrada],"&gt;="&amp;A20,Leads[Data de entrada],"&lt;"&amp;(B20+1),Leads[Tempo de resposta (min)],"&gt;=0",Leads[Tempo de resposta (min)],"&lt;&gt;")</f>
        <v>0</v>
      </c>
      <c r="H20" s="14">
        <f>IFERROR(D20/C20,"")</f>
        <v/>
      </c>
      <c r="I20" s="14">
        <f>IFERROR(E20/D20,"")</f>
        <v/>
      </c>
      <c r="J20" s="14">
        <f>IFERROR(E20/C20,"")</f>
        <v/>
      </c>
    </row>
    <row r="21" spans="1:10">
      <c r="A21" s="5">
        <f>A20+7</f>
        <v>0</v>
      </c>
      <c r="B21" s="5">
        <f>A21+6</f>
        <v>0</v>
      </c>
      <c r="C21" s="12">
        <f>COUNTIFS(Leads[CPF],"&lt;&gt;",Leads[Data de entrada],"&gt;="&amp;A21,Leads[Data de entrada],"&lt;"&amp;(B21+1))</f>
        <v>0</v>
      </c>
      <c r="D21" s="12">
        <f>COUNTIFS(Leads[CPF],"&lt;&gt;",Leads[Data de entrada],"&gt;="&amp;A21,Leads[Data de entrada],"&lt;"&amp;(B21+1),Leads[Data do agendamento],"&gt;0")</f>
        <v>0</v>
      </c>
      <c r="E21" s="12">
        <f>COUNTIFS(Leads[CPF],"&lt;&gt;",Leads[Data de entrada],"&gt;="&amp;A21,Leads[Data de entrada],"&lt;"&amp;(B21+1),Leads[Data da conversa presencial executada],"&gt;0")</f>
        <v>0</v>
      </c>
      <c r="F21" s="13">
        <f>IFERROR(AVERAGEIFS(Leads[Tempo de resposta (min)],Leads[CPF],"&lt;&gt;",Leads[Data de entrada],"&gt;="&amp;A21,Leads[Data de entrada],"&lt;"&amp;(B21+1),Leads[Tempo de resposta (min)],"&gt;=0",Leads[Tempo de resposta (min)],"&lt;&gt;"),"")</f>
        <v/>
      </c>
      <c r="G21" s="12">
        <f>COUNTIFS(Leads[CPF],"&lt;&gt;",Leads[Data de entrada],"&gt;="&amp;A21,Leads[Data de entrada],"&lt;"&amp;(B21+1),Leads[Tempo de resposta (min)],"&gt;=0",Leads[Tempo de resposta (min)],"&lt;&gt;")</f>
        <v>0</v>
      </c>
      <c r="H21" s="14">
        <f>IFERROR(D21/C21,"")</f>
        <v/>
      </c>
      <c r="I21" s="14">
        <f>IFERROR(E21/D21,"")</f>
        <v/>
      </c>
      <c r="J21" s="14">
        <f>IFERROR(E21/C21,"")</f>
        <v/>
      </c>
    </row>
    <row r="22" spans="1:10">
      <c r="A22" s="5">
        <f>A21+7</f>
        <v>0</v>
      </c>
      <c r="B22" s="5">
        <f>A22+6</f>
        <v>0</v>
      </c>
      <c r="C22" s="12">
        <f>COUNTIFS(Leads[CPF],"&lt;&gt;",Leads[Data de entrada],"&gt;="&amp;A22,Leads[Data de entrada],"&lt;"&amp;(B22+1))</f>
        <v>0</v>
      </c>
      <c r="D22" s="12">
        <f>COUNTIFS(Leads[CPF],"&lt;&gt;",Leads[Data de entrada],"&gt;="&amp;A22,Leads[Data de entrada],"&lt;"&amp;(B22+1),Leads[Data do agendamento],"&gt;0")</f>
        <v>0</v>
      </c>
      <c r="E22" s="12">
        <f>COUNTIFS(Leads[CPF],"&lt;&gt;",Leads[Data de entrada],"&gt;="&amp;A22,Leads[Data de entrada],"&lt;"&amp;(B22+1),Leads[Data da conversa presencial executada],"&gt;0")</f>
        <v>0</v>
      </c>
      <c r="F22" s="13">
        <f>IFERROR(AVERAGEIFS(Leads[Tempo de resposta (min)],Leads[CPF],"&lt;&gt;",Leads[Data de entrada],"&gt;="&amp;A22,Leads[Data de entrada],"&lt;"&amp;(B22+1),Leads[Tempo de resposta (min)],"&gt;=0",Leads[Tempo de resposta (min)],"&lt;&gt;"),"")</f>
        <v/>
      </c>
      <c r="G22" s="12">
        <f>COUNTIFS(Leads[CPF],"&lt;&gt;",Leads[Data de entrada],"&gt;="&amp;A22,Leads[Data de entrada],"&lt;"&amp;(B22+1),Leads[Tempo de resposta (min)],"&gt;=0",Leads[Tempo de resposta (min)],"&lt;&gt;")</f>
        <v>0</v>
      </c>
      <c r="H22" s="14">
        <f>IFERROR(D22/C22,"")</f>
        <v/>
      </c>
      <c r="I22" s="14">
        <f>IFERROR(E22/D22,"")</f>
        <v/>
      </c>
      <c r="J22" s="14">
        <f>IFERROR(E22/C22,"")</f>
        <v/>
      </c>
    </row>
    <row r="23" spans="1:10">
      <c r="A23" s="5">
        <f>A22+7</f>
        <v>0</v>
      </c>
      <c r="B23" s="5">
        <f>A23+6</f>
        <v>0</v>
      </c>
      <c r="C23" s="12">
        <f>COUNTIFS(Leads[CPF],"&lt;&gt;",Leads[Data de entrada],"&gt;="&amp;A23,Leads[Data de entrada],"&lt;"&amp;(B23+1))</f>
        <v>0</v>
      </c>
      <c r="D23" s="12">
        <f>COUNTIFS(Leads[CPF],"&lt;&gt;",Leads[Data de entrada],"&gt;="&amp;A23,Leads[Data de entrada],"&lt;"&amp;(B23+1),Leads[Data do agendamento],"&gt;0")</f>
        <v>0</v>
      </c>
      <c r="E23" s="12">
        <f>COUNTIFS(Leads[CPF],"&lt;&gt;",Leads[Data de entrada],"&gt;="&amp;A23,Leads[Data de entrada],"&lt;"&amp;(B23+1),Leads[Data da conversa presencial executada],"&gt;0")</f>
        <v>0</v>
      </c>
      <c r="F23" s="13">
        <f>IFERROR(AVERAGEIFS(Leads[Tempo de resposta (min)],Leads[CPF],"&lt;&gt;",Leads[Data de entrada],"&gt;="&amp;A23,Leads[Data de entrada],"&lt;"&amp;(B23+1),Leads[Tempo de resposta (min)],"&gt;=0",Leads[Tempo de resposta (min)],"&lt;&gt;"),"")</f>
        <v/>
      </c>
      <c r="G23" s="12">
        <f>COUNTIFS(Leads[CPF],"&lt;&gt;",Leads[Data de entrada],"&gt;="&amp;A23,Leads[Data de entrada],"&lt;"&amp;(B23+1),Leads[Tempo de resposta (min)],"&gt;=0",Leads[Tempo de resposta (min)],"&lt;&gt;")</f>
        <v>0</v>
      </c>
      <c r="H23" s="14">
        <f>IFERROR(D23/C23,"")</f>
        <v/>
      </c>
      <c r="I23" s="14">
        <f>IFERROR(E23/D23,"")</f>
        <v/>
      </c>
      <c r="J23" s="14">
        <f>IFERROR(E23/C23,"")</f>
        <v/>
      </c>
    </row>
    <row r="24" spans="1:10">
      <c r="A24" s="5">
        <f>A23+7</f>
        <v>0</v>
      </c>
      <c r="B24" s="5">
        <f>A24+6</f>
        <v>0</v>
      </c>
      <c r="C24" s="12">
        <f>COUNTIFS(Leads[CPF],"&lt;&gt;",Leads[Data de entrada],"&gt;="&amp;A24,Leads[Data de entrada],"&lt;"&amp;(B24+1))</f>
        <v>0</v>
      </c>
      <c r="D24" s="12">
        <f>COUNTIFS(Leads[CPF],"&lt;&gt;",Leads[Data de entrada],"&gt;="&amp;A24,Leads[Data de entrada],"&lt;"&amp;(B24+1),Leads[Data do agendamento],"&gt;0")</f>
        <v>0</v>
      </c>
      <c r="E24" s="12">
        <f>COUNTIFS(Leads[CPF],"&lt;&gt;",Leads[Data de entrada],"&gt;="&amp;A24,Leads[Data de entrada],"&lt;"&amp;(B24+1),Leads[Data da conversa presencial executada],"&gt;0")</f>
        <v>0</v>
      </c>
      <c r="F24" s="13">
        <f>IFERROR(AVERAGEIFS(Leads[Tempo de resposta (min)],Leads[CPF],"&lt;&gt;",Leads[Data de entrada],"&gt;="&amp;A24,Leads[Data de entrada],"&lt;"&amp;(B24+1),Leads[Tempo de resposta (min)],"&gt;=0",Leads[Tempo de resposta (min)],"&lt;&gt;"),"")</f>
        <v/>
      </c>
      <c r="G24" s="12">
        <f>COUNTIFS(Leads[CPF],"&lt;&gt;",Leads[Data de entrada],"&gt;="&amp;A24,Leads[Data de entrada],"&lt;"&amp;(B24+1),Leads[Tempo de resposta (min)],"&gt;=0",Leads[Tempo de resposta (min)],"&lt;&gt;")</f>
        <v>0</v>
      </c>
      <c r="H24" s="14">
        <f>IFERROR(D24/C24,"")</f>
        <v/>
      </c>
      <c r="I24" s="14">
        <f>IFERROR(E24/D24,"")</f>
        <v/>
      </c>
      <c r="J24" s="14">
        <f>IFERROR(E24/C24,"")</f>
        <v/>
      </c>
    </row>
    <row r="25" spans="1:10">
      <c r="A25" s="5">
        <f>A24+7</f>
        <v>0</v>
      </c>
      <c r="B25" s="5">
        <f>A25+6</f>
        <v>0</v>
      </c>
      <c r="C25" s="12">
        <f>COUNTIFS(Leads[CPF],"&lt;&gt;",Leads[Data de entrada],"&gt;="&amp;A25,Leads[Data de entrada],"&lt;"&amp;(B25+1))</f>
        <v>0</v>
      </c>
      <c r="D25" s="12">
        <f>COUNTIFS(Leads[CPF],"&lt;&gt;",Leads[Data de entrada],"&gt;="&amp;A25,Leads[Data de entrada],"&lt;"&amp;(B25+1),Leads[Data do agendamento],"&gt;0")</f>
        <v>0</v>
      </c>
      <c r="E25" s="12">
        <f>COUNTIFS(Leads[CPF],"&lt;&gt;",Leads[Data de entrada],"&gt;="&amp;A25,Leads[Data de entrada],"&lt;"&amp;(B25+1),Leads[Data da conversa presencial executada],"&gt;0")</f>
        <v>0</v>
      </c>
      <c r="F25" s="13">
        <f>IFERROR(AVERAGEIFS(Leads[Tempo de resposta (min)],Leads[CPF],"&lt;&gt;",Leads[Data de entrada],"&gt;="&amp;A25,Leads[Data de entrada],"&lt;"&amp;(B25+1),Leads[Tempo de resposta (min)],"&gt;=0",Leads[Tempo de resposta (min)],"&lt;&gt;"),"")</f>
        <v/>
      </c>
      <c r="G25" s="12">
        <f>COUNTIFS(Leads[CPF],"&lt;&gt;",Leads[Data de entrada],"&gt;="&amp;A25,Leads[Data de entrada],"&lt;"&amp;(B25+1),Leads[Tempo de resposta (min)],"&gt;=0",Leads[Tempo de resposta (min)],"&lt;&gt;")</f>
        <v>0</v>
      </c>
      <c r="H25" s="14">
        <f>IFERROR(D25/C25,"")</f>
        <v/>
      </c>
      <c r="I25" s="14">
        <f>IFERROR(E25/D25,"")</f>
        <v/>
      </c>
      <c r="J25" s="14">
        <f>IFERROR(E25/C25,"")</f>
        <v/>
      </c>
    </row>
    <row r="26" spans="1:10">
      <c r="A26" s="5">
        <f>A25+7</f>
        <v>0</v>
      </c>
      <c r="B26" s="5">
        <f>A26+6</f>
        <v>0</v>
      </c>
      <c r="C26" s="12">
        <f>COUNTIFS(Leads[CPF],"&lt;&gt;",Leads[Data de entrada],"&gt;="&amp;A26,Leads[Data de entrada],"&lt;"&amp;(B26+1))</f>
        <v>0</v>
      </c>
      <c r="D26" s="12">
        <f>COUNTIFS(Leads[CPF],"&lt;&gt;",Leads[Data de entrada],"&gt;="&amp;A26,Leads[Data de entrada],"&lt;"&amp;(B26+1),Leads[Data do agendamento],"&gt;0")</f>
        <v>0</v>
      </c>
      <c r="E26" s="12">
        <f>COUNTIFS(Leads[CPF],"&lt;&gt;",Leads[Data de entrada],"&gt;="&amp;A26,Leads[Data de entrada],"&lt;"&amp;(B26+1),Leads[Data da conversa presencial executada],"&gt;0")</f>
        <v>0</v>
      </c>
      <c r="F26" s="13">
        <f>IFERROR(AVERAGEIFS(Leads[Tempo de resposta (min)],Leads[CPF],"&lt;&gt;",Leads[Data de entrada],"&gt;="&amp;A26,Leads[Data de entrada],"&lt;"&amp;(B26+1),Leads[Tempo de resposta (min)],"&gt;=0",Leads[Tempo de resposta (min)],"&lt;&gt;"),"")</f>
        <v/>
      </c>
      <c r="G26" s="12">
        <f>COUNTIFS(Leads[CPF],"&lt;&gt;",Leads[Data de entrada],"&gt;="&amp;A26,Leads[Data de entrada],"&lt;"&amp;(B26+1),Leads[Tempo de resposta (min)],"&gt;=0",Leads[Tempo de resposta (min)],"&lt;&gt;")</f>
        <v>0</v>
      </c>
      <c r="H26" s="14">
        <f>IFERROR(D26/C26,"")</f>
        <v/>
      </c>
      <c r="I26" s="14">
        <f>IFERROR(E26/D26,"")</f>
        <v/>
      </c>
      <c r="J26" s="14">
        <f>IFERROR(E26/C26,"")</f>
        <v/>
      </c>
    </row>
    <row r="27" spans="1:10">
      <c r="A27" s="5">
        <f>A26+7</f>
        <v>0</v>
      </c>
      <c r="B27" s="5">
        <f>A27+6</f>
        <v>0</v>
      </c>
      <c r="C27" s="12">
        <f>COUNTIFS(Leads[CPF],"&lt;&gt;",Leads[Data de entrada],"&gt;="&amp;A27,Leads[Data de entrada],"&lt;"&amp;(B27+1))</f>
        <v>0</v>
      </c>
      <c r="D27" s="12">
        <f>COUNTIFS(Leads[CPF],"&lt;&gt;",Leads[Data de entrada],"&gt;="&amp;A27,Leads[Data de entrada],"&lt;"&amp;(B27+1),Leads[Data do agendamento],"&gt;0")</f>
        <v>0</v>
      </c>
      <c r="E27" s="12">
        <f>COUNTIFS(Leads[CPF],"&lt;&gt;",Leads[Data de entrada],"&gt;="&amp;A27,Leads[Data de entrada],"&lt;"&amp;(B27+1),Leads[Data da conversa presencial executada],"&gt;0")</f>
        <v>0</v>
      </c>
      <c r="F27" s="13">
        <f>IFERROR(AVERAGEIFS(Leads[Tempo de resposta (min)],Leads[CPF],"&lt;&gt;",Leads[Data de entrada],"&gt;="&amp;A27,Leads[Data de entrada],"&lt;"&amp;(B27+1),Leads[Tempo de resposta (min)],"&gt;=0",Leads[Tempo de resposta (min)],"&lt;&gt;"),"")</f>
        <v/>
      </c>
      <c r="G27" s="12">
        <f>COUNTIFS(Leads[CPF],"&lt;&gt;",Leads[Data de entrada],"&gt;="&amp;A27,Leads[Data de entrada],"&lt;"&amp;(B27+1),Leads[Tempo de resposta (min)],"&gt;=0",Leads[Tempo de resposta (min)],"&lt;&gt;")</f>
        <v>0</v>
      </c>
      <c r="H27" s="14">
        <f>IFERROR(D27/C27,"")</f>
        <v/>
      </c>
      <c r="I27" s="14">
        <f>IFERROR(E27/D27,"")</f>
        <v/>
      </c>
      <c r="J27" s="14">
        <f>IFERROR(E27/C27,"")</f>
        <v/>
      </c>
    </row>
    <row r="28" spans="1:10">
      <c r="A28" s="5">
        <f>A27+7</f>
        <v>0</v>
      </c>
      <c r="B28" s="5">
        <f>A28+6</f>
        <v>0</v>
      </c>
      <c r="C28" s="12">
        <f>COUNTIFS(Leads[CPF],"&lt;&gt;",Leads[Data de entrada],"&gt;="&amp;A28,Leads[Data de entrada],"&lt;"&amp;(B28+1))</f>
        <v>0</v>
      </c>
      <c r="D28" s="12">
        <f>COUNTIFS(Leads[CPF],"&lt;&gt;",Leads[Data de entrada],"&gt;="&amp;A28,Leads[Data de entrada],"&lt;"&amp;(B28+1),Leads[Data do agendamento],"&gt;0")</f>
        <v>0</v>
      </c>
      <c r="E28" s="12">
        <f>COUNTIFS(Leads[CPF],"&lt;&gt;",Leads[Data de entrada],"&gt;="&amp;A28,Leads[Data de entrada],"&lt;"&amp;(B28+1),Leads[Data da conversa presencial executada],"&gt;0")</f>
        <v>0</v>
      </c>
      <c r="F28" s="13">
        <f>IFERROR(AVERAGEIFS(Leads[Tempo de resposta (min)],Leads[CPF],"&lt;&gt;",Leads[Data de entrada],"&gt;="&amp;A28,Leads[Data de entrada],"&lt;"&amp;(B28+1),Leads[Tempo de resposta (min)],"&gt;=0",Leads[Tempo de resposta (min)],"&lt;&gt;"),"")</f>
        <v/>
      </c>
      <c r="G28" s="12">
        <f>COUNTIFS(Leads[CPF],"&lt;&gt;",Leads[Data de entrada],"&gt;="&amp;A28,Leads[Data de entrada],"&lt;"&amp;(B28+1),Leads[Tempo de resposta (min)],"&gt;=0",Leads[Tempo de resposta (min)],"&lt;&gt;")</f>
        <v>0</v>
      </c>
      <c r="H28" s="14">
        <f>IFERROR(D28/C28,"")</f>
        <v/>
      </c>
      <c r="I28" s="14">
        <f>IFERROR(E28/D28,"")</f>
        <v/>
      </c>
      <c r="J28" s="14">
        <f>IFERROR(E28/C28,"")</f>
        <v/>
      </c>
    </row>
    <row r="29" spans="1:10">
      <c r="A29" s="5">
        <f>A28+7</f>
        <v>0</v>
      </c>
      <c r="B29" s="5">
        <f>A29+6</f>
        <v>0</v>
      </c>
      <c r="C29" s="12">
        <f>COUNTIFS(Leads[CPF],"&lt;&gt;",Leads[Data de entrada],"&gt;="&amp;A29,Leads[Data de entrada],"&lt;"&amp;(B29+1))</f>
        <v>0</v>
      </c>
      <c r="D29" s="12">
        <f>COUNTIFS(Leads[CPF],"&lt;&gt;",Leads[Data de entrada],"&gt;="&amp;A29,Leads[Data de entrada],"&lt;"&amp;(B29+1),Leads[Data do agendamento],"&gt;0")</f>
        <v>0</v>
      </c>
      <c r="E29" s="12">
        <f>COUNTIFS(Leads[CPF],"&lt;&gt;",Leads[Data de entrada],"&gt;="&amp;A29,Leads[Data de entrada],"&lt;"&amp;(B29+1),Leads[Data da conversa presencial executada],"&gt;0")</f>
        <v>0</v>
      </c>
      <c r="F29" s="13">
        <f>IFERROR(AVERAGEIFS(Leads[Tempo de resposta (min)],Leads[CPF],"&lt;&gt;",Leads[Data de entrada],"&gt;="&amp;A29,Leads[Data de entrada],"&lt;"&amp;(B29+1),Leads[Tempo de resposta (min)],"&gt;=0",Leads[Tempo de resposta (min)],"&lt;&gt;"),"")</f>
        <v/>
      </c>
      <c r="G29" s="12">
        <f>COUNTIFS(Leads[CPF],"&lt;&gt;",Leads[Data de entrada],"&gt;="&amp;A29,Leads[Data de entrada],"&lt;"&amp;(B29+1),Leads[Tempo de resposta (min)],"&gt;=0",Leads[Tempo de resposta (min)],"&lt;&gt;")</f>
        <v>0</v>
      </c>
      <c r="H29" s="14">
        <f>IFERROR(D29/C29,"")</f>
        <v/>
      </c>
      <c r="I29" s="14">
        <f>IFERROR(E29/D29,"")</f>
        <v/>
      </c>
      <c r="J29" s="14">
        <f>IFERROR(E29/C29,"")</f>
        <v/>
      </c>
    </row>
    <row r="30" spans="1:10">
      <c r="A30" s="5">
        <f>A29+7</f>
        <v>0</v>
      </c>
      <c r="B30" s="5">
        <f>A30+6</f>
        <v>0</v>
      </c>
      <c r="C30" s="12">
        <f>COUNTIFS(Leads[CPF],"&lt;&gt;",Leads[Data de entrada],"&gt;="&amp;A30,Leads[Data de entrada],"&lt;"&amp;(B30+1))</f>
        <v>0</v>
      </c>
      <c r="D30" s="12">
        <f>COUNTIFS(Leads[CPF],"&lt;&gt;",Leads[Data de entrada],"&gt;="&amp;A30,Leads[Data de entrada],"&lt;"&amp;(B30+1),Leads[Data do agendamento],"&gt;0")</f>
        <v>0</v>
      </c>
      <c r="E30" s="12">
        <f>COUNTIFS(Leads[CPF],"&lt;&gt;",Leads[Data de entrada],"&gt;="&amp;A30,Leads[Data de entrada],"&lt;"&amp;(B30+1),Leads[Data da conversa presencial executada],"&gt;0")</f>
        <v>0</v>
      </c>
      <c r="F30" s="13">
        <f>IFERROR(AVERAGEIFS(Leads[Tempo de resposta (min)],Leads[CPF],"&lt;&gt;",Leads[Data de entrada],"&gt;="&amp;A30,Leads[Data de entrada],"&lt;"&amp;(B30+1),Leads[Tempo de resposta (min)],"&gt;=0",Leads[Tempo de resposta (min)],"&lt;&gt;"),"")</f>
        <v/>
      </c>
      <c r="G30" s="12">
        <f>COUNTIFS(Leads[CPF],"&lt;&gt;",Leads[Data de entrada],"&gt;="&amp;A30,Leads[Data de entrada],"&lt;"&amp;(B30+1),Leads[Tempo de resposta (min)],"&gt;=0",Leads[Tempo de resposta (min)],"&lt;&gt;")</f>
        <v>0</v>
      </c>
      <c r="H30" s="14">
        <f>IFERROR(D30/C30,"")</f>
        <v/>
      </c>
      <c r="I30" s="14">
        <f>IFERROR(E30/D30,"")</f>
        <v/>
      </c>
      <c r="J30" s="14">
        <f>IFERROR(E30/C30,"")</f>
        <v/>
      </c>
    </row>
    <row r="31" spans="1:10">
      <c r="A31" s="5">
        <f>A30+7</f>
        <v>0</v>
      </c>
      <c r="B31" s="5">
        <f>A31+6</f>
        <v>0</v>
      </c>
      <c r="C31" s="12">
        <f>COUNTIFS(Leads[CPF],"&lt;&gt;",Leads[Data de entrada],"&gt;="&amp;A31,Leads[Data de entrada],"&lt;"&amp;(B31+1))</f>
        <v>0</v>
      </c>
      <c r="D31" s="12">
        <f>COUNTIFS(Leads[CPF],"&lt;&gt;",Leads[Data de entrada],"&gt;="&amp;A31,Leads[Data de entrada],"&lt;"&amp;(B31+1),Leads[Data do agendamento],"&gt;0")</f>
        <v>0</v>
      </c>
      <c r="E31" s="12">
        <f>COUNTIFS(Leads[CPF],"&lt;&gt;",Leads[Data de entrada],"&gt;="&amp;A31,Leads[Data de entrada],"&lt;"&amp;(B31+1),Leads[Data da conversa presencial executada],"&gt;0")</f>
        <v>0</v>
      </c>
      <c r="F31" s="13">
        <f>IFERROR(AVERAGEIFS(Leads[Tempo de resposta (min)],Leads[CPF],"&lt;&gt;",Leads[Data de entrada],"&gt;="&amp;A31,Leads[Data de entrada],"&lt;"&amp;(B31+1),Leads[Tempo de resposta (min)],"&gt;=0",Leads[Tempo de resposta (min)],"&lt;&gt;"),"")</f>
        <v/>
      </c>
      <c r="G31" s="12">
        <f>COUNTIFS(Leads[CPF],"&lt;&gt;",Leads[Data de entrada],"&gt;="&amp;A31,Leads[Data de entrada],"&lt;"&amp;(B31+1),Leads[Tempo de resposta (min)],"&gt;=0",Leads[Tempo de resposta (min)],"&lt;&gt;")</f>
        <v>0</v>
      </c>
      <c r="H31" s="14">
        <f>IFERROR(D31/C31,"")</f>
        <v/>
      </c>
      <c r="I31" s="14">
        <f>IFERROR(E31/D31,"")</f>
        <v/>
      </c>
      <c r="J31" s="14">
        <f>IFERROR(E31/C31,"")</f>
        <v/>
      </c>
    </row>
    <row r="32" spans="1:10">
      <c r="A32" s="5">
        <f>A31+7</f>
        <v>0</v>
      </c>
      <c r="B32" s="5">
        <f>A32+6</f>
        <v>0</v>
      </c>
      <c r="C32" s="12">
        <f>COUNTIFS(Leads[CPF],"&lt;&gt;",Leads[Data de entrada],"&gt;="&amp;A32,Leads[Data de entrada],"&lt;"&amp;(B32+1))</f>
        <v>0</v>
      </c>
      <c r="D32" s="12">
        <f>COUNTIFS(Leads[CPF],"&lt;&gt;",Leads[Data de entrada],"&gt;="&amp;A32,Leads[Data de entrada],"&lt;"&amp;(B32+1),Leads[Data do agendamento],"&gt;0")</f>
        <v>0</v>
      </c>
      <c r="E32" s="12">
        <f>COUNTIFS(Leads[CPF],"&lt;&gt;",Leads[Data de entrada],"&gt;="&amp;A32,Leads[Data de entrada],"&lt;"&amp;(B32+1),Leads[Data da conversa presencial executada],"&gt;0")</f>
        <v>0</v>
      </c>
      <c r="F32" s="13">
        <f>IFERROR(AVERAGEIFS(Leads[Tempo de resposta (min)],Leads[CPF],"&lt;&gt;",Leads[Data de entrada],"&gt;="&amp;A32,Leads[Data de entrada],"&lt;"&amp;(B32+1),Leads[Tempo de resposta (min)],"&gt;=0",Leads[Tempo de resposta (min)],"&lt;&gt;"),"")</f>
        <v/>
      </c>
      <c r="G32" s="12">
        <f>COUNTIFS(Leads[CPF],"&lt;&gt;",Leads[Data de entrada],"&gt;="&amp;A32,Leads[Data de entrada],"&lt;"&amp;(B32+1),Leads[Tempo de resposta (min)],"&gt;=0",Leads[Tempo de resposta (min)],"&lt;&gt;")</f>
        <v>0</v>
      </c>
      <c r="H32" s="14">
        <f>IFERROR(D32/C32,"")</f>
        <v/>
      </c>
      <c r="I32" s="14">
        <f>IFERROR(E32/D32,"")</f>
        <v/>
      </c>
      <c r="J32" s="14">
        <f>IFERROR(E32/C32,"")</f>
        <v/>
      </c>
    </row>
    <row r="33" spans="1:10">
      <c r="A33" s="5">
        <f>A32+7</f>
        <v>0</v>
      </c>
      <c r="B33" s="5">
        <f>A33+6</f>
        <v>0</v>
      </c>
      <c r="C33" s="12">
        <f>COUNTIFS(Leads[CPF],"&lt;&gt;",Leads[Data de entrada],"&gt;="&amp;A33,Leads[Data de entrada],"&lt;"&amp;(B33+1))</f>
        <v>0</v>
      </c>
      <c r="D33" s="12">
        <f>COUNTIFS(Leads[CPF],"&lt;&gt;",Leads[Data de entrada],"&gt;="&amp;A33,Leads[Data de entrada],"&lt;"&amp;(B33+1),Leads[Data do agendamento],"&gt;0")</f>
        <v>0</v>
      </c>
      <c r="E33" s="12">
        <f>COUNTIFS(Leads[CPF],"&lt;&gt;",Leads[Data de entrada],"&gt;="&amp;A33,Leads[Data de entrada],"&lt;"&amp;(B33+1),Leads[Data da conversa presencial executada],"&gt;0")</f>
        <v>0</v>
      </c>
      <c r="F33" s="13">
        <f>IFERROR(AVERAGEIFS(Leads[Tempo de resposta (min)],Leads[CPF],"&lt;&gt;",Leads[Data de entrada],"&gt;="&amp;A33,Leads[Data de entrada],"&lt;"&amp;(B33+1),Leads[Tempo de resposta (min)],"&gt;=0",Leads[Tempo de resposta (min)],"&lt;&gt;"),"")</f>
        <v/>
      </c>
      <c r="G33" s="12">
        <f>COUNTIFS(Leads[CPF],"&lt;&gt;",Leads[Data de entrada],"&gt;="&amp;A33,Leads[Data de entrada],"&lt;"&amp;(B33+1),Leads[Tempo de resposta (min)],"&gt;=0",Leads[Tempo de resposta (min)],"&lt;&gt;")</f>
        <v>0</v>
      </c>
      <c r="H33" s="14">
        <f>IFERROR(D33/C33,"")</f>
        <v/>
      </c>
      <c r="I33" s="14">
        <f>IFERROR(E33/D33,"")</f>
        <v/>
      </c>
      <c r="J33" s="14">
        <f>IFERROR(E33/C33,"")</f>
        <v/>
      </c>
    </row>
    <row r="34" spans="1:10">
      <c r="A34" s="5">
        <f>A33+7</f>
        <v>0</v>
      </c>
      <c r="B34" s="5">
        <f>A34+6</f>
        <v>0</v>
      </c>
      <c r="C34" s="12">
        <f>COUNTIFS(Leads[CPF],"&lt;&gt;",Leads[Data de entrada],"&gt;="&amp;A34,Leads[Data de entrada],"&lt;"&amp;(B34+1))</f>
        <v>0</v>
      </c>
      <c r="D34" s="12">
        <f>COUNTIFS(Leads[CPF],"&lt;&gt;",Leads[Data de entrada],"&gt;="&amp;A34,Leads[Data de entrada],"&lt;"&amp;(B34+1),Leads[Data do agendamento],"&gt;0")</f>
        <v>0</v>
      </c>
      <c r="E34" s="12">
        <f>COUNTIFS(Leads[CPF],"&lt;&gt;",Leads[Data de entrada],"&gt;="&amp;A34,Leads[Data de entrada],"&lt;"&amp;(B34+1),Leads[Data da conversa presencial executada],"&gt;0")</f>
        <v>0</v>
      </c>
      <c r="F34" s="13">
        <f>IFERROR(AVERAGEIFS(Leads[Tempo de resposta (min)],Leads[CPF],"&lt;&gt;",Leads[Data de entrada],"&gt;="&amp;A34,Leads[Data de entrada],"&lt;"&amp;(B34+1),Leads[Tempo de resposta (min)],"&gt;=0",Leads[Tempo de resposta (min)],"&lt;&gt;"),"")</f>
        <v/>
      </c>
      <c r="G34" s="12">
        <f>COUNTIFS(Leads[CPF],"&lt;&gt;",Leads[Data de entrada],"&gt;="&amp;A34,Leads[Data de entrada],"&lt;"&amp;(B34+1),Leads[Tempo de resposta (min)],"&gt;=0",Leads[Tempo de resposta (min)],"&lt;&gt;")</f>
        <v>0</v>
      </c>
      <c r="H34" s="14">
        <f>IFERROR(D34/C34,"")</f>
        <v/>
      </c>
      <c r="I34" s="14">
        <f>IFERROR(E34/D34,"")</f>
        <v/>
      </c>
      <c r="J34" s="14">
        <f>IFERROR(E34/C34,"")</f>
        <v/>
      </c>
    </row>
    <row r="35" spans="1:10">
      <c r="A35" s="5">
        <f>A34+7</f>
        <v>0</v>
      </c>
      <c r="B35" s="5">
        <f>A35+6</f>
        <v>0</v>
      </c>
      <c r="C35" s="12">
        <f>COUNTIFS(Leads[CPF],"&lt;&gt;",Leads[Data de entrada],"&gt;="&amp;A35,Leads[Data de entrada],"&lt;"&amp;(B35+1))</f>
        <v>0</v>
      </c>
      <c r="D35" s="12">
        <f>COUNTIFS(Leads[CPF],"&lt;&gt;",Leads[Data de entrada],"&gt;="&amp;A35,Leads[Data de entrada],"&lt;"&amp;(B35+1),Leads[Data do agendamento],"&gt;0")</f>
        <v>0</v>
      </c>
      <c r="E35" s="12">
        <f>COUNTIFS(Leads[CPF],"&lt;&gt;",Leads[Data de entrada],"&gt;="&amp;A35,Leads[Data de entrada],"&lt;"&amp;(B35+1),Leads[Data da conversa presencial executada],"&gt;0")</f>
        <v>0</v>
      </c>
      <c r="F35" s="13">
        <f>IFERROR(AVERAGEIFS(Leads[Tempo de resposta (min)],Leads[CPF],"&lt;&gt;",Leads[Data de entrada],"&gt;="&amp;A35,Leads[Data de entrada],"&lt;"&amp;(B35+1),Leads[Tempo de resposta (min)],"&gt;=0",Leads[Tempo de resposta (min)],"&lt;&gt;"),"")</f>
        <v/>
      </c>
      <c r="G35" s="12">
        <f>COUNTIFS(Leads[CPF],"&lt;&gt;",Leads[Data de entrada],"&gt;="&amp;A35,Leads[Data de entrada],"&lt;"&amp;(B35+1),Leads[Tempo de resposta (min)],"&gt;=0",Leads[Tempo de resposta (min)],"&lt;&gt;")</f>
        <v>0</v>
      </c>
      <c r="H35" s="14">
        <f>IFERROR(D35/C35,"")</f>
        <v/>
      </c>
      <c r="I35" s="14">
        <f>IFERROR(E35/D35,"")</f>
        <v/>
      </c>
      <c r="J35" s="14">
        <f>IFERROR(E35/C35,"")</f>
        <v/>
      </c>
    </row>
    <row r="36" spans="1:10">
      <c r="A36" s="5">
        <f>A35+7</f>
        <v>0</v>
      </c>
      <c r="B36" s="5">
        <f>A36+6</f>
        <v>0</v>
      </c>
      <c r="C36" s="12">
        <f>COUNTIFS(Leads[CPF],"&lt;&gt;",Leads[Data de entrada],"&gt;="&amp;A36,Leads[Data de entrada],"&lt;"&amp;(B36+1))</f>
        <v>0</v>
      </c>
      <c r="D36" s="12">
        <f>COUNTIFS(Leads[CPF],"&lt;&gt;",Leads[Data de entrada],"&gt;="&amp;A36,Leads[Data de entrada],"&lt;"&amp;(B36+1),Leads[Data do agendamento],"&gt;0")</f>
        <v>0</v>
      </c>
      <c r="E36" s="12">
        <f>COUNTIFS(Leads[CPF],"&lt;&gt;",Leads[Data de entrada],"&gt;="&amp;A36,Leads[Data de entrada],"&lt;"&amp;(B36+1),Leads[Data da conversa presencial executada],"&gt;0")</f>
        <v>0</v>
      </c>
      <c r="F36" s="13">
        <f>IFERROR(AVERAGEIFS(Leads[Tempo de resposta (min)],Leads[CPF],"&lt;&gt;",Leads[Data de entrada],"&gt;="&amp;A36,Leads[Data de entrada],"&lt;"&amp;(B36+1),Leads[Tempo de resposta (min)],"&gt;=0",Leads[Tempo de resposta (min)],"&lt;&gt;"),"")</f>
        <v/>
      </c>
      <c r="G36" s="12">
        <f>COUNTIFS(Leads[CPF],"&lt;&gt;",Leads[Data de entrada],"&gt;="&amp;A36,Leads[Data de entrada],"&lt;"&amp;(B36+1),Leads[Tempo de resposta (min)],"&gt;=0",Leads[Tempo de resposta (min)],"&lt;&gt;")</f>
        <v>0</v>
      </c>
      <c r="H36" s="14">
        <f>IFERROR(D36/C36,"")</f>
        <v/>
      </c>
      <c r="I36" s="14">
        <f>IFERROR(E36/D36,"")</f>
        <v/>
      </c>
      <c r="J36" s="14">
        <f>IFERROR(E36/C36,"")</f>
        <v/>
      </c>
    </row>
    <row r="37" spans="1:10">
      <c r="A37" s="5">
        <f>A36+7</f>
        <v>0</v>
      </c>
      <c r="B37" s="5">
        <f>A37+6</f>
        <v>0</v>
      </c>
      <c r="C37" s="12">
        <f>COUNTIFS(Leads[CPF],"&lt;&gt;",Leads[Data de entrada],"&gt;="&amp;A37,Leads[Data de entrada],"&lt;"&amp;(B37+1))</f>
        <v>0</v>
      </c>
      <c r="D37" s="12">
        <f>COUNTIFS(Leads[CPF],"&lt;&gt;",Leads[Data de entrada],"&gt;="&amp;A37,Leads[Data de entrada],"&lt;"&amp;(B37+1),Leads[Data do agendamento],"&gt;0")</f>
        <v>0</v>
      </c>
      <c r="E37" s="12">
        <f>COUNTIFS(Leads[CPF],"&lt;&gt;",Leads[Data de entrada],"&gt;="&amp;A37,Leads[Data de entrada],"&lt;"&amp;(B37+1),Leads[Data da conversa presencial executada],"&gt;0")</f>
        <v>0</v>
      </c>
      <c r="F37" s="13">
        <f>IFERROR(AVERAGEIFS(Leads[Tempo de resposta (min)],Leads[CPF],"&lt;&gt;",Leads[Data de entrada],"&gt;="&amp;A37,Leads[Data de entrada],"&lt;"&amp;(B37+1),Leads[Tempo de resposta (min)],"&gt;=0",Leads[Tempo de resposta (min)],"&lt;&gt;"),"")</f>
        <v/>
      </c>
      <c r="G37" s="12">
        <f>COUNTIFS(Leads[CPF],"&lt;&gt;",Leads[Data de entrada],"&gt;="&amp;A37,Leads[Data de entrada],"&lt;"&amp;(B37+1),Leads[Tempo de resposta (min)],"&gt;=0",Leads[Tempo de resposta (min)],"&lt;&gt;")</f>
        <v>0</v>
      </c>
      <c r="H37" s="14">
        <f>IFERROR(D37/C37,"")</f>
        <v/>
      </c>
      <c r="I37" s="14">
        <f>IFERROR(E37/D37,"")</f>
        <v/>
      </c>
      <c r="J37" s="14">
        <f>IFERROR(E37/C37,"")</f>
        <v/>
      </c>
    </row>
    <row r="38" spans="1:10">
      <c r="A38" s="5">
        <f>A37+7</f>
        <v>0</v>
      </c>
      <c r="B38" s="5">
        <f>A38+6</f>
        <v>0</v>
      </c>
      <c r="C38" s="12">
        <f>COUNTIFS(Leads[CPF],"&lt;&gt;",Leads[Data de entrada],"&gt;="&amp;A38,Leads[Data de entrada],"&lt;"&amp;(B38+1))</f>
        <v>0</v>
      </c>
      <c r="D38" s="12">
        <f>COUNTIFS(Leads[CPF],"&lt;&gt;",Leads[Data de entrada],"&gt;="&amp;A38,Leads[Data de entrada],"&lt;"&amp;(B38+1),Leads[Data do agendamento],"&gt;0")</f>
        <v>0</v>
      </c>
      <c r="E38" s="12">
        <f>COUNTIFS(Leads[CPF],"&lt;&gt;",Leads[Data de entrada],"&gt;="&amp;A38,Leads[Data de entrada],"&lt;"&amp;(B38+1),Leads[Data da conversa presencial executada],"&gt;0")</f>
        <v>0</v>
      </c>
      <c r="F38" s="13">
        <f>IFERROR(AVERAGEIFS(Leads[Tempo de resposta (min)],Leads[CPF],"&lt;&gt;",Leads[Data de entrada],"&gt;="&amp;A38,Leads[Data de entrada],"&lt;"&amp;(B38+1),Leads[Tempo de resposta (min)],"&gt;=0",Leads[Tempo de resposta (min)],"&lt;&gt;"),"")</f>
        <v/>
      </c>
      <c r="G38" s="12">
        <f>COUNTIFS(Leads[CPF],"&lt;&gt;",Leads[Data de entrada],"&gt;="&amp;A38,Leads[Data de entrada],"&lt;"&amp;(B38+1),Leads[Tempo de resposta (min)],"&gt;=0",Leads[Tempo de resposta (min)],"&lt;&gt;")</f>
        <v>0</v>
      </c>
      <c r="H38" s="14">
        <f>IFERROR(D38/C38,"")</f>
        <v/>
      </c>
      <c r="I38" s="14">
        <f>IFERROR(E38/D38,"")</f>
        <v/>
      </c>
      <c r="J38" s="14">
        <f>IFERROR(E38/C38,"")</f>
        <v/>
      </c>
    </row>
    <row r="39" spans="1:10">
      <c r="A39" s="5">
        <f>A38+7</f>
        <v>0</v>
      </c>
      <c r="B39" s="5">
        <f>A39+6</f>
        <v>0</v>
      </c>
      <c r="C39" s="12">
        <f>COUNTIFS(Leads[CPF],"&lt;&gt;",Leads[Data de entrada],"&gt;="&amp;A39,Leads[Data de entrada],"&lt;"&amp;(B39+1))</f>
        <v>0</v>
      </c>
      <c r="D39" s="12">
        <f>COUNTIFS(Leads[CPF],"&lt;&gt;",Leads[Data de entrada],"&gt;="&amp;A39,Leads[Data de entrada],"&lt;"&amp;(B39+1),Leads[Data do agendamento],"&gt;0")</f>
        <v>0</v>
      </c>
      <c r="E39" s="12">
        <f>COUNTIFS(Leads[CPF],"&lt;&gt;",Leads[Data de entrada],"&gt;="&amp;A39,Leads[Data de entrada],"&lt;"&amp;(B39+1),Leads[Data da conversa presencial executada],"&gt;0")</f>
        <v>0</v>
      </c>
      <c r="F39" s="13">
        <f>IFERROR(AVERAGEIFS(Leads[Tempo de resposta (min)],Leads[CPF],"&lt;&gt;",Leads[Data de entrada],"&gt;="&amp;A39,Leads[Data de entrada],"&lt;"&amp;(B39+1),Leads[Tempo de resposta (min)],"&gt;=0",Leads[Tempo de resposta (min)],"&lt;&gt;"),"")</f>
        <v/>
      </c>
      <c r="G39" s="12">
        <f>COUNTIFS(Leads[CPF],"&lt;&gt;",Leads[Data de entrada],"&gt;="&amp;A39,Leads[Data de entrada],"&lt;"&amp;(B39+1),Leads[Tempo de resposta (min)],"&gt;=0",Leads[Tempo de resposta (min)],"&lt;&gt;")</f>
        <v>0</v>
      </c>
      <c r="H39" s="14">
        <f>IFERROR(D39/C39,"")</f>
        <v/>
      </c>
      <c r="I39" s="14">
        <f>IFERROR(E39/D39,"")</f>
        <v/>
      </c>
      <c r="J39" s="14">
        <f>IFERROR(E39/C39,"")</f>
        <v/>
      </c>
    </row>
    <row r="40" spans="1:10">
      <c r="A40" s="5">
        <f>A39+7</f>
        <v>0</v>
      </c>
      <c r="B40" s="5">
        <f>A40+6</f>
        <v>0</v>
      </c>
      <c r="C40" s="12">
        <f>COUNTIFS(Leads[CPF],"&lt;&gt;",Leads[Data de entrada],"&gt;="&amp;A40,Leads[Data de entrada],"&lt;"&amp;(B40+1))</f>
        <v>0</v>
      </c>
      <c r="D40" s="12">
        <f>COUNTIFS(Leads[CPF],"&lt;&gt;",Leads[Data de entrada],"&gt;="&amp;A40,Leads[Data de entrada],"&lt;"&amp;(B40+1),Leads[Data do agendamento],"&gt;0")</f>
        <v>0</v>
      </c>
      <c r="E40" s="12">
        <f>COUNTIFS(Leads[CPF],"&lt;&gt;",Leads[Data de entrada],"&gt;="&amp;A40,Leads[Data de entrada],"&lt;"&amp;(B40+1),Leads[Data da conversa presencial executada],"&gt;0")</f>
        <v>0</v>
      </c>
      <c r="F40" s="13">
        <f>IFERROR(AVERAGEIFS(Leads[Tempo de resposta (min)],Leads[CPF],"&lt;&gt;",Leads[Data de entrada],"&gt;="&amp;A40,Leads[Data de entrada],"&lt;"&amp;(B40+1),Leads[Tempo de resposta (min)],"&gt;=0",Leads[Tempo de resposta (min)],"&lt;&gt;"),"")</f>
        <v/>
      </c>
      <c r="G40" s="12">
        <f>COUNTIFS(Leads[CPF],"&lt;&gt;",Leads[Data de entrada],"&gt;="&amp;A40,Leads[Data de entrada],"&lt;"&amp;(B40+1),Leads[Tempo de resposta (min)],"&gt;=0",Leads[Tempo de resposta (min)],"&lt;&gt;")</f>
        <v>0</v>
      </c>
      <c r="H40" s="14">
        <f>IFERROR(D40/C40,"")</f>
        <v/>
      </c>
      <c r="I40" s="14">
        <f>IFERROR(E40/D40,"")</f>
        <v/>
      </c>
      <c r="J40" s="14">
        <f>IFERROR(E40/C40,"")</f>
        <v/>
      </c>
    </row>
    <row r="41" spans="1:10">
      <c r="A41" s="5">
        <f>A40+7</f>
        <v>0</v>
      </c>
      <c r="B41" s="5">
        <f>A41+6</f>
        <v>0</v>
      </c>
      <c r="C41" s="12">
        <f>COUNTIFS(Leads[CPF],"&lt;&gt;",Leads[Data de entrada],"&gt;="&amp;A41,Leads[Data de entrada],"&lt;"&amp;(B41+1))</f>
        <v>0</v>
      </c>
      <c r="D41" s="12">
        <f>COUNTIFS(Leads[CPF],"&lt;&gt;",Leads[Data de entrada],"&gt;="&amp;A41,Leads[Data de entrada],"&lt;"&amp;(B41+1),Leads[Data do agendamento],"&gt;0")</f>
        <v>0</v>
      </c>
      <c r="E41" s="12">
        <f>COUNTIFS(Leads[CPF],"&lt;&gt;",Leads[Data de entrada],"&gt;="&amp;A41,Leads[Data de entrada],"&lt;"&amp;(B41+1),Leads[Data da conversa presencial executada],"&gt;0")</f>
        <v>0</v>
      </c>
      <c r="F41" s="13">
        <f>IFERROR(AVERAGEIFS(Leads[Tempo de resposta (min)],Leads[CPF],"&lt;&gt;",Leads[Data de entrada],"&gt;="&amp;A41,Leads[Data de entrada],"&lt;"&amp;(B41+1),Leads[Tempo de resposta (min)],"&gt;=0",Leads[Tempo de resposta (min)],"&lt;&gt;"),"")</f>
        <v/>
      </c>
      <c r="G41" s="12">
        <f>COUNTIFS(Leads[CPF],"&lt;&gt;",Leads[Data de entrada],"&gt;="&amp;A41,Leads[Data de entrada],"&lt;"&amp;(B41+1),Leads[Tempo de resposta (min)],"&gt;=0",Leads[Tempo de resposta (min)],"&lt;&gt;")</f>
        <v>0</v>
      </c>
      <c r="H41" s="14">
        <f>IFERROR(D41/C41,"")</f>
        <v/>
      </c>
      <c r="I41" s="14">
        <f>IFERROR(E41/D41,"")</f>
        <v/>
      </c>
      <c r="J41" s="14">
        <f>IFERROR(E41/C41,"")</f>
        <v/>
      </c>
    </row>
    <row r="42" spans="1:10">
      <c r="A42" s="5">
        <f>A41+7</f>
        <v>0</v>
      </c>
      <c r="B42" s="5">
        <f>A42+6</f>
        <v>0</v>
      </c>
      <c r="C42" s="12">
        <f>COUNTIFS(Leads[CPF],"&lt;&gt;",Leads[Data de entrada],"&gt;="&amp;A42,Leads[Data de entrada],"&lt;"&amp;(B42+1))</f>
        <v>0</v>
      </c>
      <c r="D42" s="12">
        <f>COUNTIFS(Leads[CPF],"&lt;&gt;",Leads[Data de entrada],"&gt;="&amp;A42,Leads[Data de entrada],"&lt;"&amp;(B42+1),Leads[Data do agendamento],"&gt;0")</f>
        <v>0</v>
      </c>
      <c r="E42" s="12">
        <f>COUNTIFS(Leads[CPF],"&lt;&gt;",Leads[Data de entrada],"&gt;="&amp;A42,Leads[Data de entrada],"&lt;"&amp;(B42+1),Leads[Data da conversa presencial executada],"&gt;0")</f>
        <v>0</v>
      </c>
      <c r="F42" s="13">
        <f>IFERROR(AVERAGEIFS(Leads[Tempo de resposta (min)],Leads[CPF],"&lt;&gt;",Leads[Data de entrada],"&gt;="&amp;A42,Leads[Data de entrada],"&lt;"&amp;(B42+1),Leads[Tempo de resposta (min)],"&gt;=0",Leads[Tempo de resposta (min)],"&lt;&gt;"),"")</f>
        <v/>
      </c>
      <c r="G42" s="12">
        <f>COUNTIFS(Leads[CPF],"&lt;&gt;",Leads[Data de entrada],"&gt;="&amp;A42,Leads[Data de entrada],"&lt;"&amp;(B42+1),Leads[Tempo de resposta (min)],"&gt;=0",Leads[Tempo de resposta (min)],"&lt;&gt;")</f>
        <v>0</v>
      </c>
      <c r="H42" s="14">
        <f>IFERROR(D42/C42,"")</f>
        <v/>
      </c>
      <c r="I42" s="14">
        <f>IFERROR(E42/D42,"")</f>
        <v/>
      </c>
      <c r="J42" s="14">
        <f>IFERROR(E42/C42,"")</f>
        <v/>
      </c>
    </row>
    <row r="43" spans="1:10">
      <c r="A43" s="5">
        <f>A42+7</f>
        <v>0</v>
      </c>
      <c r="B43" s="5">
        <f>A43+6</f>
        <v>0</v>
      </c>
      <c r="C43" s="12">
        <f>COUNTIFS(Leads[CPF],"&lt;&gt;",Leads[Data de entrada],"&gt;="&amp;A43,Leads[Data de entrada],"&lt;"&amp;(B43+1))</f>
        <v>0</v>
      </c>
      <c r="D43" s="12">
        <f>COUNTIFS(Leads[CPF],"&lt;&gt;",Leads[Data de entrada],"&gt;="&amp;A43,Leads[Data de entrada],"&lt;"&amp;(B43+1),Leads[Data do agendamento],"&gt;0")</f>
        <v>0</v>
      </c>
      <c r="E43" s="12">
        <f>COUNTIFS(Leads[CPF],"&lt;&gt;",Leads[Data de entrada],"&gt;="&amp;A43,Leads[Data de entrada],"&lt;"&amp;(B43+1),Leads[Data da conversa presencial executada],"&gt;0")</f>
        <v>0</v>
      </c>
      <c r="F43" s="13">
        <f>IFERROR(AVERAGEIFS(Leads[Tempo de resposta (min)],Leads[CPF],"&lt;&gt;",Leads[Data de entrada],"&gt;="&amp;A43,Leads[Data de entrada],"&lt;"&amp;(B43+1),Leads[Tempo de resposta (min)],"&gt;=0",Leads[Tempo de resposta (min)],"&lt;&gt;"),"")</f>
        <v/>
      </c>
      <c r="G43" s="12">
        <f>COUNTIFS(Leads[CPF],"&lt;&gt;",Leads[Data de entrada],"&gt;="&amp;A43,Leads[Data de entrada],"&lt;"&amp;(B43+1),Leads[Tempo de resposta (min)],"&gt;=0",Leads[Tempo de resposta (min)],"&lt;&gt;")</f>
        <v>0</v>
      </c>
      <c r="H43" s="14">
        <f>IFERROR(D43/C43,"")</f>
        <v/>
      </c>
      <c r="I43" s="14">
        <f>IFERROR(E43/D43,"")</f>
        <v/>
      </c>
      <c r="J43" s="14">
        <f>IFERROR(E43/C43,"")</f>
        <v/>
      </c>
    </row>
    <row r="44" spans="1:10">
      <c r="A44" s="5">
        <f>A43+7</f>
        <v>0</v>
      </c>
      <c r="B44" s="5">
        <f>A44+6</f>
        <v>0</v>
      </c>
      <c r="C44" s="12">
        <f>COUNTIFS(Leads[CPF],"&lt;&gt;",Leads[Data de entrada],"&gt;="&amp;A44,Leads[Data de entrada],"&lt;"&amp;(B44+1))</f>
        <v>0</v>
      </c>
      <c r="D44" s="12">
        <f>COUNTIFS(Leads[CPF],"&lt;&gt;",Leads[Data de entrada],"&gt;="&amp;A44,Leads[Data de entrada],"&lt;"&amp;(B44+1),Leads[Data do agendamento],"&gt;0")</f>
        <v>0</v>
      </c>
      <c r="E44" s="12">
        <f>COUNTIFS(Leads[CPF],"&lt;&gt;",Leads[Data de entrada],"&gt;="&amp;A44,Leads[Data de entrada],"&lt;"&amp;(B44+1),Leads[Data da conversa presencial executada],"&gt;0")</f>
        <v>0</v>
      </c>
      <c r="F44" s="13">
        <f>IFERROR(AVERAGEIFS(Leads[Tempo de resposta (min)],Leads[CPF],"&lt;&gt;",Leads[Data de entrada],"&gt;="&amp;A44,Leads[Data de entrada],"&lt;"&amp;(B44+1),Leads[Tempo de resposta (min)],"&gt;=0",Leads[Tempo de resposta (min)],"&lt;&gt;"),"")</f>
        <v/>
      </c>
      <c r="G44" s="12">
        <f>COUNTIFS(Leads[CPF],"&lt;&gt;",Leads[Data de entrada],"&gt;="&amp;A44,Leads[Data de entrada],"&lt;"&amp;(B44+1),Leads[Tempo de resposta (min)],"&gt;=0",Leads[Tempo de resposta (min)],"&lt;&gt;")</f>
        <v>0</v>
      </c>
      <c r="H44" s="14">
        <f>IFERROR(D44/C44,"")</f>
        <v/>
      </c>
      <c r="I44" s="14">
        <f>IFERROR(E44/D44,"")</f>
        <v/>
      </c>
      <c r="J44" s="14">
        <f>IFERROR(E44/C44,"")</f>
        <v/>
      </c>
    </row>
    <row r="45" spans="1:10">
      <c r="A45" s="5">
        <f>A44+7</f>
        <v>0</v>
      </c>
      <c r="B45" s="5">
        <f>A45+6</f>
        <v>0</v>
      </c>
      <c r="C45" s="12">
        <f>COUNTIFS(Leads[CPF],"&lt;&gt;",Leads[Data de entrada],"&gt;="&amp;A45,Leads[Data de entrada],"&lt;"&amp;(B45+1))</f>
        <v>0</v>
      </c>
      <c r="D45" s="12">
        <f>COUNTIFS(Leads[CPF],"&lt;&gt;",Leads[Data de entrada],"&gt;="&amp;A45,Leads[Data de entrada],"&lt;"&amp;(B45+1),Leads[Data do agendamento],"&gt;0")</f>
        <v>0</v>
      </c>
      <c r="E45" s="12">
        <f>COUNTIFS(Leads[CPF],"&lt;&gt;",Leads[Data de entrada],"&gt;="&amp;A45,Leads[Data de entrada],"&lt;"&amp;(B45+1),Leads[Data da conversa presencial executada],"&gt;0")</f>
        <v>0</v>
      </c>
      <c r="F45" s="13">
        <f>IFERROR(AVERAGEIFS(Leads[Tempo de resposta (min)],Leads[CPF],"&lt;&gt;",Leads[Data de entrada],"&gt;="&amp;A45,Leads[Data de entrada],"&lt;"&amp;(B45+1),Leads[Tempo de resposta (min)],"&gt;=0",Leads[Tempo de resposta (min)],"&lt;&gt;"),"")</f>
        <v/>
      </c>
      <c r="G45" s="12">
        <f>COUNTIFS(Leads[CPF],"&lt;&gt;",Leads[Data de entrada],"&gt;="&amp;A45,Leads[Data de entrada],"&lt;"&amp;(B45+1),Leads[Tempo de resposta (min)],"&gt;=0",Leads[Tempo de resposta (min)],"&lt;&gt;")</f>
        <v>0</v>
      </c>
      <c r="H45" s="14">
        <f>IFERROR(D45/C45,"")</f>
        <v/>
      </c>
      <c r="I45" s="14">
        <f>IFERROR(E45/D45,"")</f>
        <v/>
      </c>
      <c r="J45" s="14">
        <f>IFERROR(E45/C45,"")</f>
        <v/>
      </c>
    </row>
    <row r="46" spans="1:10">
      <c r="A46" s="5">
        <f>A45+7</f>
        <v>0</v>
      </c>
      <c r="B46" s="5">
        <f>A46+6</f>
        <v>0</v>
      </c>
      <c r="C46" s="12">
        <f>COUNTIFS(Leads[CPF],"&lt;&gt;",Leads[Data de entrada],"&gt;="&amp;A46,Leads[Data de entrada],"&lt;"&amp;(B46+1))</f>
        <v>0</v>
      </c>
      <c r="D46" s="12">
        <f>COUNTIFS(Leads[CPF],"&lt;&gt;",Leads[Data de entrada],"&gt;="&amp;A46,Leads[Data de entrada],"&lt;"&amp;(B46+1),Leads[Data do agendamento],"&gt;0")</f>
        <v>0</v>
      </c>
      <c r="E46" s="12">
        <f>COUNTIFS(Leads[CPF],"&lt;&gt;",Leads[Data de entrada],"&gt;="&amp;A46,Leads[Data de entrada],"&lt;"&amp;(B46+1),Leads[Data da conversa presencial executada],"&gt;0")</f>
        <v>0</v>
      </c>
      <c r="F46" s="13">
        <f>IFERROR(AVERAGEIFS(Leads[Tempo de resposta (min)],Leads[CPF],"&lt;&gt;",Leads[Data de entrada],"&gt;="&amp;A46,Leads[Data de entrada],"&lt;"&amp;(B46+1),Leads[Tempo de resposta (min)],"&gt;=0",Leads[Tempo de resposta (min)],"&lt;&gt;"),"")</f>
        <v/>
      </c>
      <c r="G46" s="12">
        <f>COUNTIFS(Leads[CPF],"&lt;&gt;",Leads[Data de entrada],"&gt;="&amp;A46,Leads[Data de entrada],"&lt;"&amp;(B46+1),Leads[Tempo de resposta (min)],"&gt;=0",Leads[Tempo de resposta (min)],"&lt;&gt;")</f>
        <v>0</v>
      </c>
      <c r="H46" s="14">
        <f>IFERROR(D46/C46,"")</f>
        <v/>
      </c>
      <c r="I46" s="14">
        <f>IFERROR(E46/D46,"")</f>
        <v/>
      </c>
      <c r="J46" s="14">
        <f>IFERROR(E46/C46,"")</f>
        <v/>
      </c>
    </row>
    <row r="47" spans="1:10">
      <c r="A47" s="5">
        <f>A46+7</f>
        <v>0</v>
      </c>
      <c r="B47" s="5">
        <f>A47+6</f>
        <v>0</v>
      </c>
      <c r="C47" s="12">
        <f>COUNTIFS(Leads[CPF],"&lt;&gt;",Leads[Data de entrada],"&gt;="&amp;A47,Leads[Data de entrada],"&lt;"&amp;(B47+1))</f>
        <v>0</v>
      </c>
      <c r="D47" s="12">
        <f>COUNTIFS(Leads[CPF],"&lt;&gt;",Leads[Data de entrada],"&gt;="&amp;A47,Leads[Data de entrada],"&lt;"&amp;(B47+1),Leads[Data do agendamento],"&gt;0")</f>
        <v>0</v>
      </c>
      <c r="E47" s="12">
        <f>COUNTIFS(Leads[CPF],"&lt;&gt;",Leads[Data de entrada],"&gt;="&amp;A47,Leads[Data de entrada],"&lt;"&amp;(B47+1),Leads[Data da conversa presencial executada],"&gt;0")</f>
        <v>0</v>
      </c>
      <c r="F47" s="13">
        <f>IFERROR(AVERAGEIFS(Leads[Tempo de resposta (min)],Leads[CPF],"&lt;&gt;",Leads[Data de entrada],"&gt;="&amp;A47,Leads[Data de entrada],"&lt;"&amp;(B47+1),Leads[Tempo de resposta (min)],"&gt;=0",Leads[Tempo de resposta (min)],"&lt;&gt;"),"")</f>
        <v/>
      </c>
      <c r="G47" s="12">
        <f>COUNTIFS(Leads[CPF],"&lt;&gt;",Leads[Data de entrada],"&gt;="&amp;A47,Leads[Data de entrada],"&lt;"&amp;(B47+1),Leads[Tempo de resposta (min)],"&gt;=0",Leads[Tempo de resposta (min)],"&lt;&gt;")</f>
        <v>0</v>
      </c>
      <c r="H47" s="14">
        <f>IFERROR(D47/C47,"")</f>
        <v/>
      </c>
      <c r="I47" s="14">
        <f>IFERROR(E47/D47,"")</f>
        <v/>
      </c>
      <c r="J47" s="14">
        <f>IFERROR(E47/C47,"")</f>
        <v/>
      </c>
    </row>
    <row r="48" spans="1:10">
      <c r="A48" s="5">
        <f>A47+7</f>
        <v>0</v>
      </c>
      <c r="B48" s="5">
        <f>A48+6</f>
        <v>0</v>
      </c>
      <c r="C48" s="12">
        <f>COUNTIFS(Leads[CPF],"&lt;&gt;",Leads[Data de entrada],"&gt;="&amp;A48,Leads[Data de entrada],"&lt;"&amp;(B48+1))</f>
        <v>0</v>
      </c>
      <c r="D48" s="12">
        <f>COUNTIFS(Leads[CPF],"&lt;&gt;",Leads[Data de entrada],"&gt;="&amp;A48,Leads[Data de entrada],"&lt;"&amp;(B48+1),Leads[Data do agendamento],"&gt;0")</f>
        <v>0</v>
      </c>
      <c r="E48" s="12">
        <f>COUNTIFS(Leads[CPF],"&lt;&gt;",Leads[Data de entrada],"&gt;="&amp;A48,Leads[Data de entrada],"&lt;"&amp;(B48+1),Leads[Data da conversa presencial executada],"&gt;0")</f>
        <v>0</v>
      </c>
      <c r="F48" s="13">
        <f>IFERROR(AVERAGEIFS(Leads[Tempo de resposta (min)],Leads[CPF],"&lt;&gt;",Leads[Data de entrada],"&gt;="&amp;A48,Leads[Data de entrada],"&lt;"&amp;(B48+1),Leads[Tempo de resposta (min)],"&gt;=0",Leads[Tempo de resposta (min)],"&lt;&gt;"),"")</f>
        <v/>
      </c>
      <c r="G48" s="12">
        <f>COUNTIFS(Leads[CPF],"&lt;&gt;",Leads[Data de entrada],"&gt;="&amp;A48,Leads[Data de entrada],"&lt;"&amp;(B48+1),Leads[Tempo de resposta (min)],"&gt;=0",Leads[Tempo de resposta (min)],"&lt;&gt;")</f>
        <v>0</v>
      </c>
      <c r="H48" s="14">
        <f>IFERROR(D48/C48,"")</f>
        <v/>
      </c>
      <c r="I48" s="14">
        <f>IFERROR(E48/D48,"")</f>
        <v/>
      </c>
      <c r="J48" s="14">
        <f>IFERROR(E48/C48,"")</f>
        <v/>
      </c>
    </row>
    <row r="49" spans="1:10">
      <c r="A49" s="5">
        <f>A48+7</f>
        <v>0</v>
      </c>
      <c r="B49" s="5">
        <f>A49+6</f>
        <v>0</v>
      </c>
      <c r="C49" s="12">
        <f>COUNTIFS(Leads[CPF],"&lt;&gt;",Leads[Data de entrada],"&gt;="&amp;A49,Leads[Data de entrada],"&lt;"&amp;(B49+1))</f>
        <v>0</v>
      </c>
      <c r="D49" s="12">
        <f>COUNTIFS(Leads[CPF],"&lt;&gt;",Leads[Data de entrada],"&gt;="&amp;A49,Leads[Data de entrada],"&lt;"&amp;(B49+1),Leads[Data do agendamento],"&gt;0")</f>
        <v>0</v>
      </c>
      <c r="E49" s="12">
        <f>COUNTIFS(Leads[CPF],"&lt;&gt;",Leads[Data de entrada],"&gt;="&amp;A49,Leads[Data de entrada],"&lt;"&amp;(B49+1),Leads[Data da conversa presencial executada],"&gt;0")</f>
        <v>0</v>
      </c>
      <c r="F49" s="13">
        <f>IFERROR(AVERAGEIFS(Leads[Tempo de resposta (min)],Leads[CPF],"&lt;&gt;",Leads[Data de entrada],"&gt;="&amp;A49,Leads[Data de entrada],"&lt;"&amp;(B49+1),Leads[Tempo de resposta (min)],"&gt;=0",Leads[Tempo de resposta (min)],"&lt;&gt;"),"")</f>
        <v/>
      </c>
      <c r="G49" s="12">
        <f>COUNTIFS(Leads[CPF],"&lt;&gt;",Leads[Data de entrada],"&gt;="&amp;A49,Leads[Data de entrada],"&lt;"&amp;(B49+1),Leads[Tempo de resposta (min)],"&gt;=0",Leads[Tempo de resposta (min)],"&lt;&gt;")</f>
        <v>0</v>
      </c>
      <c r="H49" s="14">
        <f>IFERROR(D49/C49,"")</f>
        <v/>
      </c>
      <c r="I49" s="14">
        <f>IFERROR(E49/D49,"")</f>
        <v/>
      </c>
      <c r="J49" s="14">
        <f>IFERROR(E49/C49,"")</f>
        <v/>
      </c>
    </row>
    <row r="50" spans="1:10">
      <c r="A50" s="5">
        <f>A49+7</f>
        <v>0</v>
      </c>
      <c r="B50" s="5">
        <f>A50+6</f>
        <v>0</v>
      </c>
      <c r="C50" s="12">
        <f>COUNTIFS(Leads[CPF],"&lt;&gt;",Leads[Data de entrada],"&gt;="&amp;A50,Leads[Data de entrada],"&lt;"&amp;(B50+1))</f>
        <v>0</v>
      </c>
      <c r="D50" s="12">
        <f>COUNTIFS(Leads[CPF],"&lt;&gt;",Leads[Data de entrada],"&gt;="&amp;A50,Leads[Data de entrada],"&lt;"&amp;(B50+1),Leads[Data do agendamento],"&gt;0")</f>
        <v>0</v>
      </c>
      <c r="E50" s="12">
        <f>COUNTIFS(Leads[CPF],"&lt;&gt;",Leads[Data de entrada],"&gt;="&amp;A50,Leads[Data de entrada],"&lt;"&amp;(B50+1),Leads[Data da conversa presencial executada],"&gt;0")</f>
        <v>0</v>
      </c>
      <c r="F50" s="13">
        <f>IFERROR(AVERAGEIFS(Leads[Tempo de resposta (min)],Leads[CPF],"&lt;&gt;",Leads[Data de entrada],"&gt;="&amp;A50,Leads[Data de entrada],"&lt;"&amp;(B50+1),Leads[Tempo de resposta (min)],"&gt;=0",Leads[Tempo de resposta (min)],"&lt;&gt;"),"")</f>
        <v/>
      </c>
      <c r="G50" s="12">
        <f>COUNTIFS(Leads[CPF],"&lt;&gt;",Leads[Data de entrada],"&gt;="&amp;A50,Leads[Data de entrada],"&lt;"&amp;(B50+1),Leads[Tempo de resposta (min)],"&gt;=0",Leads[Tempo de resposta (min)],"&lt;&gt;")</f>
        <v>0</v>
      </c>
      <c r="H50" s="14">
        <f>IFERROR(D50/C50,"")</f>
        <v/>
      </c>
      <c r="I50" s="14">
        <f>IFERROR(E50/D50,"")</f>
        <v/>
      </c>
      <c r="J50" s="14">
        <f>IFERROR(E50/C50,"")</f>
        <v/>
      </c>
    </row>
    <row r="51" spans="1:10">
      <c r="A51" s="5">
        <f>A50+7</f>
        <v>0</v>
      </c>
      <c r="B51" s="5">
        <f>A51+6</f>
        <v>0</v>
      </c>
      <c r="C51" s="12">
        <f>COUNTIFS(Leads[CPF],"&lt;&gt;",Leads[Data de entrada],"&gt;="&amp;A51,Leads[Data de entrada],"&lt;"&amp;(B51+1))</f>
        <v>0</v>
      </c>
      <c r="D51" s="12">
        <f>COUNTIFS(Leads[CPF],"&lt;&gt;",Leads[Data de entrada],"&gt;="&amp;A51,Leads[Data de entrada],"&lt;"&amp;(B51+1),Leads[Data do agendamento],"&gt;0")</f>
        <v>0</v>
      </c>
      <c r="E51" s="12">
        <f>COUNTIFS(Leads[CPF],"&lt;&gt;",Leads[Data de entrada],"&gt;="&amp;A51,Leads[Data de entrada],"&lt;"&amp;(B51+1),Leads[Data da conversa presencial executada],"&gt;0")</f>
        <v>0</v>
      </c>
      <c r="F51" s="13">
        <f>IFERROR(AVERAGEIFS(Leads[Tempo de resposta (min)],Leads[CPF],"&lt;&gt;",Leads[Data de entrada],"&gt;="&amp;A51,Leads[Data de entrada],"&lt;"&amp;(B51+1),Leads[Tempo de resposta (min)],"&gt;=0",Leads[Tempo de resposta (min)],"&lt;&gt;"),"")</f>
        <v/>
      </c>
      <c r="G51" s="12">
        <f>COUNTIFS(Leads[CPF],"&lt;&gt;",Leads[Data de entrada],"&gt;="&amp;A51,Leads[Data de entrada],"&lt;"&amp;(B51+1),Leads[Tempo de resposta (min)],"&gt;=0",Leads[Tempo de resposta (min)],"&lt;&gt;")</f>
        <v>0</v>
      </c>
      <c r="H51" s="14">
        <f>IFERROR(D51/C51,"")</f>
        <v/>
      </c>
      <c r="I51" s="14">
        <f>IFERROR(E51/D51,"")</f>
        <v/>
      </c>
      <c r="J51" s="14">
        <f>IFERROR(E51/C51,"")</f>
        <v/>
      </c>
    </row>
    <row r="52" spans="1:10">
      <c r="A52" s="5">
        <f>A51+7</f>
        <v>0</v>
      </c>
      <c r="B52" s="5">
        <f>A52+6</f>
        <v>0</v>
      </c>
      <c r="C52" s="12">
        <f>COUNTIFS(Leads[CPF],"&lt;&gt;",Leads[Data de entrada],"&gt;="&amp;A52,Leads[Data de entrada],"&lt;"&amp;(B52+1))</f>
        <v>0</v>
      </c>
      <c r="D52" s="12">
        <f>COUNTIFS(Leads[CPF],"&lt;&gt;",Leads[Data de entrada],"&gt;="&amp;A52,Leads[Data de entrada],"&lt;"&amp;(B52+1),Leads[Data do agendamento],"&gt;0")</f>
        <v>0</v>
      </c>
      <c r="E52" s="12">
        <f>COUNTIFS(Leads[CPF],"&lt;&gt;",Leads[Data de entrada],"&gt;="&amp;A52,Leads[Data de entrada],"&lt;"&amp;(B52+1),Leads[Data da conversa presencial executada],"&gt;0")</f>
        <v>0</v>
      </c>
      <c r="F52" s="13">
        <f>IFERROR(AVERAGEIFS(Leads[Tempo de resposta (min)],Leads[CPF],"&lt;&gt;",Leads[Data de entrada],"&gt;="&amp;A52,Leads[Data de entrada],"&lt;"&amp;(B52+1),Leads[Tempo de resposta (min)],"&gt;=0",Leads[Tempo de resposta (min)],"&lt;&gt;"),"")</f>
        <v/>
      </c>
      <c r="G52" s="12">
        <f>COUNTIFS(Leads[CPF],"&lt;&gt;",Leads[Data de entrada],"&gt;="&amp;A52,Leads[Data de entrada],"&lt;"&amp;(B52+1),Leads[Tempo de resposta (min)],"&gt;=0",Leads[Tempo de resposta (min)],"&lt;&gt;")</f>
        <v>0</v>
      </c>
      <c r="H52" s="14">
        <f>IFERROR(D52/C52,"")</f>
        <v/>
      </c>
      <c r="I52" s="14">
        <f>IFERROR(E52/D52,"")</f>
        <v/>
      </c>
      <c r="J52" s="14">
        <f>IFERROR(E52/C52,"")</f>
        <v/>
      </c>
    </row>
    <row r="53" spans="1:10">
      <c r="A53" s="5">
        <f>A52+7</f>
        <v>0</v>
      </c>
      <c r="B53" s="5">
        <f>A53+6</f>
        <v>0</v>
      </c>
      <c r="C53" s="12">
        <f>COUNTIFS(Leads[CPF],"&lt;&gt;",Leads[Data de entrada],"&gt;="&amp;A53,Leads[Data de entrada],"&lt;"&amp;(B53+1))</f>
        <v>0</v>
      </c>
      <c r="D53" s="12">
        <f>COUNTIFS(Leads[CPF],"&lt;&gt;",Leads[Data de entrada],"&gt;="&amp;A53,Leads[Data de entrada],"&lt;"&amp;(B53+1),Leads[Data do agendamento],"&gt;0")</f>
        <v>0</v>
      </c>
      <c r="E53" s="12">
        <f>COUNTIFS(Leads[CPF],"&lt;&gt;",Leads[Data de entrada],"&gt;="&amp;A53,Leads[Data de entrada],"&lt;"&amp;(B53+1),Leads[Data da conversa presencial executada],"&gt;0")</f>
        <v>0</v>
      </c>
      <c r="F53" s="13">
        <f>IFERROR(AVERAGEIFS(Leads[Tempo de resposta (min)],Leads[CPF],"&lt;&gt;",Leads[Data de entrada],"&gt;="&amp;A53,Leads[Data de entrada],"&lt;"&amp;(B53+1),Leads[Tempo de resposta (min)],"&gt;=0",Leads[Tempo de resposta (min)],"&lt;&gt;"),"")</f>
        <v/>
      </c>
      <c r="G53" s="12">
        <f>COUNTIFS(Leads[CPF],"&lt;&gt;",Leads[Data de entrada],"&gt;="&amp;A53,Leads[Data de entrada],"&lt;"&amp;(B53+1),Leads[Tempo de resposta (min)],"&gt;=0",Leads[Tempo de resposta (min)],"&lt;&gt;")</f>
        <v>0</v>
      </c>
      <c r="H53" s="14">
        <f>IFERROR(D53/C53,"")</f>
        <v/>
      </c>
      <c r="I53" s="14">
        <f>IFERROR(E53/D53,"")</f>
        <v/>
      </c>
      <c r="J53" s="14">
        <f>IFERROR(E53/C53,"")</f>
        <v/>
      </c>
    </row>
    <row r="54" spans="1:10">
      <c r="A54" s="5">
        <f>A53+7</f>
        <v>0</v>
      </c>
      <c r="B54" s="5">
        <f>A54+6</f>
        <v>0</v>
      </c>
      <c r="C54" s="12">
        <f>COUNTIFS(Leads[CPF],"&lt;&gt;",Leads[Data de entrada],"&gt;="&amp;A54,Leads[Data de entrada],"&lt;"&amp;(B54+1))</f>
        <v>0</v>
      </c>
      <c r="D54" s="12">
        <f>COUNTIFS(Leads[CPF],"&lt;&gt;",Leads[Data de entrada],"&gt;="&amp;A54,Leads[Data de entrada],"&lt;"&amp;(B54+1),Leads[Data do agendamento],"&gt;0")</f>
        <v>0</v>
      </c>
      <c r="E54" s="12">
        <f>COUNTIFS(Leads[CPF],"&lt;&gt;",Leads[Data de entrada],"&gt;="&amp;A54,Leads[Data de entrada],"&lt;"&amp;(B54+1),Leads[Data da conversa presencial executada],"&gt;0")</f>
        <v>0</v>
      </c>
      <c r="F54" s="13">
        <f>IFERROR(AVERAGEIFS(Leads[Tempo de resposta (min)],Leads[CPF],"&lt;&gt;",Leads[Data de entrada],"&gt;="&amp;A54,Leads[Data de entrada],"&lt;"&amp;(B54+1),Leads[Tempo de resposta (min)],"&gt;=0",Leads[Tempo de resposta (min)],"&lt;&gt;"),"")</f>
        <v/>
      </c>
      <c r="G54" s="12">
        <f>COUNTIFS(Leads[CPF],"&lt;&gt;",Leads[Data de entrada],"&gt;="&amp;A54,Leads[Data de entrada],"&lt;"&amp;(B54+1),Leads[Tempo de resposta (min)],"&gt;=0",Leads[Tempo de resposta (min)],"&lt;&gt;")</f>
        <v>0</v>
      </c>
      <c r="H54" s="14">
        <f>IFERROR(D54/C54,"")</f>
        <v/>
      </c>
      <c r="I54" s="14">
        <f>IFERROR(E54/D54,"")</f>
        <v/>
      </c>
      <c r="J54" s="14">
        <f>IFERROR(E54/C54,"")</f>
        <v/>
      </c>
    </row>
    <row r="55" spans="1:10">
      <c r="A55" s="5">
        <f>A54+7</f>
        <v>0</v>
      </c>
      <c r="B55" s="5">
        <f>A55+6</f>
        <v>0</v>
      </c>
      <c r="C55" s="12">
        <f>COUNTIFS(Leads[CPF],"&lt;&gt;",Leads[Data de entrada],"&gt;="&amp;A55,Leads[Data de entrada],"&lt;"&amp;(B55+1))</f>
        <v>0</v>
      </c>
      <c r="D55" s="12">
        <f>COUNTIFS(Leads[CPF],"&lt;&gt;",Leads[Data de entrada],"&gt;="&amp;A55,Leads[Data de entrada],"&lt;"&amp;(B55+1),Leads[Data do agendamento],"&gt;0")</f>
        <v>0</v>
      </c>
      <c r="E55" s="12">
        <f>COUNTIFS(Leads[CPF],"&lt;&gt;",Leads[Data de entrada],"&gt;="&amp;A55,Leads[Data de entrada],"&lt;"&amp;(B55+1),Leads[Data da conversa presencial executada],"&gt;0")</f>
        <v>0</v>
      </c>
      <c r="F55" s="13">
        <f>IFERROR(AVERAGEIFS(Leads[Tempo de resposta (min)],Leads[CPF],"&lt;&gt;",Leads[Data de entrada],"&gt;="&amp;A55,Leads[Data de entrada],"&lt;"&amp;(B55+1),Leads[Tempo de resposta (min)],"&gt;=0",Leads[Tempo de resposta (min)],"&lt;&gt;"),"")</f>
        <v/>
      </c>
      <c r="G55" s="12">
        <f>COUNTIFS(Leads[CPF],"&lt;&gt;",Leads[Data de entrada],"&gt;="&amp;A55,Leads[Data de entrada],"&lt;"&amp;(B55+1),Leads[Tempo de resposta (min)],"&gt;=0",Leads[Tempo de resposta (min)],"&lt;&gt;")</f>
        <v>0</v>
      </c>
      <c r="H55" s="14">
        <f>IFERROR(D55/C55,"")</f>
        <v/>
      </c>
      <c r="I55" s="14">
        <f>IFERROR(E55/D55,"")</f>
        <v/>
      </c>
      <c r="J55" s="14">
        <f>IFERROR(E55/C55,"")</f>
        <v/>
      </c>
    </row>
    <row r="56" spans="1:10">
      <c r="A56" s="5">
        <f>A55+7</f>
        <v>0</v>
      </c>
      <c r="B56" s="5">
        <f>A56+6</f>
        <v>0</v>
      </c>
      <c r="C56" s="12">
        <f>COUNTIFS(Leads[CPF],"&lt;&gt;",Leads[Data de entrada],"&gt;="&amp;A56,Leads[Data de entrada],"&lt;"&amp;(B56+1))</f>
        <v>0</v>
      </c>
      <c r="D56" s="12">
        <f>COUNTIFS(Leads[CPF],"&lt;&gt;",Leads[Data de entrada],"&gt;="&amp;A56,Leads[Data de entrada],"&lt;"&amp;(B56+1),Leads[Data do agendamento],"&gt;0")</f>
        <v>0</v>
      </c>
      <c r="E56" s="12">
        <f>COUNTIFS(Leads[CPF],"&lt;&gt;",Leads[Data de entrada],"&gt;="&amp;A56,Leads[Data de entrada],"&lt;"&amp;(B56+1),Leads[Data da conversa presencial executada],"&gt;0")</f>
        <v>0</v>
      </c>
      <c r="F56" s="13">
        <f>IFERROR(AVERAGEIFS(Leads[Tempo de resposta (min)],Leads[CPF],"&lt;&gt;",Leads[Data de entrada],"&gt;="&amp;A56,Leads[Data de entrada],"&lt;"&amp;(B56+1),Leads[Tempo de resposta (min)],"&gt;=0",Leads[Tempo de resposta (min)],"&lt;&gt;"),"")</f>
        <v/>
      </c>
      <c r="G56" s="12">
        <f>COUNTIFS(Leads[CPF],"&lt;&gt;",Leads[Data de entrada],"&gt;="&amp;A56,Leads[Data de entrada],"&lt;"&amp;(B56+1),Leads[Tempo de resposta (min)],"&gt;=0",Leads[Tempo de resposta (min)],"&lt;&gt;")</f>
        <v>0</v>
      </c>
      <c r="H56" s="14">
        <f>IFERROR(D56/C56,"")</f>
        <v/>
      </c>
      <c r="I56" s="14">
        <f>IFERROR(E56/D56,"")</f>
        <v/>
      </c>
      <c r="J56" s="14">
        <f>IFERROR(E56/C56,"")</f>
        <v/>
      </c>
    </row>
    <row r="57" spans="1:10">
      <c r="A57" s="5">
        <f>A56+7</f>
        <v>0</v>
      </c>
      <c r="B57" s="5">
        <f>A57+6</f>
        <v>0</v>
      </c>
      <c r="C57" s="12">
        <f>COUNTIFS(Leads[CPF],"&lt;&gt;",Leads[Data de entrada],"&gt;="&amp;A57,Leads[Data de entrada],"&lt;"&amp;(B57+1))</f>
        <v>0</v>
      </c>
      <c r="D57" s="12">
        <f>COUNTIFS(Leads[CPF],"&lt;&gt;",Leads[Data de entrada],"&gt;="&amp;A57,Leads[Data de entrada],"&lt;"&amp;(B57+1),Leads[Data do agendamento],"&gt;0")</f>
        <v>0</v>
      </c>
      <c r="E57" s="12">
        <f>COUNTIFS(Leads[CPF],"&lt;&gt;",Leads[Data de entrada],"&gt;="&amp;A57,Leads[Data de entrada],"&lt;"&amp;(B57+1),Leads[Data da conversa presencial executada],"&gt;0")</f>
        <v>0</v>
      </c>
      <c r="F57" s="13">
        <f>IFERROR(AVERAGEIFS(Leads[Tempo de resposta (min)],Leads[CPF],"&lt;&gt;",Leads[Data de entrada],"&gt;="&amp;A57,Leads[Data de entrada],"&lt;"&amp;(B57+1),Leads[Tempo de resposta (min)],"&gt;=0",Leads[Tempo de resposta (min)],"&lt;&gt;"),"")</f>
        <v/>
      </c>
      <c r="G57" s="12">
        <f>COUNTIFS(Leads[CPF],"&lt;&gt;",Leads[Data de entrada],"&gt;="&amp;A57,Leads[Data de entrada],"&lt;"&amp;(B57+1),Leads[Tempo de resposta (min)],"&gt;=0",Leads[Tempo de resposta (min)],"&lt;&gt;")</f>
        <v>0</v>
      </c>
      <c r="H57" s="14">
        <f>IFERROR(D57/C57,"")</f>
        <v/>
      </c>
      <c r="I57" s="14">
        <f>IFERROR(E57/D57,"")</f>
        <v/>
      </c>
      <c r="J57" s="14">
        <f>IFERROR(E57/C57,"")</f>
        <v/>
      </c>
    </row>
    <row r="58" spans="1:10">
      <c r="A58" s="5">
        <f>A57+7</f>
        <v>0</v>
      </c>
      <c r="B58" s="5">
        <f>A58+6</f>
        <v>0</v>
      </c>
      <c r="C58" s="12">
        <f>COUNTIFS(Leads[CPF],"&lt;&gt;",Leads[Data de entrada],"&gt;="&amp;A58,Leads[Data de entrada],"&lt;"&amp;(B58+1))</f>
        <v>0</v>
      </c>
      <c r="D58" s="12">
        <f>COUNTIFS(Leads[CPF],"&lt;&gt;",Leads[Data de entrada],"&gt;="&amp;A58,Leads[Data de entrada],"&lt;"&amp;(B58+1),Leads[Data do agendamento],"&gt;0")</f>
        <v>0</v>
      </c>
      <c r="E58" s="12">
        <f>COUNTIFS(Leads[CPF],"&lt;&gt;",Leads[Data de entrada],"&gt;="&amp;A58,Leads[Data de entrada],"&lt;"&amp;(B58+1),Leads[Data da conversa presencial executada],"&gt;0")</f>
        <v>0</v>
      </c>
      <c r="F58" s="13">
        <f>IFERROR(AVERAGEIFS(Leads[Tempo de resposta (min)],Leads[CPF],"&lt;&gt;",Leads[Data de entrada],"&gt;="&amp;A58,Leads[Data de entrada],"&lt;"&amp;(B58+1),Leads[Tempo de resposta (min)],"&gt;=0",Leads[Tempo de resposta (min)],"&lt;&gt;"),"")</f>
        <v/>
      </c>
      <c r="G58" s="12">
        <f>COUNTIFS(Leads[CPF],"&lt;&gt;",Leads[Data de entrada],"&gt;="&amp;A58,Leads[Data de entrada],"&lt;"&amp;(B58+1),Leads[Tempo de resposta (min)],"&gt;=0",Leads[Tempo de resposta (min)],"&lt;&gt;")</f>
        <v>0</v>
      </c>
      <c r="H58" s="14">
        <f>IFERROR(D58/C58,"")</f>
        <v/>
      </c>
      <c r="I58" s="14">
        <f>IFERROR(E58/D58,"")</f>
        <v/>
      </c>
      <c r="J58" s="14">
        <f>IFERROR(E58/C58,"")</f>
        <v/>
      </c>
    </row>
    <row r="59" spans="1:10">
      <c r="A59" s="5">
        <f>A58+7</f>
        <v>0</v>
      </c>
      <c r="B59" s="5">
        <f>A59+6</f>
        <v>0</v>
      </c>
      <c r="C59" s="12">
        <f>COUNTIFS(Leads[CPF],"&lt;&gt;",Leads[Data de entrada],"&gt;="&amp;A59,Leads[Data de entrada],"&lt;"&amp;(B59+1))</f>
        <v>0</v>
      </c>
      <c r="D59" s="12">
        <f>COUNTIFS(Leads[CPF],"&lt;&gt;",Leads[Data de entrada],"&gt;="&amp;A59,Leads[Data de entrada],"&lt;"&amp;(B59+1),Leads[Data do agendamento],"&gt;0")</f>
        <v>0</v>
      </c>
      <c r="E59" s="12">
        <f>COUNTIFS(Leads[CPF],"&lt;&gt;",Leads[Data de entrada],"&gt;="&amp;A59,Leads[Data de entrada],"&lt;"&amp;(B59+1),Leads[Data da conversa presencial executada],"&gt;0")</f>
        <v>0</v>
      </c>
      <c r="F59" s="13">
        <f>IFERROR(AVERAGEIFS(Leads[Tempo de resposta (min)],Leads[CPF],"&lt;&gt;",Leads[Data de entrada],"&gt;="&amp;A59,Leads[Data de entrada],"&lt;"&amp;(B59+1),Leads[Tempo de resposta (min)],"&gt;=0",Leads[Tempo de resposta (min)],"&lt;&gt;"),"")</f>
        <v/>
      </c>
      <c r="G59" s="12">
        <f>COUNTIFS(Leads[CPF],"&lt;&gt;",Leads[Data de entrada],"&gt;="&amp;A59,Leads[Data de entrada],"&lt;"&amp;(B59+1),Leads[Tempo de resposta (min)],"&gt;=0",Leads[Tempo de resposta (min)],"&lt;&gt;")</f>
        <v>0</v>
      </c>
      <c r="H59" s="14">
        <f>IFERROR(D59/C59,"")</f>
        <v/>
      </c>
      <c r="I59" s="14">
        <f>IFERROR(E59/D59,"")</f>
        <v/>
      </c>
      <c r="J59" s="14">
        <f>IFERROR(E59/C59,"")</f>
        <v/>
      </c>
    </row>
    <row r="60" spans="1:10">
      <c r="A60" s="5">
        <f>A59+7</f>
        <v>0</v>
      </c>
      <c r="B60" s="5">
        <f>A60+6</f>
        <v>0</v>
      </c>
      <c r="C60" s="12">
        <f>COUNTIFS(Leads[CPF],"&lt;&gt;",Leads[Data de entrada],"&gt;="&amp;A60,Leads[Data de entrada],"&lt;"&amp;(B60+1))</f>
        <v>0</v>
      </c>
      <c r="D60" s="12">
        <f>COUNTIFS(Leads[CPF],"&lt;&gt;",Leads[Data de entrada],"&gt;="&amp;A60,Leads[Data de entrada],"&lt;"&amp;(B60+1),Leads[Data do agendamento],"&gt;0")</f>
        <v>0</v>
      </c>
      <c r="E60" s="12">
        <f>COUNTIFS(Leads[CPF],"&lt;&gt;",Leads[Data de entrada],"&gt;="&amp;A60,Leads[Data de entrada],"&lt;"&amp;(B60+1),Leads[Data da conversa presencial executada],"&gt;0")</f>
        <v>0</v>
      </c>
      <c r="F60" s="13">
        <f>IFERROR(AVERAGEIFS(Leads[Tempo de resposta (min)],Leads[CPF],"&lt;&gt;",Leads[Data de entrada],"&gt;="&amp;A60,Leads[Data de entrada],"&lt;"&amp;(B60+1),Leads[Tempo de resposta (min)],"&gt;=0",Leads[Tempo de resposta (min)],"&lt;&gt;"),"")</f>
        <v/>
      </c>
      <c r="G60" s="12">
        <f>COUNTIFS(Leads[CPF],"&lt;&gt;",Leads[Data de entrada],"&gt;="&amp;A60,Leads[Data de entrada],"&lt;"&amp;(B60+1),Leads[Tempo de resposta (min)],"&gt;=0",Leads[Tempo de resposta (min)],"&lt;&gt;")</f>
        <v>0</v>
      </c>
      <c r="H60" s="14">
        <f>IFERROR(D60/C60,"")</f>
        <v/>
      </c>
      <c r="I60" s="14">
        <f>IFERROR(E60/D60,"")</f>
        <v/>
      </c>
      <c r="J60" s="14">
        <f>IFERROR(E60/C60,"")</f>
        <v/>
      </c>
    </row>
    <row r="61" spans="1:10">
      <c r="A61" s="5">
        <f>A60+7</f>
        <v>0</v>
      </c>
      <c r="B61" s="5">
        <f>A61+6</f>
        <v>0</v>
      </c>
      <c r="C61" s="12">
        <f>COUNTIFS(Leads[CPF],"&lt;&gt;",Leads[Data de entrada],"&gt;="&amp;A61,Leads[Data de entrada],"&lt;"&amp;(B61+1))</f>
        <v>0</v>
      </c>
      <c r="D61" s="12">
        <f>COUNTIFS(Leads[CPF],"&lt;&gt;",Leads[Data de entrada],"&gt;="&amp;A61,Leads[Data de entrada],"&lt;"&amp;(B61+1),Leads[Data do agendamento],"&gt;0")</f>
        <v>0</v>
      </c>
      <c r="E61" s="12">
        <f>COUNTIFS(Leads[CPF],"&lt;&gt;",Leads[Data de entrada],"&gt;="&amp;A61,Leads[Data de entrada],"&lt;"&amp;(B61+1),Leads[Data da conversa presencial executada],"&gt;0")</f>
        <v>0</v>
      </c>
      <c r="F61" s="13">
        <f>IFERROR(AVERAGEIFS(Leads[Tempo de resposta (min)],Leads[CPF],"&lt;&gt;",Leads[Data de entrada],"&gt;="&amp;A61,Leads[Data de entrada],"&lt;"&amp;(B61+1),Leads[Tempo de resposta (min)],"&gt;=0",Leads[Tempo de resposta (min)],"&lt;&gt;"),"")</f>
        <v/>
      </c>
      <c r="G61" s="12">
        <f>COUNTIFS(Leads[CPF],"&lt;&gt;",Leads[Data de entrada],"&gt;="&amp;A61,Leads[Data de entrada],"&lt;"&amp;(B61+1),Leads[Tempo de resposta (min)],"&gt;=0",Leads[Tempo de resposta (min)],"&lt;&gt;")</f>
        <v>0</v>
      </c>
      <c r="H61" s="14">
        <f>IFERROR(D61/C61,"")</f>
        <v/>
      </c>
      <c r="I61" s="14">
        <f>IFERROR(E61/D61,"")</f>
        <v/>
      </c>
      <c r="J61" s="14">
        <f>IFERROR(E61/C61,"")</f>
        <v/>
      </c>
    </row>
    <row r="62" spans="1:10">
      <c r="A62" s="5">
        <f>A61+7</f>
        <v>0</v>
      </c>
      <c r="B62" s="5">
        <f>A62+6</f>
        <v>0</v>
      </c>
      <c r="C62" s="12">
        <f>COUNTIFS(Leads[CPF],"&lt;&gt;",Leads[Data de entrada],"&gt;="&amp;A62,Leads[Data de entrada],"&lt;"&amp;(B62+1))</f>
        <v>0</v>
      </c>
      <c r="D62" s="12">
        <f>COUNTIFS(Leads[CPF],"&lt;&gt;",Leads[Data de entrada],"&gt;="&amp;A62,Leads[Data de entrada],"&lt;"&amp;(B62+1),Leads[Data do agendamento],"&gt;0")</f>
        <v>0</v>
      </c>
      <c r="E62" s="12">
        <f>COUNTIFS(Leads[CPF],"&lt;&gt;",Leads[Data de entrada],"&gt;="&amp;A62,Leads[Data de entrada],"&lt;"&amp;(B62+1),Leads[Data da conversa presencial executada],"&gt;0")</f>
        <v>0</v>
      </c>
      <c r="F62" s="13">
        <f>IFERROR(AVERAGEIFS(Leads[Tempo de resposta (min)],Leads[CPF],"&lt;&gt;",Leads[Data de entrada],"&gt;="&amp;A62,Leads[Data de entrada],"&lt;"&amp;(B62+1),Leads[Tempo de resposta (min)],"&gt;=0",Leads[Tempo de resposta (min)],"&lt;&gt;"),"")</f>
        <v/>
      </c>
      <c r="G62" s="12">
        <f>COUNTIFS(Leads[CPF],"&lt;&gt;",Leads[Data de entrada],"&gt;="&amp;A62,Leads[Data de entrada],"&lt;"&amp;(B62+1),Leads[Tempo de resposta (min)],"&gt;=0",Leads[Tempo de resposta (min)],"&lt;&gt;")</f>
        <v>0</v>
      </c>
      <c r="H62" s="14">
        <f>IFERROR(D62/C62,"")</f>
        <v/>
      </c>
      <c r="I62" s="14">
        <f>IFERROR(E62/D62,"")</f>
        <v/>
      </c>
      <c r="J62" s="14">
        <f>IFERROR(E62/C62,"")</f>
        <v/>
      </c>
    </row>
    <row r="63" spans="1:10">
      <c r="A63" s="5">
        <f>A62+7</f>
        <v>0</v>
      </c>
      <c r="B63" s="5">
        <f>A63+6</f>
        <v>0</v>
      </c>
      <c r="C63" s="12">
        <f>COUNTIFS(Leads[CPF],"&lt;&gt;",Leads[Data de entrada],"&gt;="&amp;A63,Leads[Data de entrada],"&lt;"&amp;(B63+1))</f>
        <v>0</v>
      </c>
      <c r="D63" s="12">
        <f>COUNTIFS(Leads[CPF],"&lt;&gt;",Leads[Data de entrada],"&gt;="&amp;A63,Leads[Data de entrada],"&lt;"&amp;(B63+1),Leads[Data do agendamento],"&gt;0")</f>
        <v>0</v>
      </c>
      <c r="E63" s="12">
        <f>COUNTIFS(Leads[CPF],"&lt;&gt;",Leads[Data de entrada],"&gt;="&amp;A63,Leads[Data de entrada],"&lt;"&amp;(B63+1),Leads[Data da conversa presencial executada],"&gt;0")</f>
        <v>0</v>
      </c>
      <c r="F63" s="13">
        <f>IFERROR(AVERAGEIFS(Leads[Tempo de resposta (min)],Leads[CPF],"&lt;&gt;",Leads[Data de entrada],"&gt;="&amp;A63,Leads[Data de entrada],"&lt;"&amp;(B63+1),Leads[Tempo de resposta (min)],"&gt;=0",Leads[Tempo de resposta (min)],"&lt;&gt;"),"")</f>
        <v/>
      </c>
      <c r="G63" s="12">
        <f>COUNTIFS(Leads[CPF],"&lt;&gt;",Leads[Data de entrada],"&gt;="&amp;A63,Leads[Data de entrada],"&lt;"&amp;(B63+1),Leads[Tempo de resposta (min)],"&gt;=0",Leads[Tempo de resposta (min)],"&lt;&gt;")</f>
        <v>0</v>
      </c>
      <c r="H63" s="14">
        <f>IFERROR(D63/C63,"")</f>
        <v/>
      </c>
      <c r="I63" s="14">
        <f>IFERROR(E63/D63,"")</f>
        <v/>
      </c>
      <c r="J63" s="14">
        <f>IFERROR(E63/C63,"")</f>
        <v/>
      </c>
    </row>
    <row r="64" spans="1:10">
      <c r="A64" s="5">
        <f>A63+7</f>
        <v>0</v>
      </c>
      <c r="B64" s="5">
        <f>A64+6</f>
        <v>0</v>
      </c>
      <c r="C64" s="12">
        <f>COUNTIFS(Leads[CPF],"&lt;&gt;",Leads[Data de entrada],"&gt;="&amp;A64,Leads[Data de entrada],"&lt;"&amp;(B64+1))</f>
        <v>0</v>
      </c>
      <c r="D64" s="12">
        <f>COUNTIFS(Leads[CPF],"&lt;&gt;",Leads[Data de entrada],"&gt;="&amp;A64,Leads[Data de entrada],"&lt;"&amp;(B64+1),Leads[Data do agendamento],"&gt;0")</f>
        <v>0</v>
      </c>
      <c r="E64" s="12">
        <f>COUNTIFS(Leads[CPF],"&lt;&gt;",Leads[Data de entrada],"&gt;="&amp;A64,Leads[Data de entrada],"&lt;"&amp;(B64+1),Leads[Data da conversa presencial executada],"&gt;0")</f>
        <v>0</v>
      </c>
      <c r="F64" s="13">
        <f>IFERROR(AVERAGEIFS(Leads[Tempo de resposta (min)],Leads[CPF],"&lt;&gt;",Leads[Data de entrada],"&gt;="&amp;A64,Leads[Data de entrada],"&lt;"&amp;(B64+1),Leads[Tempo de resposta (min)],"&gt;=0",Leads[Tempo de resposta (min)],"&lt;&gt;"),"")</f>
        <v/>
      </c>
      <c r="G64" s="12">
        <f>COUNTIFS(Leads[CPF],"&lt;&gt;",Leads[Data de entrada],"&gt;="&amp;A64,Leads[Data de entrada],"&lt;"&amp;(B64+1),Leads[Tempo de resposta (min)],"&gt;=0",Leads[Tempo de resposta (min)],"&lt;&gt;")</f>
        <v>0</v>
      </c>
      <c r="H64" s="14">
        <f>IFERROR(D64/C64,"")</f>
        <v/>
      </c>
      <c r="I64" s="14">
        <f>IFERROR(E64/D64,"")</f>
        <v/>
      </c>
      <c r="J64" s="14">
        <f>IFERROR(E64/C64,"")</f>
        <v/>
      </c>
    </row>
    <row r="65" spans="1:10">
      <c r="A65" s="5">
        <f>A64+7</f>
        <v>0</v>
      </c>
      <c r="B65" s="5">
        <f>A65+6</f>
        <v>0</v>
      </c>
      <c r="C65" s="12">
        <f>COUNTIFS(Leads[CPF],"&lt;&gt;",Leads[Data de entrada],"&gt;="&amp;A65,Leads[Data de entrada],"&lt;"&amp;(B65+1))</f>
        <v>0</v>
      </c>
      <c r="D65" s="12">
        <f>COUNTIFS(Leads[CPF],"&lt;&gt;",Leads[Data de entrada],"&gt;="&amp;A65,Leads[Data de entrada],"&lt;"&amp;(B65+1),Leads[Data do agendamento],"&gt;0")</f>
        <v>0</v>
      </c>
      <c r="E65" s="12">
        <f>COUNTIFS(Leads[CPF],"&lt;&gt;",Leads[Data de entrada],"&gt;="&amp;A65,Leads[Data de entrada],"&lt;"&amp;(B65+1),Leads[Data da conversa presencial executada],"&gt;0")</f>
        <v>0</v>
      </c>
      <c r="F65" s="13">
        <f>IFERROR(AVERAGEIFS(Leads[Tempo de resposta (min)],Leads[CPF],"&lt;&gt;",Leads[Data de entrada],"&gt;="&amp;A65,Leads[Data de entrada],"&lt;"&amp;(B65+1),Leads[Tempo de resposta (min)],"&gt;=0",Leads[Tempo de resposta (min)],"&lt;&gt;"),"")</f>
        <v/>
      </c>
      <c r="G65" s="12">
        <f>COUNTIFS(Leads[CPF],"&lt;&gt;",Leads[Data de entrada],"&gt;="&amp;A65,Leads[Data de entrada],"&lt;"&amp;(B65+1),Leads[Tempo de resposta (min)],"&gt;=0",Leads[Tempo de resposta (min)],"&lt;&gt;")</f>
        <v>0</v>
      </c>
      <c r="H65" s="14">
        <f>IFERROR(D65/C65,"")</f>
        <v/>
      </c>
      <c r="I65" s="14">
        <f>IFERROR(E65/D65,"")</f>
        <v/>
      </c>
      <c r="J65" s="14">
        <f>IFERROR(E65/C65,"")</f>
        <v/>
      </c>
    </row>
    <row r="66" spans="1:10">
      <c r="A66" s="5">
        <f>A65+7</f>
        <v>0</v>
      </c>
      <c r="B66" s="5">
        <f>A66+6</f>
        <v>0</v>
      </c>
      <c r="C66" s="12">
        <f>COUNTIFS(Leads[CPF],"&lt;&gt;",Leads[Data de entrada],"&gt;="&amp;A66,Leads[Data de entrada],"&lt;"&amp;(B66+1))</f>
        <v>0</v>
      </c>
      <c r="D66" s="12">
        <f>COUNTIFS(Leads[CPF],"&lt;&gt;",Leads[Data de entrada],"&gt;="&amp;A66,Leads[Data de entrada],"&lt;"&amp;(B66+1),Leads[Data do agendamento],"&gt;0")</f>
        <v>0</v>
      </c>
      <c r="E66" s="12">
        <f>COUNTIFS(Leads[CPF],"&lt;&gt;",Leads[Data de entrada],"&gt;="&amp;A66,Leads[Data de entrada],"&lt;"&amp;(B66+1),Leads[Data da conversa presencial executada],"&gt;0")</f>
        <v>0</v>
      </c>
      <c r="F66" s="13">
        <f>IFERROR(AVERAGEIFS(Leads[Tempo de resposta (min)],Leads[CPF],"&lt;&gt;",Leads[Data de entrada],"&gt;="&amp;A66,Leads[Data de entrada],"&lt;"&amp;(B66+1),Leads[Tempo de resposta (min)],"&gt;=0",Leads[Tempo de resposta (min)],"&lt;&gt;"),"")</f>
        <v/>
      </c>
      <c r="G66" s="12">
        <f>COUNTIFS(Leads[CPF],"&lt;&gt;",Leads[Data de entrada],"&gt;="&amp;A66,Leads[Data de entrada],"&lt;"&amp;(B66+1),Leads[Tempo de resposta (min)],"&gt;=0",Leads[Tempo de resposta (min)],"&lt;&gt;")</f>
        <v>0</v>
      </c>
      <c r="H66" s="14">
        <f>IFERROR(D66/C66,"")</f>
        <v/>
      </c>
      <c r="I66" s="14">
        <f>IFERROR(E66/D66,"")</f>
        <v/>
      </c>
      <c r="J66" s="14">
        <f>IFERROR(E66/C66,"")</f>
        <v/>
      </c>
    </row>
    <row r="67" spans="1:10">
      <c r="A67" s="5">
        <f>A66+7</f>
        <v>0</v>
      </c>
      <c r="B67" s="5">
        <f>A67+6</f>
        <v>0</v>
      </c>
      <c r="C67" s="12">
        <f>COUNTIFS(Leads[CPF],"&lt;&gt;",Leads[Data de entrada],"&gt;="&amp;A67,Leads[Data de entrada],"&lt;"&amp;(B67+1))</f>
        <v>0</v>
      </c>
      <c r="D67" s="12">
        <f>COUNTIFS(Leads[CPF],"&lt;&gt;",Leads[Data de entrada],"&gt;="&amp;A67,Leads[Data de entrada],"&lt;"&amp;(B67+1),Leads[Data do agendamento],"&gt;0")</f>
        <v>0</v>
      </c>
      <c r="E67" s="12">
        <f>COUNTIFS(Leads[CPF],"&lt;&gt;",Leads[Data de entrada],"&gt;="&amp;A67,Leads[Data de entrada],"&lt;"&amp;(B67+1),Leads[Data da conversa presencial executada],"&gt;0")</f>
        <v>0</v>
      </c>
      <c r="F67" s="13">
        <f>IFERROR(AVERAGEIFS(Leads[Tempo de resposta (min)],Leads[CPF],"&lt;&gt;",Leads[Data de entrada],"&gt;="&amp;A67,Leads[Data de entrada],"&lt;"&amp;(B67+1),Leads[Tempo de resposta (min)],"&gt;=0",Leads[Tempo de resposta (min)],"&lt;&gt;"),"")</f>
        <v/>
      </c>
      <c r="G67" s="12">
        <f>COUNTIFS(Leads[CPF],"&lt;&gt;",Leads[Data de entrada],"&gt;="&amp;A67,Leads[Data de entrada],"&lt;"&amp;(B67+1),Leads[Tempo de resposta (min)],"&gt;=0",Leads[Tempo de resposta (min)],"&lt;&gt;")</f>
        <v>0</v>
      </c>
      <c r="H67" s="14">
        <f>IFERROR(D67/C67,"")</f>
        <v/>
      </c>
      <c r="I67" s="14">
        <f>IFERROR(E67/D67,"")</f>
        <v/>
      </c>
      <c r="J67" s="14">
        <f>IFERROR(E67/C67,"")</f>
        <v/>
      </c>
    </row>
    <row r="68" spans="1:10">
      <c r="A68" s="5">
        <f>A67+7</f>
        <v>0</v>
      </c>
      <c r="B68" s="5">
        <f>A68+6</f>
        <v>0</v>
      </c>
      <c r="C68" s="12">
        <f>COUNTIFS(Leads[CPF],"&lt;&gt;",Leads[Data de entrada],"&gt;="&amp;A68,Leads[Data de entrada],"&lt;"&amp;(B68+1))</f>
        <v>0</v>
      </c>
      <c r="D68" s="12">
        <f>COUNTIFS(Leads[CPF],"&lt;&gt;",Leads[Data de entrada],"&gt;="&amp;A68,Leads[Data de entrada],"&lt;"&amp;(B68+1),Leads[Data do agendamento],"&gt;0")</f>
        <v>0</v>
      </c>
      <c r="E68" s="12">
        <f>COUNTIFS(Leads[CPF],"&lt;&gt;",Leads[Data de entrada],"&gt;="&amp;A68,Leads[Data de entrada],"&lt;"&amp;(B68+1),Leads[Data da conversa presencial executada],"&gt;0")</f>
        <v>0</v>
      </c>
      <c r="F68" s="13">
        <f>IFERROR(AVERAGEIFS(Leads[Tempo de resposta (min)],Leads[CPF],"&lt;&gt;",Leads[Data de entrada],"&gt;="&amp;A68,Leads[Data de entrada],"&lt;"&amp;(B68+1),Leads[Tempo de resposta (min)],"&gt;=0",Leads[Tempo de resposta (min)],"&lt;&gt;"),"")</f>
        <v/>
      </c>
      <c r="G68" s="12">
        <f>COUNTIFS(Leads[CPF],"&lt;&gt;",Leads[Data de entrada],"&gt;="&amp;A68,Leads[Data de entrada],"&lt;"&amp;(B68+1),Leads[Tempo de resposta (min)],"&gt;=0",Leads[Tempo de resposta (min)],"&lt;&gt;")</f>
        <v>0</v>
      </c>
      <c r="H68" s="14">
        <f>IFERROR(D68/C68,"")</f>
        <v/>
      </c>
      <c r="I68" s="14">
        <f>IFERROR(E68/D68,"")</f>
        <v/>
      </c>
      <c r="J68" s="14">
        <f>IFERROR(E68/C68,"")</f>
        <v/>
      </c>
    </row>
    <row r="69" spans="1:10">
      <c r="A69" s="5">
        <f>A68+7</f>
        <v>0</v>
      </c>
      <c r="B69" s="5">
        <f>A69+6</f>
        <v>0</v>
      </c>
      <c r="C69" s="12">
        <f>COUNTIFS(Leads[CPF],"&lt;&gt;",Leads[Data de entrada],"&gt;="&amp;A69,Leads[Data de entrada],"&lt;"&amp;(B69+1))</f>
        <v>0</v>
      </c>
      <c r="D69" s="12">
        <f>COUNTIFS(Leads[CPF],"&lt;&gt;",Leads[Data de entrada],"&gt;="&amp;A69,Leads[Data de entrada],"&lt;"&amp;(B69+1),Leads[Data do agendamento],"&gt;0")</f>
        <v>0</v>
      </c>
      <c r="E69" s="12">
        <f>COUNTIFS(Leads[CPF],"&lt;&gt;",Leads[Data de entrada],"&gt;="&amp;A69,Leads[Data de entrada],"&lt;"&amp;(B69+1),Leads[Data da conversa presencial executada],"&gt;0")</f>
        <v>0</v>
      </c>
      <c r="F69" s="13">
        <f>IFERROR(AVERAGEIFS(Leads[Tempo de resposta (min)],Leads[CPF],"&lt;&gt;",Leads[Data de entrada],"&gt;="&amp;A69,Leads[Data de entrada],"&lt;"&amp;(B69+1),Leads[Tempo de resposta (min)],"&gt;=0",Leads[Tempo de resposta (min)],"&lt;&gt;"),"")</f>
        <v/>
      </c>
      <c r="G69" s="12">
        <f>COUNTIFS(Leads[CPF],"&lt;&gt;",Leads[Data de entrada],"&gt;="&amp;A69,Leads[Data de entrada],"&lt;"&amp;(B69+1),Leads[Tempo de resposta (min)],"&gt;=0",Leads[Tempo de resposta (min)],"&lt;&gt;")</f>
        <v>0</v>
      </c>
      <c r="H69" s="14">
        <f>IFERROR(D69/C69,"")</f>
        <v/>
      </c>
      <c r="I69" s="14">
        <f>IFERROR(E69/D69,"")</f>
        <v/>
      </c>
      <c r="J69" s="14">
        <f>IFERROR(E69/C69,"")</f>
        <v/>
      </c>
    </row>
    <row r="70" spans="1:10">
      <c r="A70" s="5">
        <f>A69+7</f>
        <v>0</v>
      </c>
      <c r="B70" s="5">
        <f>A70+6</f>
        <v>0</v>
      </c>
      <c r="C70" s="12">
        <f>COUNTIFS(Leads[CPF],"&lt;&gt;",Leads[Data de entrada],"&gt;="&amp;A70,Leads[Data de entrada],"&lt;"&amp;(B70+1))</f>
        <v>0</v>
      </c>
      <c r="D70" s="12">
        <f>COUNTIFS(Leads[CPF],"&lt;&gt;",Leads[Data de entrada],"&gt;="&amp;A70,Leads[Data de entrada],"&lt;"&amp;(B70+1),Leads[Data do agendamento],"&gt;0")</f>
        <v>0</v>
      </c>
      <c r="E70" s="12">
        <f>COUNTIFS(Leads[CPF],"&lt;&gt;",Leads[Data de entrada],"&gt;="&amp;A70,Leads[Data de entrada],"&lt;"&amp;(B70+1),Leads[Data da conversa presencial executada],"&gt;0")</f>
        <v>0</v>
      </c>
      <c r="F70" s="13">
        <f>IFERROR(AVERAGEIFS(Leads[Tempo de resposta (min)],Leads[CPF],"&lt;&gt;",Leads[Data de entrada],"&gt;="&amp;A70,Leads[Data de entrada],"&lt;"&amp;(B70+1),Leads[Tempo de resposta (min)],"&gt;=0",Leads[Tempo de resposta (min)],"&lt;&gt;"),"")</f>
        <v/>
      </c>
      <c r="G70" s="12">
        <f>COUNTIFS(Leads[CPF],"&lt;&gt;",Leads[Data de entrada],"&gt;="&amp;A70,Leads[Data de entrada],"&lt;"&amp;(B70+1),Leads[Tempo de resposta (min)],"&gt;=0",Leads[Tempo de resposta (min)],"&lt;&gt;")</f>
        <v>0</v>
      </c>
      <c r="H70" s="14">
        <f>IFERROR(D70/C70,"")</f>
        <v/>
      </c>
      <c r="I70" s="14">
        <f>IFERROR(E70/D70,"")</f>
        <v/>
      </c>
      <c r="J70" s="14">
        <f>IFERROR(E70/C70,"")</f>
        <v/>
      </c>
    </row>
    <row r="71" spans="1:10">
      <c r="A71" s="5">
        <f>A70+7</f>
        <v>0</v>
      </c>
      <c r="B71" s="5">
        <f>A71+6</f>
        <v>0</v>
      </c>
      <c r="C71" s="12">
        <f>COUNTIFS(Leads[CPF],"&lt;&gt;",Leads[Data de entrada],"&gt;="&amp;A71,Leads[Data de entrada],"&lt;"&amp;(B71+1))</f>
        <v>0</v>
      </c>
      <c r="D71" s="12">
        <f>COUNTIFS(Leads[CPF],"&lt;&gt;",Leads[Data de entrada],"&gt;="&amp;A71,Leads[Data de entrada],"&lt;"&amp;(B71+1),Leads[Data do agendamento],"&gt;0")</f>
        <v>0</v>
      </c>
      <c r="E71" s="12">
        <f>COUNTIFS(Leads[CPF],"&lt;&gt;",Leads[Data de entrada],"&gt;="&amp;A71,Leads[Data de entrada],"&lt;"&amp;(B71+1),Leads[Data da conversa presencial executada],"&gt;0")</f>
        <v>0</v>
      </c>
      <c r="F71" s="13">
        <f>IFERROR(AVERAGEIFS(Leads[Tempo de resposta (min)],Leads[CPF],"&lt;&gt;",Leads[Data de entrada],"&gt;="&amp;A71,Leads[Data de entrada],"&lt;"&amp;(B71+1),Leads[Tempo de resposta (min)],"&gt;=0",Leads[Tempo de resposta (min)],"&lt;&gt;"),"")</f>
        <v/>
      </c>
      <c r="G71" s="12">
        <f>COUNTIFS(Leads[CPF],"&lt;&gt;",Leads[Data de entrada],"&gt;="&amp;A71,Leads[Data de entrada],"&lt;"&amp;(B71+1),Leads[Tempo de resposta (min)],"&gt;=0",Leads[Tempo de resposta (min)],"&lt;&gt;")</f>
        <v>0</v>
      </c>
      <c r="H71" s="14">
        <f>IFERROR(D71/C71,"")</f>
        <v/>
      </c>
      <c r="I71" s="14">
        <f>IFERROR(E71/D71,"")</f>
        <v/>
      </c>
      <c r="J71" s="14">
        <f>IFERROR(E71/C71,"")</f>
        <v/>
      </c>
    </row>
    <row r="72" spans="1:10">
      <c r="A72" s="5">
        <f>A71+7</f>
        <v>0</v>
      </c>
      <c r="B72" s="5">
        <f>A72+6</f>
        <v>0</v>
      </c>
      <c r="C72" s="12">
        <f>COUNTIFS(Leads[CPF],"&lt;&gt;",Leads[Data de entrada],"&gt;="&amp;A72,Leads[Data de entrada],"&lt;"&amp;(B72+1))</f>
        <v>0</v>
      </c>
      <c r="D72" s="12">
        <f>COUNTIFS(Leads[CPF],"&lt;&gt;",Leads[Data de entrada],"&gt;="&amp;A72,Leads[Data de entrada],"&lt;"&amp;(B72+1),Leads[Data do agendamento],"&gt;0")</f>
        <v>0</v>
      </c>
      <c r="E72" s="12">
        <f>COUNTIFS(Leads[CPF],"&lt;&gt;",Leads[Data de entrada],"&gt;="&amp;A72,Leads[Data de entrada],"&lt;"&amp;(B72+1),Leads[Data da conversa presencial executada],"&gt;0")</f>
        <v>0</v>
      </c>
      <c r="F72" s="13">
        <f>IFERROR(AVERAGEIFS(Leads[Tempo de resposta (min)],Leads[CPF],"&lt;&gt;",Leads[Data de entrada],"&gt;="&amp;A72,Leads[Data de entrada],"&lt;"&amp;(B72+1),Leads[Tempo de resposta (min)],"&gt;=0",Leads[Tempo de resposta (min)],"&lt;&gt;"),"")</f>
        <v/>
      </c>
      <c r="G72" s="12">
        <f>COUNTIFS(Leads[CPF],"&lt;&gt;",Leads[Data de entrada],"&gt;="&amp;A72,Leads[Data de entrada],"&lt;"&amp;(B72+1),Leads[Tempo de resposta (min)],"&gt;=0",Leads[Tempo de resposta (min)],"&lt;&gt;")</f>
        <v>0</v>
      </c>
      <c r="H72" s="14">
        <f>IFERROR(D72/C72,"")</f>
        <v/>
      </c>
      <c r="I72" s="14">
        <f>IFERROR(E72/D72,"")</f>
        <v/>
      </c>
      <c r="J72" s="14">
        <f>IFERROR(E72/C72,"")</f>
        <v/>
      </c>
    </row>
    <row r="73" spans="1:10">
      <c r="A73" s="5">
        <f>A72+7</f>
        <v>0</v>
      </c>
      <c r="B73" s="5">
        <f>A73+6</f>
        <v>0</v>
      </c>
      <c r="C73" s="12">
        <f>COUNTIFS(Leads[CPF],"&lt;&gt;",Leads[Data de entrada],"&gt;="&amp;A73,Leads[Data de entrada],"&lt;"&amp;(B73+1))</f>
        <v>0</v>
      </c>
      <c r="D73" s="12">
        <f>COUNTIFS(Leads[CPF],"&lt;&gt;",Leads[Data de entrada],"&gt;="&amp;A73,Leads[Data de entrada],"&lt;"&amp;(B73+1),Leads[Data do agendamento],"&gt;0")</f>
        <v>0</v>
      </c>
      <c r="E73" s="12">
        <f>COUNTIFS(Leads[CPF],"&lt;&gt;",Leads[Data de entrada],"&gt;="&amp;A73,Leads[Data de entrada],"&lt;"&amp;(B73+1),Leads[Data da conversa presencial executada],"&gt;0")</f>
        <v>0</v>
      </c>
      <c r="F73" s="13">
        <f>IFERROR(AVERAGEIFS(Leads[Tempo de resposta (min)],Leads[CPF],"&lt;&gt;",Leads[Data de entrada],"&gt;="&amp;A73,Leads[Data de entrada],"&lt;"&amp;(B73+1),Leads[Tempo de resposta (min)],"&gt;=0",Leads[Tempo de resposta (min)],"&lt;&gt;"),"")</f>
        <v/>
      </c>
      <c r="G73" s="12">
        <f>COUNTIFS(Leads[CPF],"&lt;&gt;",Leads[Data de entrada],"&gt;="&amp;A73,Leads[Data de entrada],"&lt;"&amp;(B73+1),Leads[Tempo de resposta (min)],"&gt;=0",Leads[Tempo de resposta (min)],"&lt;&gt;")</f>
        <v>0</v>
      </c>
      <c r="H73" s="14">
        <f>IFERROR(D73/C73,"")</f>
        <v/>
      </c>
      <c r="I73" s="14">
        <f>IFERROR(E73/D73,"")</f>
        <v/>
      </c>
      <c r="J73" s="14">
        <f>IFERROR(E73/C73,"")</f>
        <v/>
      </c>
    </row>
    <row r="74" spans="1:10">
      <c r="A74" s="5">
        <f>A73+7</f>
        <v>0</v>
      </c>
      <c r="B74" s="5">
        <f>A74+6</f>
        <v>0</v>
      </c>
      <c r="C74" s="12">
        <f>COUNTIFS(Leads[CPF],"&lt;&gt;",Leads[Data de entrada],"&gt;="&amp;A74,Leads[Data de entrada],"&lt;"&amp;(B74+1))</f>
        <v>0</v>
      </c>
      <c r="D74" s="12">
        <f>COUNTIFS(Leads[CPF],"&lt;&gt;",Leads[Data de entrada],"&gt;="&amp;A74,Leads[Data de entrada],"&lt;"&amp;(B74+1),Leads[Data do agendamento],"&gt;0")</f>
        <v>0</v>
      </c>
      <c r="E74" s="12">
        <f>COUNTIFS(Leads[CPF],"&lt;&gt;",Leads[Data de entrada],"&gt;="&amp;A74,Leads[Data de entrada],"&lt;"&amp;(B74+1),Leads[Data da conversa presencial executada],"&gt;0")</f>
        <v>0</v>
      </c>
      <c r="F74" s="13">
        <f>IFERROR(AVERAGEIFS(Leads[Tempo de resposta (min)],Leads[CPF],"&lt;&gt;",Leads[Data de entrada],"&gt;="&amp;A74,Leads[Data de entrada],"&lt;"&amp;(B74+1),Leads[Tempo de resposta (min)],"&gt;=0",Leads[Tempo de resposta (min)],"&lt;&gt;"),"")</f>
        <v/>
      </c>
      <c r="G74" s="12">
        <f>COUNTIFS(Leads[CPF],"&lt;&gt;",Leads[Data de entrada],"&gt;="&amp;A74,Leads[Data de entrada],"&lt;"&amp;(B74+1),Leads[Tempo de resposta (min)],"&gt;=0",Leads[Tempo de resposta (min)],"&lt;&gt;")</f>
        <v>0</v>
      </c>
      <c r="H74" s="14">
        <f>IFERROR(D74/C74,"")</f>
        <v/>
      </c>
      <c r="I74" s="14">
        <f>IFERROR(E74/D74,"")</f>
        <v/>
      </c>
      <c r="J74" s="14">
        <f>IFERROR(E74/C74,"")</f>
        <v/>
      </c>
    </row>
    <row r="75" spans="1:10">
      <c r="A75" s="5">
        <f>A74+7</f>
        <v>0</v>
      </c>
      <c r="B75" s="5">
        <f>A75+6</f>
        <v>0</v>
      </c>
      <c r="C75" s="12">
        <f>COUNTIFS(Leads[CPF],"&lt;&gt;",Leads[Data de entrada],"&gt;="&amp;A75,Leads[Data de entrada],"&lt;"&amp;(B75+1))</f>
        <v>0</v>
      </c>
      <c r="D75" s="12">
        <f>COUNTIFS(Leads[CPF],"&lt;&gt;",Leads[Data de entrada],"&gt;="&amp;A75,Leads[Data de entrada],"&lt;"&amp;(B75+1),Leads[Data do agendamento],"&gt;0")</f>
        <v>0</v>
      </c>
      <c r="E75" s="12">
        <f>COUNTIFS(Leads[CPF],"&lt;&gt;",Leads[Data de entrada],"&gt;="&amp;A75,Leads[Data de entrada],"&lt;"&amp;(B75+1),Leads[Data da conversa presencial executada],"&gt;0")</f>
        <v>0</v>
      </c>
      <c r="F75" s="13">
        <f>IFERROR(AVERAGEIFS(Leads[Tempo de resposta (min)],Leads[CPF],"&lt;&gt;",Leads[Data de entrada],"&gt;="&amp;A75,Leads[Data de entrada],"&lt;"&amp;(B75+1),Leads[Tempo de resposta (min)],"&gt;=0",Leads[Tempo de resposta (min)],"&lt;&gt;"),"")</f>
        <v/>
      </c>
      <c r="G75" s="12">
        <f>COUNTIFS(Leads[CPF],"&lt;&gt;",Leads[Data de entrada],"&gt;="&amp;A75,Leads[Data de entrada],"&lt;"&amp;(B75+1),Leads[Tempo de resposta (min)],"&gt;=0",Leads[Tempo de resposta (min)],"&lt;&gt;")</f>
        <v>0</v>
      </c>
      <c r="H75" s="14">
        <f>IFERROR(D75/C75,"")</f>
        <v/>
      </c>
      <c r="I75" s="14">
        <f>IFERROR(E75/D75,"")</f>
        <v/>
      </c>
      <c r="J75" s="14">
        <f>IFERROR(E75/C75,"")</f>
        <v/>
      </c>
    </row>
    <row r="76" spans="1:10">
      <c r="A76" s="5">
        <f>A75+7</f>
        <v>0</v>
      </c>
      <c r="B76" s="5">
        <f>A76+6</f>
        <v>0</v>
      </c>
      <c r="C76" s="12">
        <f>COUNTIFS(Leads[CPF],"&lt;&gt;",Leads[Data de entrada],"&gt;="&amp;A76,Leads[Data de entrada],"&lt;"&amp;(B76+1))</f>
        <v>0</v>
      </c>
      <c r="D76" s="12">
        <f>COUNTIFS(Leads[CPF],"&lt;&gt;",Leads[Data de entrada],"&gt;="&amp;A76,Leads[Data de entrada],"&lt;"&amp;(B76+1),Leads[Data do agendamento],"&gt;0")</f>
        <v>0</v>
      </c>
      <c r="E76" s="12">
        <f>COUNTIFS(Leads[CPF],"&lt;&gt;",Leads[Data de entrada],"&gt;="&amp;A76,Leads[Data de entrada],"&lt;"&amp;(B76+1),Leads[Data da conversa presencial executada],"&gt;0")</f>
        <v>0</v>
      </c>
      <c r="F76" s="13">
        <f>IFERROR(AVERAGEIFS(Leads[Tempo de resposta (min)],Leads[CPF],"&lt;&gt;",Leads[Data de entrada],"&gt;="&amp;A76,Leads[Data de entrada],"&lt;"&amp;(B76+1),Leads[Tempo de resposta (min)],"&gt;=0",Leads[Tempo de resposta (min)],"&lt;&gt;"),"")</f>
        <v/>
      </c>
      <c r="G76" s="12">
        <f>COUNTIFS(Leads[CPF],"&lt;&gt;",Leads[Data de entrada],"&gt;="&amp;A76,Leads[Data de entrada],"&lt;"&amp;(B76+1),Leads[Tempo de resposta (min)],"&gt;=0",Leads[Tempo de resposta (min)],"&lt;&gt;")</f>
        <v>0</v>
      </c>
      <c r="H76" s="14">
        <f>IFERROR(D76/C76,"")</f>
        <v/>
      </c>
      <c r="I76" s="14">
        <f>IFERROR(E76/D76,"")</f>
        <v/>
      </c>
      <c r="J76" s="14">
        <f>IFERROR(E76/C76,"")</f>
        <v/>
      </c>
    </row>
    <row r="77" spans="1:10">
      <c r="A77" s="5">
        <f>A76+7</f>
        <v>0</v>
      </c>
      <c r="B77" s="5">
        <f>A77+6</f>
        <v>0</v>
      </c>
      <c r="C77" s="12">
        <f>COUNTIFS(Leads[CPF],"&lt;&gt;",Leads[Data de entrada],"&gt;="&amp;A77,Leads[Data de entrada],"&lt;"&amp;(B77+1))</f>
        <v>0</v>
      </c>
      <c r="D77" s="12">
        <f>COUNTIFS(Leads[CPF],"&lt;&gt;",Leads[Data de entrada],"&gt;="&amp;A77,Leads[Data de entrada],"&lt;"&amp;(B77+1),Leads[Data do agendamento],"&gt;0")</f>
        <v>0</v>
      </c>
      <c r="E77" s="12">
        <f>COUNTIFS(Leads[CPF],"&lt;&gt;",Leads[Data de entrada],"&gt;="&amp;A77,Leads[Data de entrada],"&lt;"&amp;(B77+1),Leads[Data da conversa presencial executada],"&gt;0")</f>
        <v>0</v>
      </c>
      <c r="F77" s="13">
        <f>IFERROR(AVERAGEIFS(Leads[Tempo de resposta (min)],Leads[CPF],"&lt;&gt;",Leads[Data de entrada],"&gt;="&amp;A77,Leads[Data de entrada],"&lt;"&amp;(B77+1),Leads[Tempo de resposta (min)],"&gt;=0",Leads[Tempo de resposta (min)],"&lt;&gt;"),"")</f>
        <v/>
      </c>
      <c r="G77" s="12">
        <f>COUNTIFS(Leads[CPF],"&lt;&gt;",Leads[Data de entrada],"&gt;="&amp;A77,Leads[Data de entrada],"&lt;"&amp;(B77+1),Leads[Tempo de resposta (min)],"&gt;=0",Leads[Tempo de resposta (min)],"&lt;&gt;")</f>
        <v>0</v>
      </c>
      <c r="H77" s="14">
        <f>IFERROR(D77/C77,"")</f>
        <v/>
      </c>
      <c r="I77" s="14">
        <f>IFERROR(E77/D77,"")</f>
        <v/>
      </c>
      <c r="J77" s="14">
        <f>IFERROR(E77/C77,"")</f>
        <v/>
      </c>
    </row>
    <row r="78" spans="1:10">
      <c r="A78" s="5">
        <f>A77+7</f>
        <v>0</v>
      </c>
      <c r="B78" s="5">
        <f>A78+6</f>
        <v>0</v>
      </c>
      <c r="C78" s="12">
        <f>COUNTIFS(Leads[CPF],"&lt;&gt;",Leads[Data de entrada],"&gt;="&amp;A78,Leads[Data de entrada],"&lt;"&amp;(B78+1))</f>
        <v>0</v>
      </c>
      <c r="D78" s="12">
        <f>COUNTIFS(Leads[CPF],"&lt;&gt;",Leads[Data de entrada],"&gt;="&amp;A78,Leads[Data de entrada],"&lt;"&amp;(B78+1),Leads[Data do agendamento],"&gt;0")</f>
        <v>0</v>
      </c>
      <c r="E78" s="12">
        <f>COUNTIFS(Leads[CPF],"&lt;&gt;",Leads[Data de entrada],"&gt;="&amp;A78,Leads[Data de entrada],"&lt;"&amp;(B78+1),Leads[Data da conversa presencial executada],"&gt;0")</f>
        <v>0</v>
      </c>
      <c r="F78" s="13">
        <f>IFERROR(AVERAGEIFS(Leads[Tempo de resposta (min)],Leads[CPF],"&lt;&gt;",Leads[Data de entrada],"&gt;="&amp;A78,Leads[Data de entrada],"&lt;"&amp;(B78+1),Leads[Tempo de resposta (min)],"&gt;=0",Leads[Tempo de resposta (min)],"&lt;&gt;"),"")</f>
        <v/>
      </c>
      <c r="G78" s="12">
        <f>COUNTIFS(Leads[CPF],"&lt;&gt;",Leads[Data de entrada],"&gt;="&amp;A78,Leads[Data de entrada],"&lt;"&amp;(B78+1),Leads[Tempo de resposta (min)],"&gt;=0",Leads[Tempo de resposta (min)],"&lt;&gt;")</f>
        <v>0</v>
      </c>
      <c r="H78" s="14">
        <f>IFERROR(D78/C78,"")</f>
        <v/>
      </c>
      <c r="I78" s="14">
        <f>IFERROR(E78/D78,"")</f>
        <v/>
      </c>
      <c r="J78" s="14">
        <f>IFERROR(E78/C78,"")</f>
        <v/>
      </c>
    </row>
    <row r="79" spans="1:10">
      <c r="A79" s="5">
        <f>A78+7</f>
        <v>0</v>
      </c>
      <c r="B79" s="5">
        <f>A79+6</f>
        <v>0</v>
      </c>
      <c r="C79" s="12">
        <f>COUNTIFS(Leads[CPF],"&lt;&gt;",Leads[Data de entrada],"&gt;="&amp;A79,Leads[Data de entrada],"&lt;"&amp;(B79+1))</f>
        <v>0</v>
      </c>
      <c r="D79" s="12">
        <f>COUNTIFS(Leads[CPF],"&lt;&gt;",Leads[Data de entrada],"&gt;="&amp;A79,Leads[Data de entrada],"&lt;"&amp;(B79+1),Leads[Data do agendamento],"&gt;0")</f>
        <v>0</v>
      </c>
      <c r="E79" s="12">
        <f>COUNTIFS(Leads[CPF],"&lt;&gt;",Leads[Data de entrada],"&gt;="&amp;A79,Leads[Data de entrada],"&lt;"&amp;(B79+1),Leads[Data da conversa presencial executada],"&gt;0")</f>
        <v>0</v>
      </c>
      <c r="F79" s="13">
        <f>IFERROR(AVERAGEIFS(Leads[Tempo de resposta (min)],Leads[CPF],"&lt;&gt;",Leads[Data de entrada],"&gt;="&amp;A79,Leads[Data de entrada],"&lt;"&amp;(B79+1),Leads[Tempo de resposta (min)],"&gt;=0",Leads[Tempo de resposta (min)],"&lt;&gt;"),"")</f>
        <v/>
      </c>
      <c r="G79" s="12">
        <f>COUNTIFS(Leads[CPF],"&lt;&gt;",Leads[Data de entrada],"&gt;="&amp;A79,Leads[Data de entrada],"&lt;"&amp;(B79+1),Leads[Tempo de resposta (min)],"&gt;=0",Leads[Tempo de resposta (min)],"&lt;&gt;")</f>
        <v>0</v>
      </c>
      <c r="H79" s="14">
        <f>IFERROR(D79/C79,"")</f>
        <v/>
      </c>
      <c r="I79" s="14">
        <f>IFERROR(E79/D79,"")</f>
        <v/>
      </c>
      <c r="J79" s="14">
        <f>IFERROR(E79/C79,"")</f>
        <v/>
      </c>
    </row>
    <row r="80" spans="1:10">
      <c r="A80" s="5">
        <f>A79+7</f>
        <v>0</v>
      </c>
      <c r="B80" s="5">
        <f>A80+6</f>
        <v>0</v>
      </c>
      <c r="C80" s="12">
        <f>COUNTIFS(Leads[CPF],"&lt;&gt;",Leads[Data de entrada],"&gt;="&amp;A80,Leads[Data de entrada],"&lt;"&amp;(B80+1))</f>
        <v>0</v>
      </c>
      <c r="D80" s="12">
        <f>COUNTIFS(Leads[CPF],"&lt;&gt;",Leads[Data de entrada],"&gt;="&amp;A80,Leads[Data de entrada],"&lt;"&amp;(B80+1),Leads[Data do agendamento],"&gt;0")</f>
        <v>0</v>
      </c>
      <c r="E80" s="12">
        <f>COUNTIFS(Leads[CPF],"&lt;&gt;",Leads[Data de entrada],"&gt;="&amp;A80,Leads[Data de entrada],"&lt;"&amp;(B80+1),Leads[Data da conversa presencial executada],"&gt;0")</f>
        <v>0</v>
      </c>
      <c r="F80" s="13">
        <f>IFERROR(AVERAGEIFS(Leads[Tempo de resposta (min)],Leads[CPF],"&lt;&gt;",Leads[Data de entrada],"&gt;="&amp;A80,Leads[Data de entrada],"&lt;"&amp;(B80+1),Leads[Tempo de resposta (min)],"&gt;=0",Leads[Tempo de resposta (min)],"&lt;&gt;"),"")</f>
        <v/>
      </c>
      <c r="G80" s="12">
        <f>COUNTIFS(Leads[CPF],"&lt;&gt;",Leads[Data de entrada],"&gt;="&amp;A80,Leads[Data de entrada],"&lt;"&amp;(B80+1),Leads[Tempo de resposta (min)],"&gt;=0",Leads[Tempo de resposta (min)],"&lt;&gt;")</f>
        <v>0</v>
      </c>
      <c r="H80" s="14">
        <f>IFERROR(D80/C80,"")</f>
        <v/>
      </c>
      <c r="I80" s="14">
        <f>IFERROR(E80/D80,"")</f>
        <v/>
      </c>
      <c r="J80" s="14">
        <f>IFERROR(E80/C80,"")</f>
        <v/>
      </c>
    </row>
    <row r="81" spans="1:10">
      <c r="A81" s="5">
        <f>A80+7</f>
        <v>0</v>
      </c>
      <c r="B81" s="5">
        <f>A81+6</f>
        <v>0</v>
      </c>
      <c r="C81" s="12">
        <f>COUNTIFS(Leads[CPF],"&lt;&gt;",Leads[Data de entrada],"&gt;="&amp;A81,Leads[Data de entrada],"&lt;"&amp;(B81+1))</f>
        <v>0</v>
      </c>
      <c r="D81" s="12">
        <f>COUNTIFS(Leads[CPF],"&lt;&gt;",Leads[Data de entrada],"&gt;="&amp;A81,Leads[Data de entrada],"&lt;"&amp;(B81+1),Leads[Data do agendamento],"&gt;0")</f>
        <v>0</v>
      </c>
      <c r="E81" s="12">
        <f>COUNTIFS(Leads[CPF],"&lt;&gt;",Leads[Data de entrada],"&gt;="&amp;A81,Leads[Data de entrada],"&lt;"&amp;(B81+1),Leads[Data da conversa presencial executada],"&gt;0")</f>
        <v>0</v>
      </c>
      <c r="F81" s="13">
        <f>IFERROR(AVERAGEIFS(Leads[Tempo de resposta (min)],Leads[CPF],"&lt;&gt;",Leads[Data de entrada],"&gt;="&amp;A81,Leads[Data de entrada],"&lt;"&amp;(B81+1),Leads[Tempo de resposta (min)],"&gt;=0",Leads[Tempo de resposta (min)],"&lt;&gt;"),"")</f>
        <v/>
      </c>
      <c r="G81" s="12">
        <f>COUNTIFS(Leads[CPF],"&lt;&gt;",Leads[Data de entrada],"&gt;="&amp;A81,Leads[Data de entrada],"&lt;"&amp;(B81+1),Leads[Tempo de resposta (min)],"&gt;=0",Leads[Tempo de resposta (min)],"&lt;&gt;")</f>
        <v>0</v>
      </c>
      <c r="H81" s="14">
        <f>IFERROR(D81/C81,"")</f>
        <v/>
      </c>
      <c r="I81" s="14">
        <f>IFERROR(E81/D81,"")</f>
        <v/>
      </c>
      <c r="J81" s="14">
        <f>IFERROR(E81/C81,"")</f>
        <v/>
      </c>
    </row>
    <row r="82" spans="1:10">
      <c r="A82" s="5">
        <f>A81+7</f>
        <v>0</v>
      </c>
      <c r="B82" s="5">
        <f>A82+6</f>
        <v>0</v>
      </c>
      <c r="C82" s="12">
        <f>COUNTIFS(Leads[CPF],"&lt;&gt;",Leads[Data de entrada],"&gt;="&amp;A82,Leads[Data de entrada],"&lt;"&amp;(B82+1))</f>
        <v>0</v>
      </c>
      <c r="D82" s="12">
        <f>COUNTIFS(Leads[CPF],"&lt;&gt;",Leads[Data de entrada],"&gt;="&amp;A82,Leads[Data de entrada],"&lt;"&amp;(B82+1),Leads[Data do agendamento],"&gt;0")</f>
        <v>0</v>
      </c>
      <c r="E82" s="12">
        <f>COUNTIFS(Leads[CPF],"&lt;&gt;",Leads[Data de entrada],"&gt;="&amp;A82,Leads[Data de entrada],"&lt;"&amp;(B82+1),Leads[Data da conversa presencial executada],"&gt;0")</f>
        <v>0</v>
      </c>
      <c r="F82" s="13">
        <f>IFERROR(AVERAGEIFS(Leads[Tempo de resposta (min)],Leads[CPF],"&lt;&gt;",Leads[Data de entrada],"&gt;="&amp;A82,Leads[Data de entrada],"&lt;"&amp;(B82+1),Leads[Tempo de resposta (min)],"&gt;=0",Leads[Tempo de resposta (min)],"&lt;&gt;"),"")</f>
        <v/>
      </c>
      <c r="G82" s="12">
        <f>COUNTIFS(Leads[CPF],"&lt;&gt;",Leads[Data de entrada],"&gt;="&amp;A82,Leads[Data de entrada],"&lt;"&amp;(B82+1),Leads[Tempo de resposta (min)],"&gt;=0",Leads[Tempo de resposta (min)],"&lt;&gt;")</f>
        <v>0</v>
      </c>
      <c r="H82" s="14">
        <f>IFERROR(D82/C82,"")</f>
        <v/>
      </c>
      <c r="I82" s="14">
        <f>IFERROR(E82/D82,"")</f>
        <v/>
      </c>
      <c r="J82" s="14">
        <f>IFERROR(E82/C82,"")</f>
        <v/>
      </c>
    </row>
    <row r="83" spans="1:10">
      <c r="A83" s="5">
        <f>A82+7</f>
        <v>0</v>
      </c>
      <c r="B83" s="5">
        <f>A83+6</f>
        <v>0</v>
      </c>
      <c r="C83" s="12">
        <f>COUNTIFS(Leads[CPF],"&lt;&gt;",Leads[Data de entrada],"&gt;="&amp;A83,Leads[Data de entrada],"&lt;"&amp;(B83+1))</f>
        <v>0</v>
      </c>
      <c r="D83" s="12">
        <f>COUNTIFS(Leads[CPF],"&lt;&gt;",Leads[Data de entrada],"&gt;="&amp;A83,Leads[Data de entrada],"&lt;"&amp;(B83+1),Leads[Data do agendamento],"&gt;0")</f>
        <v>0</v>
      </c>
      <c r="E83" s="12">
        <f>COUNTIFS(Leads[CPF],"&lt;&gt;",Leads[Data de entrada],"&gt;="&amp;A83,Leads[Data de entrada],"&lt;"&amp;(B83+1),Leads[Data da conversa presencial executada],"&gt;0")</f>
        <v>0</v>
      </c>
      <c r="F83" s="13">
        <f>IFERROR(AVERAGEIFS(Leads[Tempo de resposta (min)],Leads[CPF],"&lt;&gt;",Leads[Data de entrada],"&gt;="&amp;A83,Leads[Data de entrada],"&lt;"&amp;(B83+1),Leads[Tempo de resposta (min)],"&gt;=0",Leads[Tempo de resposta (min)],"&lt;&gt;"),"")</f>
        <v/>
      </c>
      <c r="G83" s="12">
        <f>COUNTIFS(Leads[CPF],"&lt;&gt;",Leads[Data de entrada],"&gt;="&amp;A83,Leads[Data de entrada],"&lt;"&amp;(B83+1),Leads[Tempo de resposta (min)],"&gt;=0",Leads[Tempo de resposta (min)],"&lt;&gt;")</f>
        <v>0</v>
      </c>
      <c r="H83" s="14">
        <f>IFERROR(D83/C83,"")</f>
        <v/>
      </c>
      <c r="I83" s="14">
        <f>IFERROR(E83/D83,"")</f>
        <v/>
      </c>
      <c r="J83" s="14">
        <f>IFERROR(E83/C83,"")</f>
        <v/>
      </c>
    </row>
    <row r="84" spans="1:10">
      <c r="A84" s="5">
        <f>A83+7</f>
        <v>0</v>
      </c>
      <c r="B84" s="5">
        <f>A84+6</f>
        <v>0</v>
      </c>
      <c r="C84" s="12">
        <f>COUNTIFS(Leads[CPF],"&lt;&gt;",Leads[Data de entrada],"&gt;="&amp;A84,Leads[Data de entrada],"&lt;"&amp;(B84+1))</f>
        <v>0</v>
      </c>
      <c r="D84" s="12">
        <f>COUNTIFS(Leads[CPF],"&lt;&gt;",Leads[Data de entrada],"&gt;="&amp;A84,Leads[Data de entrada],"&lt;"&amp;(B84+1),Leads[Data do agendamento],"&gt;0")</f>
        <v>0</v>
      </c>
      <c r="E84" s="12">
        <f>COUNTIFS(Leads[CPF],"&lt;&gt;",Leads[Data de entrada],"&gt;="&amp;A84,Leads[Data de entrada],"&lt;"&amp;(B84+1),Leads[Data da conversa presencial executada],"&gt;0")</f>
        <v>0</v>
      </c>
      <c r="F84" s="13">
        <f>IFERROR(AVERAGEIFS(Leads[Tempo de resposta (min)],Leads[CPF],"&lt;&gt;",Leads[Data de entrada],"&gt;="&amp;A84,Leads[Data de entrada],"&lt;"&amp;(B84+1),Leads[Tempo de resposta (min)],"&gt;=0",Leads[Tempo de resposta (min)],"&lt;&gt;"),"")</f>
        <v/>
      </c>
      <c r="G84" s="12">
        <f>COUNTIFS(Leads[CPF],"&lt;&gt;",Leads[Data de entrada],"&gt;="&amp;A84,Leads[Data de entrada],"&lt;"&amp;(B84+1),Leads[Tempo de resposta (min)],"&gt;=0",Leads[Tempo de resposta (min)],"&lt;&gt;")</f>
        <v>0</v>
      </c>
      <c r="H84" s="14">
        <f>IFERROR(D84/C84,"")</f>
        <v/>
      </c>
      <c r="I84" s="14">
        <f>IFERROR(E84/D84,"")</f>
        <v/>
      </c>
      <c r="J84" s="14">
        <f>IFERROR(E84/C84,"")</f>
        <v/>
      </c>
    </row>
    <row r="85" spans="1:10">
      <c r="A85" s="5">
        <f>A84+7</f>
        <v>0</v>
      </c>
      <c r="B85" s="5">
        <f>A85+6</f>
        <v>0</v>
      </c>
      <c r="C85" s="12">
        <f>COUNTIFS(Leads[CPF],"&lt;&gt;",Leads[Data de entrada],"&gt;="&amp;A85,Leads[Data de entrada],"&lt;"&amp;(B85+1))</f>
        <v>0</v>
      </c>
      <c r="D85" s="12">
        <f>COUNTIFS(Leads[CPF],"&lt;&gt;",Leads[Data de entrada],"&gt;="&amp;A85,Leads[Data de entrada],"&lt;"&amp;(B85+1),Leads[Data do agendamento],"&gt;0")</f>
        <v>0</v>
      </c>
      <c r="E85" s="12">
        <f>COUNTIFS(Leads[CPF],"&lt;&gt;",Leads[Data de entrada],"&gt;="&amp;A85,Leads[Data de entrada],"&lt;"&amp;(B85+1),Leads[Data da conversa presencial executada],"&gt;0")</f>
        <v>0</v>
      </c>
      <c r="F85" s="13">
        <f>IFERROR(AVERAGEIFS(Leads[Tempo de resposta (min)],Leads[CPF],"&lt;&gt;",Leads[Data de entrada],"&gt;="&amp;A85,Leads[Data de entrada],"&lt;"&amp;(B85+1),Leads[Tempo de resposta (min)],"&gt;=0",Leads[Tempo de resposta (min)],"&lt;&gt;"),"")</f>
        <v/>
      </c>
      <c r="G85" s="12">
        <f>COUNTIFS(Leads[CPF],"&lt;&gt;",Leads[Data de entrada],"&gt;="&amp;A85,Leads[Data de entrada],"&lt;"&amp;(B85+1),Leads[Tempo de resposta (min)],"&gt;=0",Leads[Tempo de resposta (min)],"&lt;&gt;")</f>
        <v>0</v>
      </c>
      <c r="H85" s="14">
        <f>IFERROR(D85/C85,"")</f>
        <v/>
      </c>
      <c r="I85" s="14">
        <f>IFERROR(E85/D85,"")</f>
        <v/>
      </c>
      <c r="J85" s="14">
        <f>IFERROR(E85/C85,"")</f>
        <v/>
      </c>
    </row>
    <row r="86" spans="1:10">
      <c r="A86" s="5">
        <f>A85+7</f>
        <v>0</v>
      </c>
      <c r="B86" s="5">
        <f>A86+6</f>
        <v>0</v>
      </c>
      <c r="C86" s="12">
        <f>COUNTIFS(Leads[CPF],"&lt;&gt;",Leads[Data de entrada],"&gt;="&amp;A86,Leads[Data de entrada],"&lt;"&amp;(B86+1))</f>
        <v>0</v>
      </c>
      <c r="D86" s="12">
        <f>COUNTIFS(Leads[CPF],"&lt;&gt;",Leads[Data de entrada],"&gt;="&amp;A86,Leads[Data de entrada],"&lt;"&amp;(B86+1),Leads[Data do agendamento],"&gt;0")</f>
        <v>0</v>
      </c>
      <c r="E86" s="12">
        <f>COUNTIFS(Leads[CPF],"&lt;&gt;",Leads[Data de entrada],"&gt;="&amp;A86,Leads[Data de entrada],"&lt;"&amp;(B86+1),Leads[Data da conversa presencial executada],"&gt;0")</f>
        <v>0</v>
      </c>
      <c r="F86" s="13">
        <f>IFERROR(AVERAGEIFS(Leads[Tempo de resposta (min)],Leads[CPF],"&lt;&gt;",Leads[Data de entrada],"&gt;="&amp;A86,Leads[Data de entrada],"&lt;"&amp;(B86+1),Leads[Tempo de resposta (min)],"&gt;=0",Leads[Tempo de resposta (min)],"&lt;&gt;"),"")</f>
        <v/>
      </c>
      <c r="G86" s="12">
        <f>COUNTIFS(Leads[CPF],"&lt;&gt;",Leads[Data de entrada],"&gt;="&amp;A86,Leads[Data de entrada],"&lt;"&amp;(B86+1),Leads[Tempo de resposta (min)],"&gt;=0",Leads[Tempo de resposta (min)],"&lt;&gt;")</f>
        <v>0</v>
      </c>
      <c r="H86" s="14">
        <f>IFERROR(D86/C86,"")</f>
        <v/>
      </c>
      <c r="I86" s="14">
        <f>IFERROR(E86/D86,"")</f>
        <v/>
      </c>
      <c r="J86" s="14">
        <f>IFERROR(E86/C86,"")</f>
        <v/>
      </c>
    </row>
    <row r="87" spans="1:10">
      <c r="A87" s="5">
        <f>A86+7</f>
        <v>0</v>
      </c>
      <c r="B87" s="5">
        <f>A87+6</f>
        <v>0</v>
      </c>
      <c r="C87" s="12">
        <f>COUNTIFS(Leads[CPF],"&lt;&gt;",Leads[Data de entrada],"&gt;="&amp;A87,Leads[Data de entrada],"&lt;"&amp;(B87+1))</f>
        <v>0</v>
      </c>
      <c r="D87" s="12">
        <f>COUNTIFS(Leads[CPF],"&lt;&gt;",Leads[Data de entrada],"&gt;="&amp;A87,Leads[Data de entrada],"&lt;"&amp;(B87+1),Leads[Data do agendamento],"&gt;0")</f>
        <v>0</v>
      </c>
      <c r="E87" s="12">
        <f>COUNTIFS(Leads[CPF],"&lt;&gt;",Leads[Data de entrada],"&gt;="&amp;A87,Leads[Data de entrada],"&lt;"&amp;(B87+1),Leads[Data da conversa presencial executada],"&gt;0")</f>
        <v>0</v>
      </c>
      <c r="F87" s="13">
        <f>IFERROR(AVERAGEIFS(Leads[Tempo de resposta (min)],Leads[CPF],"&lt;&gt;",Leads[Data de entrada],"&gt;="&amp;A87,Leads[Data de entrada],"&lt;"&amp;(B87+1),Leads[Tempo de resposta (min)],"&gt;=0",Leads[Tempo de resposta (min)],"&lt;&gt;"),"")</f>
        <v/>
      </c>
      <c r="G87" s="12">
        <f>COUNTIFS(Leads[CPF],"&lt;&gt;",Leads[Data de entrada],"&gt;="&amp;A87,Leads[Data de entrada],"&lt;"&amp;(B87+1),Leads[Tempo de resposta (min)],"&gt;=0",Leads[Tempo de resposta (min)],"&lt;&gt;")</f>
        <v>0</v>
      </c>
      <c r="H87" s="14">
        <f>IFERROR(D87/C87,"")</f>
        <v/>
      </c>
      <c r="I87" s="14">
        <f>IFERROR(E87/D87,"")</f>
        <v/>
      </c>
      <c r="J87" s="14">
        <f>IFERROR(E87/C87,"")</f>
        <v/>
      </c>
    </row>
    <row r="88" spans="1:10">
      <c r="A88" s="5">
        <f>A87+7</f>
        <v>0</v>
      </c>
      <c r="B88" s="5">
        <f>A88+6</f>
        <v>0</v>
      </c>
      <c r="C88" s="12">
        <f>COUNTIFS(Leads[CPF],"&lt;&gt;",Leads[Data de entrada],"&gt;="&amp;A88,Leads[Data de entrada],"&lt;"&amp;(B88+1))</f>
        <v>0</v>
      </c>
      <c r="D88" s="12">
        <f>COUNTIFS(Leads[CPF],"&lt;&gt;",Leads[Data de entrada],"&gt;="&amp;A88,Leads[Data de entrada],"&lt;"&amp;(B88+1),Leads[Data do agendamento],"&gt;0")</f>
        <v>0</v>
      </c>
      <c r="E88" s="12">
        <f>COUNTIFS(Leads[CPF],"&lt;&gt;",Leads[Data de entrada],"&gt;="&amp;A88,Leads[Data de entrada],"&lt;"&amp;(B88+1),Leads[Data da conversa presencial executada],"&gt;0")</f>
        <v>0</v>
      </c>
      <c r="F88" s="13">
        <f>IFERROR(AVERAGEIFS(Leads[Tempo de resposta (min)],Leads[CPF],"&lt;&gt;",Leads[Data de entrada],"&gt;="&amp;A88,Leads[Data de entrada],"&lt;"&amp;(B88+1),Leads[Tempo de resposta (min)],"&gt;=0",Leads[Tempo de resposta (min)],"&lt;&gt;"),"")</f>
        <v/>
      </c>
      <c r="G88" s="12">
        <f>COUNTIFS(Leads[CPF],"&lt;&gt;",Leads[Data de entrada],"&gt;="&amp;A88,Leads[Data de entrada],"&lt;"&amp;(B88+1),Leads[Tempo de resposta (min)],"&gt;=0",Leads[Tempo de resposta (min)],"&lt;&gt;")</f>
        <v>0</v>
      </c>
      <c r="H88" s="14">
        <f>IFERROR(D88/C88,"")</f>
        <v/>
      </c>
      <c r="I88" s="14">
        <f>IFERROR(E88/D88,"")</f>
        <v/>
      </c>
      <c r="J88" s="14">
        <f>IFERROR(E88/C88,"")</f>
        <v/>
      </c>
    </row>
    <row r="89" spans="1:10">
      <c r="A89" s="5">
        <f>A88+7</f>
        <v>0</v>
      </c>
      <c r="B89" s="5">
        <f>A89+6</f>
        <v>0</v>
      </c>
      <c r="C89" s="12">
        <f>COUNTIFS(Leads[CPF],"&lt;&gt;",Leads[Data de entrada],"&gt;="&amp;A89,Leads[Data de entrada],"&lt;"&amp;(B89+1))</f>
        <v>0</v>
      </c>
      <c r="D89" s="12">
        <f>COUNTIFS(Leads[CPF],"&lt;&gt;",Leads[Data de entrada],"&gt;="&amp;A89,Leads[Data de entrada],"&lt;"&amp;(B89+1),Leads[Data do agendamento],"&gt;0")</f>
        <v>0</v>
      </c>
      <c r="E89" s="12">
        <f>COUNTIFS(Leads[CPF],"&lt;&gt;",Leads[Data de entrada],"&gt;="&amp;A89,Leads[Data de entrada],"&lt;"&amp;(B89+1),Leads[Data da conversa presencial executada],"&gt;0")</f>
        <v>0</v>
      </c>
      <c r="F89" s="13">
        <f>IFERROR(AVERAGEIFS(Leads[Tempo de resposta (min)],Leads[CPF],"&lt;&gt;",Leads[Data de entrada],"&gt;="&amp;A89,Leads[Data de entrada],"&lt;"&amp;(B89+1),Leads[Tempo de resposta (min)],"&gt;=0",Leads[Tempo de resposta (min)],"&lt;&gt;"),"")</f>
        <v/>
      </c>
      <c r="G89" s="12">
        <f>COUNTIFS(Leads[CPF],"&lt;&gt;",Leads[Data de entrada],"&gt;="&amp;A89,Leads[Data de entrada],"&lt;"&amp;(B89+1),Leads[Tempo de resposta (min)],"&gt;=0",Leads[Tempo de resposta (min)],"&lt;&gt;")</f>
        <v>0</v>
      </c>
      <c r="H89" s="14">
        <f>IFERROR(D89/C89,"")</f>
        <v/>
      </c>
      <c r="I89" s="14">
        <f>IFERROR(E89/D89,"")</f>
        <v/>
      </c>
      <c r="J89" s="14">
        <f>IFERROR(E89/C89,"")</f>
        <v/>
      </c>
    </row>
    <row r="90" spans="1:10">
      <c r="A90" s="5">
        <f>A89+7</f>
        <v>0</v>
      </c>
      <c r="B90" s="5">
        <f>A90+6</f>
        <v>0</v>
      </c>
      <c r="C90" s="12">
        <f>COUNTIFS(Leads[CPF],"&lt;&gt;",Leads[Data de entrada],"&gt;="&amp;A90,Leads[Data de entrada],"&lt;"&amp;(B90+1))</f>
        <v>0</v>
      </c>
      <c r="D90" s="12">
        <f>COUNTIFS(Leads[CPF],"&lt;&gt;",Leads[Data de entrada],"&gt;="&amp;A90,Leads[Data de entrada],"&lt;"&amp;(B90+1),Leads[Data do agendamento],"&gt;0")</f>
        <v>0</v>
      </c>
      <c r="E90" s="12">
        <f>COUNTIFS(Leads[CPF],"&lt;&gt;",Leads[Data de entrada],"&gt;="&amp;A90,Leads[Data de entrada],"&lt;"&amp;(B90+1),Leads[Data da conversa presencial executada],"&gt;0")</f>
        <v>0</v>
      </c>
      <c r="F90" s="13">
        <f>IFERROR(AVERAGEIFS(Leads[Tempo de resposta (min)],Leads[CPF],"&lt;&gt;",Leads[Data de entrada],"&gt;="&amp;A90,Leads[Data de entrada],"&lt;"&amp;(B90+1),Leads[Tempo de resposta (min)],"&gt;=0",Leads[Tempo de resposta (min)],"&lt;&gt;"),"")</f>
        <v/>
      </c>
      <c r="G90" s="12">
        <f>COUNTIFS(Leads[CPF],"&lt;&gt;",Leads[Data de entrada],"&gt;="&amp;A90,Leads[Data de entrada],"&lt;"&amp;(B90+1),Leads[Tempo de resposta (min)],"&gt;=0",Leads[Tempo de resposta (min)],"&lt;&gt;")</f>
        <v>0</v>
      </c>
      <c r="H90" s="14">
        <f>IFERROR(D90/C90,"")</f>
        <v/>
      </c>
      <c r="I90" s="14">
        <f>IFERROR(E90/D90,"")</f>
        <v/>
      </c>
      <c r="J90" s="14">
        <f>IFERROR(E90/C90,"")</f>
        <v/>
      </c>
    </row>
    <row r="91" spans="1:10">
      <c r="A91" s="5">
        <f>A90+7</f>
        <v>0</v>
      </c>
      <c r="B91" s="5">
        <f>A91+6</f>
        <v>0</v>
      </c>
      <c r="C91" s="12">
        <f>COUNTIFS(Leads[CPF],"&lt;&gt;",Leads[Data de entrada],"&gt;="&amp;A91,Leads[Data de entrada],"&lt;"&amp;(B91+1))</f>
        <v>0</v>
      </c>
      <c r="D91" s="12">
        <f>COUNTIFS(Leads[CPF],"&lt;&gt;",Leads[Data de entrada],"&gt;="&amp;A91,Leads[Data de entrada],"&lt;"&amp;(B91+1),Leads[Data do agendamento],"&gt;0")</f>
        <v>0</v>
      </c>
      <c r="E91" s="12">
        <f>COUNTIFS(Leads[CPF],"&lt;&gt;",Leads[Data de entrada],"&gt;="&amp;A91,Leads[Data de entrada],"&lt;"&amp;(B91+1),Leads[Data da conversa presencial executada],"&gt;0")</f>
        <v>0</v>
      </c>
      <c r="F91" s="13">
        <f>IFERROR(AVERAGEIFS(Leads[Tempo de resposta (min)],Leads[CPF],"&lt;&gt;",Leads[Data de entrada],"&gt;="&amp;A91,Leads[Data de entrada],"&lt;"&amp;(B91+1),Leads[Tempo de resposta (min)],"&gt;=0",Leads[Tempo de resposta (min)],"&lt;&gt;"),"")</f>
        <v/>
      </c>
      <c r="G91" s="12">
        <f>COUNTIFS(Leads[CPF],"&lt;&gt;",Leads[Data de entrada],"&gt;="&amp;A91,Leads[Data de entrada],"&lt;"&amp;(B91+1),Leads[Tempo de resposta (min)],"&gt;=0",Leads[Tempo de resposta (min)],"&lt;&gt;")</f>
        <v>0</v>
      </c>
      <c r="H91" s="14">
        <f>IFERROR(D91/C91,"")</f>
        <v/>
      </c>
      <c r="I91" s="14">
        <f>IFERROR(E91/D91,"")</f>
        <v/>
      </c>
      <c r="J91" s="14">
        <f>IFERROR(E91/C91,"")</f>
        <v/>
      </c>
    </row>
    <row r="92" spans="1:10">
      <c r="A92" s="5">
        <f>A91+7</f>
        <v>0</v>
      </c>
      <c r="B92" s="5">
        <f>A92+6</f>
        <v>0</v>
      </c>
      <c r="C92" s="12">
        <f>COUNTIFS(Leads[CPF],"&lt;&gt;",Leads[Data de entrada],"&gt;="&amp;A92,Leads[Data de entrada],"&lt;"&amp;(B92+1))</f>
        <v>0</v>
      </c>
      <c r="D92" s="12">
        <f>COUNTIFS(Leads[CPF],"&lt;&gt;",Leads[Data de entrada],"&gt;="&amp;A92,Leads[Data de entrada],"&lt;"&amp;(B92+1),Leads[Data do agendamento],"&gt;0")</f>
        <v>0</v>
      </c>
      <c r="E92" s="12">
        <f>COUNTIFS(Leads[CPF],"&lt;&gt;",Leads[Data de entrada],"&gt;="&amp;A92,Leads[Data de entrada],"&lt;"&amp;(B92+1),Leads[Data da conversa presencial executada],"&gt;0")</f>
        <v>0</v>
      </c>
      <c r="F92" s="13">
        <f>IFERROR(AVERAGEIFS(Leads[Tempo de resposta (min)],Leads[CPF],"&lt;&gt;",Leads[Data de entrada],"&gt;="&amp;A92,Leads[Data de entrada],"&lt;"&amp;(B92+1),Leads[Tempo de resposta (min)],"&gt;=0",Leads[Tempo de resposta (min)],"&lt;&gt;"),"")</f>
        <v/>
      </c>
      <c r="G92" s="12">
        <f>COUNTIFS(Leads[CPF],"&lt;&gt;",Leads[Data de entrada],"&gt;="&amp;A92,Leads[Data de entrada],"&lt;"&amp;(B92+1),Leads[Tempo de resposta (min)],"&gt;=0",Leads[Tempo de resposta (min)],"&lt;&gt;")</f>
        <v>0</v>
      </c>
      <c r="H92" s="14">
        <f>IFERROR(D92/C92,"")</f>
        <v/>
      </c>
      <c r="I92" s="14">
        <f>IFERROR(E92/D92,"")</f>
        <v/>
      </c>
      <c r="J92" s="14">
        <f>IFERROR(E92/C92,"")</f>
        <v/>
      </c>
    </row>
    <row r="93" spans="1:10">
      <c r="A93" s="5">
        <f>A92+7</f>
        <v>0</v>
      </c>
      <c r="B93" s="5">
        <f>A93+6</f>
        <v>0</v>
      </c>
      <c r="C93" s="12">
        <f>COUNTIFS(Leads[CPF],"&lt;&gt;",Leads[Data de entrada],"&gt;="&amp;A93,Leads[Data de entrada],"&lt;"&amp;(B93+1))</f>
        <v>0</v>
      </c>
      <c r="D93" s="12">
        <f>COUNTIFS(Leads[CPF],"&lt;&gt;",Leads[Data de entrada],"&gt;="&amp;A93,Leads[Data de entrada],"&lt;"&amp;(B93+1),Leads[Data do agendamento],"&gt;0")</f>
        <v>0</v>
      </c>
      <c r="E93" s="12">
        <f>COUNTIFS(Leads[CPF],"&lt;&gt;",Leads[Data de entrada],"&gt;="&amp;A93,Leads[Data de entrada],"&lt;"&amp;(B93+1),Leads[Data da conversa presencial executada],"&gt;0")</f>
        <v>0</v>
      </c>
      <c r="F93" s="13">
        <f>IFERROR(AVERAGEIFS(Leads[Tempo de resposta (min)],Leads[CPF],"&lt;&gt;",Leads[Data de entrada],"&gt;="&amp;A93,Leads[Data de entrada],"&lt;"&amp;(B93+1),Leads[Tempo de resposta (min)],"&gt;=0",Leads[Tempo de resposta (min)],"&lt;&gt;"),"")</f>
        <v/>
      </c>
      <c r="G93" s="12">
        <f>COUNTIFS(Leads[CPF],"&lt;&gt;",Leads[Data de entrada],"&gt;="&amp;A93,Leads[Data de entrada],"&lt;"&amp;(B93+1),Leads[Tempo de resposta (min)],"&gt;=0",Leads[Tempo de resposta (min)],"&lt;&gt;")</f>
        <v>0</v>
      </c>
      <c r="H93" s="14">
        <f>IFERROR(D93/C93,"")</f>
        <v/>
      </c>
      <c r="I93" s="14">
        <f>IFERROR(E93/D93,"")</f>
        <v/>
      </c>
      <c r="J93" s="14">
        <f>IFERROR(E93/C93,"")</f>
        <v/>
      </c>
    </row>
    <row r="94" spans="1:10">
      <c r="A94" s="5">
        <f>A93+7</f>
        <v>0</v>
      </c>
      <c r="B94" s="5">
        <f>A94+6</f>
        <v>0</v>
      </c>
      <c r="C94" s="12">
        <f>COUNTIFS(Leads[CPF],"&lt;&gt;",Leads[Data de entrada],"&gt;="&amp;A94,Leads[Data de entrada],"&lt;"&amp;(B94+1))</f>
        <v>0</v>
      </c>
      <c r="D94" s="12">
        <f>COUNTIFS(Leads[CPF],"&lt;&gt;",Leads[Data de entrada],"&gt;="&amp;A94,Leads[Data de entrada],"&lt;"&amp;(B94+1),Leads[Data do agendamento],"&gt;0")</f>
        <v>0</v>
      </c>
      <c r="E94" s="12">
        <f>COUNTIFS(Leads[CPF],"&lt;&gt;",Leads[Data de entrada],"&gt;="&amp;A94,Leads[Data de entrada],"&lt;"&amp;(B94+1),Leads[Data da conversa presencial executada],"&gt;0")</f>
        <v>0</v>
      </c>
      <c r="F94" s="13">
        <f>IFERROR(AVERAGEIFS(Leads[Tempo de resposta (min)],Leads[CPF],"&lt;&gt;",Leads[Data de entrada],"&gt;="&amp;A94,Leads[Data de entrada],"&lt;"&amp;(B94+1),Leads[Tempo de resposta (min)],"&gt;=0",Leads[Tempo de resposta (min)],"&lt;&gt;"),"")</f>
        <v/>
      </c>
      <c r="G94" s="12">
        <f>COUNTIFS(Leads[CPF],"&lt;&gt;",Leads[Data de entrada],"&gt;="&amp;A94,Leads[Data de entrada],"&lt;"&amp;(B94+1),Leads[Tempo de resposta (min)],"&gt;=0",Leads[Tempo de resposta (min)],"&lt;&gt;")</f>
        <v>0</v>
      </c>
      <c r="H94" s="14">
        <f>IFERROR(D94/C94,"")</f>
        <v/>
      </c>
      <c r="I94" s="14">
        <f>IFERROR(E94/D94,"")</f>
        <v/>
      </c>
      <c r="J94" s="14">
        <f>IFERROR(E94/C94,"")</f>
        <v/>
      </c>
    </row>
    <row r="95" spans="1:10">
      <c r="A95" s="5">
        <f>A94+7</f>
        <v>0</v>
      </c>
      <c r="B95" s="5">
        <f>A95+6</f>
        <v>0</v>
      </c>
      <c r="C95" s="12">
        <f>COUNTIFS(Leads[CPF],"&lt;&gt;",Leads[Data de entrada],"&gt;="&amp;A95,Leads[Data de entrada],"&lt;"&amp;(B95+1))</f>
        <v>0</v>
      </c>
      <c r="D95" s="12">
        <f>COUNTIFS(Leads[CPF],"&lt;&gt;",Leads[Data de entrada],"&gt;="&amp;A95,Leads[Data de entrada],"&lt;"&amp;(B95+1),Leads[Data do agendamento],"&gt;0")</f>
        <v>0</v>
      </c>
      <c r="E95" s="12">
        <f>COUNTIFS(Leads[CPF],"&lt;&gt;",Leads[Data de entrada],"&gt;="&amp;A95,Leads[Data de entrada],"&lt;"&amp;(B95+1),Leads[Data da conversa presencial executada],"&gt;0")</f>
        <v>0</v>
      </c>
      <c r="F95" s="13">
        <f>IFERROR(AVERAGEIFS(Leads[Tempo de resposta (min)],Leads[CPF],"&lt;&gt;",Leads[Data de entrada],"&gt;="&amp;A95,Leads[Data de entrada],"&lt;"&amp;(B95+1),Leads[Tempo de resposta (min)],"&gt;=0",Leads[Tempo de resposta (min)],"&lt;&gt;"),"")</f>
        <v/>
      </c>
      <c r="G95" s="12">
        <f>COUNTIFS(Leads[CPF],"&lt;&gt;",Leads[Data de entrada],"&gt;="&amp;A95,Leads[Data de entrada],"&lt;"&amp;(B95+1),Leads[Tempo de resposta (min)],"&gt;=0",Leads[Tempo de resposta (min)],"&lt;&gt;")</f>
        <v>0</v>
      </c>
      <c r="H95" s="14">
        <f>IFERROR(D95/C95,"")</f>
        <v/>
      </c>
      <c r="I95" s="14">
        <f>IFERROR(E95/D95,"")</f>
        <v/>
      </c>
      <c r="J95" s="14">
        <f>IFERROR(E95/C95,"")</f>
        <v/>
      </c>
    </row>
    <row r="96" spans="1:10">
      <c r="A96" s="5">
        <f>A95+7</f>
        <v>0</v>
      </c>
      <c r="B96" s="5">
        <f>A96+6</f>
        <v>0</v>
      </c>
      <c r="C96" s="12">
        <f>COUNTIFS(Leads[CPF],"&lt;&gt;",Leads[Data de entrada],"&gt;="&amp;A96,Leads[Data de entrada],"&lt;"&amp;(B96+1))</f>
        <v>0</v>
      </c>
      <c r="D96" s="12">
        <f>COUNTIFS(Leads[CPF],"&lt;&gt;",Leads[Data de entrada],"&gt;="&amp;A96,Leads[Data de entrada],"&lt;"&amp;(B96+1),Leads[Data do agendamento],"&gt;0")</f>
        <v>0</v>
      </c>
      <c r="E96" s="12">
        <f>COUNTIFS(Leads[CPF],"&lt;&gt;",Leads[Data de entrada],"&gt;="&amp;A96,Leads[Data de entrada],"&lt;"&amp;(B96+1),Leads[Data da conversa presencial executada],"&gt;0")</f>
        <v>0</v>
      </c>
      <c r="F96" s="13">
        <f>IFERROR(AVERAGEIFS(Leads[Tempo de resposta (min)],Leads[CPF],"&lt;&gt;",Leads[Data de entrada],"&gt;="&amp;A96,Leads[Data de entrada],"&lt;"&amp;(B96+1),Leads[Tempo de resposta (min)],"&gt;=0",Leads[Tempo de resposta (min)],"&lt;&gt;"),"")</f>
        <v/>
      </c>
      <c r="G96" s="12">
        <f>COUNTIFS(Leads[CPF],"&lt;&gt;",Leads[Data de entrada],"&gt;="&amp;A96,Leads[Data de entrada],"&lt;"&amp;(B96+1),Leads[Tempo de resposta (min)],"&gt;=0",Leads[Tempo de resposta (min)],"&lt;&gt;")</f>
        <v>0</v>
      </c>
      <c r="H96" s="14">
        <f>IFERROR(D96/C96,"")</f>
        <v/>
      </c>
      <c r="I96" s="14">
        <f>IFERROR(E96/D96,"")</f>
        <v/>
      </c>
      <c r="J96" s="14">
        <f>IFERROR(E96/C96,"")</f>
        <v/>
      </c>
    </row>
    <row r="97" spans="1:10">
      <c r="A97" s="5">
        <f>A96+7</f>
        <v>0</v>
      </c>
      <c r="B97" s="5">
        <f>A97+6</f>
        <v>0</v>
      </c>
      <c r="C97" s="12">
        <f>COUNTIFS(Leads[CPF],"&lt;&gt;",Leads[Data de entrada],"&gt;="&amp;A97,Leads[Data de entrada],"&lt;"&amp;(B97+1))</f>
        <v>0</v>
      </c>
      <c r="D97" s="12">
        <f>COUNTIFS(Leads[CPF],"&lt;&gt;",Leads[Data de entrada],"&gt;="&amp;A97,Leads[Data de entrada],"&lt;"&amp;(B97+1),Leads[Data do agendamento],"&gt;0")</f>
        <v>0</v>
      </c>
      <c r="E97" s="12">
        <f>COUNTIFS(Leads[CPF],"&lt;&gt;",Leads[Data de entrada],"&gt;="&amp;A97,Leads[Data de entrada],"&lt;"&amp;(B97+1),Leads[Data da conversa presencial executada],"&gt;0")</f>
        <v>0</v>
      </c>
      <c r="F97" s="13">
        <f>IFERROR(AVERAGEIFS(Leads[Tempo de resposta (min)],Leads[CPF],"&lt;&gt;",Leads[Data de entrada],"&gt;="&amp;A97,Leads[Data de entrada],"&lt;"&amp;(B97+1),Leads[Tempo de resposta (min)],"&gt;=0",Leads[Tempo de resposta (min)],"&lt;&gt;"),"")</f>
        <v/>
      </c>
      <c r="G97" s="12">
        <f>COUNTIFS(Leads[CPF],"&lt;&gt;",Leads[Data de entrada],"&gt;="&amp;A97,Leads[Data de entrada],"&lt;"&amp;(B97+1),Leads[Tempo de resposta (min)],"&gt;=0",Leads[Tempo de resposta (min)],"&lt;&gt;")</f>
        <v>0</v>
      </c>
      <c r="H97" s="14">
        <f>IFERROR(D97/C97,"")</f>
        <v/>
      </c>
      <c r="I97" s="14">
        <f>IFERROR(E97/D97,"")</f>
        <v/>
      </c>
      <c r="J97" s="14">
        <f>IFERROR(E97/C97,"")</f>
        <v/>
      </c>
    </row>
    <row r="98" spans="1:10">
      <c r="A98" s="5">
        <f>A97+7</f>
        <v>0</v>
      </c>
      <c r="B98" s="5">
        <f>A98+6</f>
        <v>0</v>
      </c>
      <c r="C98" s="12">
        <f>COUNTIFS(Leads[CPF],"&lt;&gt;",Leads[Data de entrada],"&gt;="&amp;A98,Leads[Data de entrada],"&lt;"&amp;(B98+1))</f>
        <v>0</v>
      </c>
      <c r="D98" s="12">
        <f>COUNTIFS(Leads[CPF],"&lt;&gt;",Leads[Data de entrada],"&gt;="&amp;A98,Leads[Data de entrada],"&lt;"&amp;(B98+1),Leads[Data do agendamento],"&gt;0")</f>
        <v>0</v>
      </c>
      <c r="E98" s="12">
        <f>COUNTIFS(Leads[CPF],"&lt;&gt;",Leads[Data de entrada],"&gt;="&amp;A98,Leads[Data de entrada],"&lt;"&amp;(B98+1),Leads[Data da conversa presencial executada],"&gt;0")</f>
        <v>0</v>
      </c>
      <c r="F98" s="13">
        <f>IFERROR(AVERAGEIFS(Leads[Tempo de resposta (min)],Leads[CPF],"&lt;&gt;",Leads[Data de entrada],"&gt;="&amp;A98,Leads[Data de entrada],"&lt;"&amp;(B98+1),Leads[Tempo de resposta (min)],"&gt;=0",Leads[Tempo de resposta (min)],"&lt;&gt;"),"")</f>
        <v/>
      </c>
      <c r="G98" s="12">
        <f>COUNTIFS(Leads[CPF],"&lt;&gt;",Leads[Data de entrada],"&gt;="&amp;A98,Leads[Data de entrada],"&lt;"&amp;(B98+1),Leads[Tempo de resposta (min)],"&gt;=0",Leads[Tempo de resposta (min)],"&lt;&gt;")</f>
        <v>0</v>
      </c>
      <c r="H98" s="14">
        <f>IFERROR(D98/C98,"")</f>
        <v/>
      </c>
      <c r="I98" s="14">
        <f>IFERROR(E98/D98,"")</f>
        <v/>
      </c>
      <c r="J98" s="14">
        <f>IFERROR(E98/C98,"")</f>
        <v/>
      </c>
    </row>
    <row r="99" spans="1:10">
      <c r="A99" s="5">
        <f>A98+7</f>
        <v>0</v>
      </c>
      <c r="B99" s="5">
        <f>A99+6</f>
        <v>0</v>
      </c>
      <c r="C99" s="12">
        <f>COUNTIFS(Leads[CPF],"&lt;&gt;",Leads[Data de entrada],"&gt;="&amp;A99,Leads[Data de entrada],"&lt;"&amp;(B99+1))</f>
        <v>0</v>
      </c>
      <c r="D99" s="12">
        <f>COUNTIFS(Leads[CPF],"&lt;&gt;",Leads[Data de entrada],"&gt;="&amp;A99,Leads[Data de entrada],"&lt;"&amp;(B99+1),Leads[Data do agendamento],"&gt;0")</f>
        <v>0</v>
      </c>
      <c r="E99" s="12">
        <f>COUNTIFS(Leads[CPF],"&lt;&gt;",Leads[Data de entrada],"&gt;="&amp;A99,Leads[Data de entrada],"&lt;"&amp;(B99+1),Leads[Data da conversa presencial executada],"&gt;0")</f>
        <v>0</v>
      </c>
      <c r="F99" s="13">
        <f>IFERROR(AVERAGEIFS(Leads[Tempo de resposta (min)],Leads[CPF],"&lt;&gt;",Leads[Data de entrada],"&gt;="&amp;A99,Leads[Data de entrada],"&lt;"&amp;(B99+1),Leads[Tempo de resposta (min)],"&gt;=0",Leads[Tempo de resposta (min)],"&lt;&gt;"),"")</f>
        <v/>
      </c>
      <c r="G99" s="12">
        <f>COUNTIFS(Leads[CPF],"&lt;&gt;",Leads[Data de entrada],"&gt;="&amp;A99,Leads[Data de entrada],"&lt;"&amp;(B99+1),Leads[Tempo de resposta (min)],"&gt;=0",Leads[Tempo de resposta (min)],"&lt;&gt;")</f>
        <v>0</v>
      </c>
      <c r="H99" s="14">
        <f>IFERROR(D99/C99,"")</f>
        <v/>
      </c>
      <c r="I99" s="14">
        <f>IFERROR(E99/D99,"")</f>
        <v/>
      </c>
      <c r="J99" s="14">
        <f>IFERROR(E99/C99,"")</f>
        <v/>
      </c>
    </row>
    <row r="100" spans="1:10">
      <c r="A100" s="5">
        <f>A99+7</f>
        <v>0</v>
      </c>
      <c r="B100" s="5">
        <f>A100+6</f>
        <v>0</v>
      </c>
      <c r="C100" s="12">
        <f>COUNTIFS(Leads[CPF],"&lt;&gt;",Leads[Data de entrada],"&gt;="&amp;A100,Leads[Data de entrada],"&lt;"&amp;(B100+1))</f>
        <v>0</v>
      </c>
      <c r="D100" s="12">
        <f>COUNTIFS(Leads[CPF],"&lt;&gt;",Leads[Data de entrada],"&gt;="&amp;A100,Leads[Data de entrada],"&lt;"&amp;(B100+1),Leads[Data do agendamento],"&gt;0")</f>
        <v>0</v>
      </c>
      <c r="E100" s="12">
        <f>COUNTIFS(Leads[CPF],"&lt;&gt;",Leads[Data de entrada],"&gt;="&amp;A100,Leads[Data de entrada],"&lt;"&amp;(B100+1),Leads[Data da conversa presencial executada],"&gt;0")</f>
        <v>0</v>
      </c>
      <c r="F100" s="13">
        <f>IFERROR(AVERAGEIFS(Leads[Tempo de resposta (min)],Leads[CPF],"&lt;&gt;",Leads[Data de entrada],"&gt;="&amp;A100,Leads[Data de entrada],"&lt;"&amp;(B100+1),Leads[Tempo de resposta (min)],"&gt;=0",Leads[Tempo de resposta (min)],"&lt;&gt;"),"")</f>
        <v/>
      </c>
      <c r="G100" s="12">
        <f>COUNTIFS(Leads[CPF],"&lt;&gt;",Leads[Data de entrada],"&gt;="&amp;A100,Leads[Data de entrada],"&lt;"&amp;(B100+1),Leads[Tempo de resposta (min)],"&gt;=0",Leads[Tempo de resposta (min)],"&lt;&gt;")</f>
        <v>0</v>
      </c>
      <c r="H100" s="14">
        <f>IFERROR(D100/C100,"")</f>
        <v/>
      </c>
      <c r="I100" s="14">
        <f>IFERROR(E100/D100,"")</f>
        <v/>
      </c>
      <c r="J100" s="14">
        <f>IFERROR(E100/C100,"")</f>
        <v/>
      </c>
    </row>
    <row r="101" spans="1:10">
      <c r="A101" s="5">
        <f>A100+7</f>
        <v>0</v>
      </c>
      <c r="B101" s="5">
        <f>A101+6</f>
        <v>0</v>
      </c>
      <c r="C101" s="12">
        <f>COUNTIFS(Leads[CPF],"&lt;&gt;",Leads[Data de entrada],"&gt;="&amp;A101,Leads[Data de entrada],"&lt;"&amp;(B101+1))</f>
        <v>0</v>
      </c>
      <c r="D101" s="12">
        <f>COUNTIFS(Leads[CPF],"&lt;&gt;",Leads[Data de entrada],"&gt;="&amp;A101,Leads[Data de entrada],"&lt;"&amp;(B101+1),Leads[Data do agendamento],"&gt;0")</f>
        <v>0</v>
      </c>
      <c r="E101" s="12">
        <f>COUNTIFS(Leads[CPF],"&lt;&gt;",Leads[Data de entrada],"&gt;="&amp;A101,Leads[Data de entrada],"&lt;"&amp;(B101+1),Leads[Data da conversa presencial executada],"&gt;0")</f>
        <v>0</v>
      </c>
      <c r="F101" s="13">
        <f>IFERROR(AVERAGEIFS(Leads[Tempo de resposta (min)],Leads[CPF],"&lt;&gt;",Leads[Data de entrada],"&gt;="&amp;A101,Leads[Data de entrada],"&lt;"&amp;(B101+1),Leads[Tempo de resposta (min)],"&gt;=0",Leads[Tempo de resposta (min)],"&lt;&gt;"),"")</f>
        <v/>
      </c>
      <c r="G101" s="12">
        <f>COUNTIFS(Leads[CPF],"&lt;&gt;",Leads[Data de entrada],"&gt;="&amp;A101,Leads[Data de entrada],"&lt;"&amp;(B101+1),Leads[Tempo de resposta (min)],"&gt;=0",Leads[Tempo de resposta (min)],"&lt;&gt;")</f>
        <v>0</v>
      </c>
      <c r="H101" s="14">
        <f>IFERROR(D101/C101,"")</f>
        <v/>
      </c>
      <c r="I101" s="14">
        <f>IFERROR(E101/D101,"")</f>
        <v/>
      </c>
      <c r="J101" s="14">
        <f>IFERROR(E101/C101,"")</f>
        <v/>
      </c>
    </row>
    <row r="102" spans="1:10">
      <c r="A102" s="5">
        <f>A101+7</f>
        <v>0</v>
      </c>
      <c r="B102" s="5">
        <f>A102+6</f>
        <v>0</v>
      </c>
      <c r="C102" s="12">
        <f>COUNTIFS(Leads[CPF],"&lt;&gt;",Leads[Data de entrada],"&gt;="&amp;A102,Leads[Data de entrada],"&lt;"&amp;(B102+1))</f>
        <v>0</v>
      </c>
      <c r="D102" s="12">
        <f>COUNTIFS(Leads[CPF],"&lt;&gt;",Leads[Data de entrada],"&gt;="&amp;A102,Leads[Data de entrada],"&lt;"&amp;(B102+1),Leads[Data do agendamento],"&gt;0")</f>
        <v>0</v>
      </c>
      <c r="E102" s="12">
        <f>COUNTIFS(Leads[CPF],"&lt;&gt;",Leads[Data de entrada],"&gt;="&amp;A102,Leads[Data de entrada],"&lt;"&amp;(B102+1),Leads[Data da conversa presencial executada],"&gt;0")</f>
        <v>0</v>
      </c>
      <c r="F102" s="13">
        <f>IFERROR(AVERAGEIFS(Leads[Tempo de resposta (min)],Leads[CPF],"&lt;&gt;",Leads[Data de entrada],"&gt;="&amp;A102,Leads[Data de entrada],"&lt;"&amp;(B102+1),Leads[Tempo de resposta (min)],"&gt;=0",Leads[Tempo de resposta (min)],"&lt;&gt;"),"")</f>
        <v/>
      </c>
      <c r="G102" s="12">
        <f>COUNTIFS(Leads[CPF],"&lt;&gt;",Leads[Data de entrada],"&gt;="&amp;A102,Leads[Data de entrada],"&lt;"&amp;(B102+1),Leads[Tempo de resposta (min)],"&gt;=0",Leads[Tempo de resposta (min)],"&lt;&gt;")</f>
        <v>0</v>
      </c>
      <c r="H102" s="14">
        <f>IFERROR(D102/C102,"")</f>
        <v/>
      </c>
      <c r="I102" s="14">
        <f>IFERROR(E102/D102,"")</f>
        <v/>
      </c>
      <c r="J102" s="14">
        <f>IFERROR(E102/C102,"")</f>
        <v/>
      </c>
    </row>
    <row r="103" spans="1:10">
      <c r="A103" s="5">
        <f>A102+7</f>
        <v>0</v>
      </c>
      <c r="B103" s="5">
        <f>A103+6</f>
        <v>0</v>
      </c>
      <c r="C103" s="12">
        <f>COUNTIFS(Leads[CPF],"&lt;&gt;",Leads[Data de entrada],"&gt;="&amp;A103,Leads[Data de entrada],"&lt;"&amp;(B103+1))</f>
        <v>0</v>
      </c>
      <c r="D103" s="12">
        <f>COUNTIFS(Leads[CPF],"&lt;&gt;",Leads[Data de entrada],"&gt;="&amp;A103,Leads[Data de entrada],"&lt;"&amp;(B103+1),Leads[Data do agendamento],"&gt;0")</f>
        <v>0</v>
      </c>
      <c r="E103" s="12">
        <f>COUNTIFS(Leads[CPF],"&lt;&gt;",Leads[Data de entrada],"&gt;="&amp;A103,Leads[Data de entrada],"&lt;"&amp;(B103+1),Leads[Data da conversa presencial executada],"&gt;0")</f>
        <v>0</v>
      </c>
      <c r="F103" s="13">
        <f>IFERROR(AVERAGEIFS(Leads[Tempo de resposta (min)],Leads[CPF],"&lt;&gt;",Leads[Data de entrada],"&gt;="&amp;A103,Leads[Data de entrada],"&lt;"&amp;(B103+1),Leads[Tempo de resposta (min)],"&gt;=0",Leads[Tempo de resposta (min)],"&lt;&gt;"),"")</f>
        <v/>
      </c>
      <c r="G103" s="12">
        <f>COUNTIFS(Leads[CPF],"&lt;&gt;",Leads[Data de entrada],"&gt;="&amp;A103,Leads[Data de entrada],"&lt;"&amp;(B103+1),Leads[Tempo de resposta (min)],"&gt;=0",Leads[Tempo de resposta (min)],"&lt;&gt;")</f>
        <v>0</v>
      </c>
      <c r="H103" s="14">
        <f>IFERROR(D103/C103,"")</f>
        <v/>
      </c>
      <c r="I103" s="14">
        <f>IFERROR(E103/D103,"")</f>
        <v/>
      </c>
      <c r="J103" s="14">
        <f>IFERROR(E103/C103,"")</f>
        <v/>
      </c>
    </row>
    <row r="104" spans="1:10">
      <c r="A104" s="5">
        <f>A103+7</f>
        <v>0</v>
      </c>
      <c r="B104" s="5">
        <f>A104+6</f>
        <v>0</v>
      </c>
      <c r="C104" s="12">
        <f>COUNTIFS(Leads[CPF],"&lt;&gt;",Leads[Data de entrada],"&gt;="&amp;A104,Leads[Data de entrada],"&lt;"&amp;(B104+1))</f>
        <v>0</v>
      </c>
      <c r="D104" s="12">
        <f>COUNTIFS(Leads[CPF],"&lt;&gt;",Leads[Data de entrada],"&gt;="&amp;A104,Leads[Data de entrada],"&lt;"&amp;(B104+1),Leads[Data do agendamento],"&gt;0")</f>
        <v>0</v>
      </c>
      <c r="E104" s="12">
        <f>COUNTIFS(Leads[CPF],"&lt;&gt;",Leads[Data de entrada],"&gt;="&amp;A104,Leads[Data de entrada],"&lt;"&amp;(B104+1),Leads[Data da conversa presencial executada],"&gt;0")</f>
        <v>0</v>
      </c>
      <c r="F104" s="13">
        <f>IFERROR(AVERAGEIFS(Leads[Tempo de resposta (min)],Leads[CPF],"&lt;&gt;",Leads[Data de entrada],"&gt;="&amp;A104,Leads[Data de entrada],"&lt;"&amp;(B104+1),Leads[Tempo de resposta (min)],"&gt;=0",Leads[Tempo de resposta (min)],"&lt;&gt;"),"")</f>
        <v/>
      </c>
      <c r="G104" s="12">
        <f>COUNTIFS(Leads[CPF],"&lt;&gt;",Leads[Data de entrada],"&gt;="&amp;A104,Leads[Data de entrada],"&lt;"&amp;(B104+1),Leads[Tempo de resposta (min)],"&gt;=0",Leads[Tempo de resposta (min)],"&lt;&gt;")</f>
        <v>0</v>
      </c>
      <c r="H104" s="14">
        <f>IFERROR(D104/C104,"")</f>
        <v/>
      </c>
      <c r="I104" s="14">
        <f>IFERROR(E104/D104,"")</f>
        <v/>
      </c>
      <c r="J104" s="14">
        <f>IFERROR(E104/C104,"")</f>
        <v/>
      </c>
    </row>
    <row r="105" spans="1:10">
      <c r="A105" s="5">
        <f>A104+7</f>
        <v>0</v>
      </c>
      <c r="B105" s="5">
        <f>A105+6</f>
        <v>0</v>
      </c>
      <c r="C105" s="12">
        <f>COUNTIFS(Leads[CPF],"&lt;&gt;",Leads[Data de entrada],"&gt;="&amp;A105,Leads[Data de entrada],"&lt;"&amp;(B105+1))</f>
        <v>0</v>
      </c>
      <c r="D105" s="12">
        <f>COUNTIFS(Leads[CPF],"&lt;&gt;",Leads[Data de entrada],"&gt;="&amp;A105,Leads[Data de entrada],"&lt;"&amp;(B105+1),Leads[Data do agendamento],"&gt;0")</f>
        <v>0</v>
      </c>
      <c r="E105" s="12">
        <f>COUNTIFS(Leads[CPF],"&lt;&gt;",Leads[Data de entrada],"&gt;="&amp;A105,Leads[Data de entrada],"&lt;"&amp;(B105+1),Leads[Data da conversa presencial executada],"&gt;0")</f>
        <v>0</v>
      </c>
      <c r="F105" s="13">
        <f>IFERROR(AVERAGEIFS(Leads[Tempo de resposta (min)],Leads[CPF],"&lt;&gt;",Leads[Data de entrada],"&gt;="&amp;A105,Leads[Data de entrada],"&lt;"&amp;(B105+1),Leads[Tempo de resposta (min)],"&gt;=0",Leads[Tempo de resposta (min)],"&lt;&gt;"),"")</f>
        <v/>
      </c>
      <c r="G105" s="12">
        <f>COUNTIFS(Leads[CPF],"&lt;&gt;",Leads[Data de entrada],"&gt;="&amp;A105,Leads[Data de entrada],"&lt;"&amp;(B105+1),Leads[Tempo de resposta (min)],"&gt;=0",Leads[Tempo de resposta (min)],"&lt;&gt;")</f>
        <v>0</v>
      </c>
      <c r="H105" s="14">
        <f>IFERROR(D105/C105,"")</f>
        <v/>
      </c>
      <c r="I105" s="14">
        <f>IFERROR(E105/D105,"")</f>
        <v/>
      </c>
      <c r="J105" s="14">
        <f>IFERROR(E105/C105,"")</f>
        <v/>
      </c>
    </row>
    <row r="106" spans="1:10">
      <c r="A106" s="5">
        <f>A105+7</f>
        <v>0</v>
      </c>
      <c r="B106" s="5">
        <f>A106+6</f>
        <v>0</v>
      </c>
      <c r="C106" s="12">
        <f>COUNTIFS(Leads[CPF],"&lt;&gt;",Leads[Data de entrada],"&gt;="&amp;A106,Leads[Data de entrada],"&lt;"&amp;(B106+1))</f>
        <v>0</v>
      </c>
      <c r="D106" s="12">
        <f>COUNTIFS(Leads[CPF],"&lt;&gt;",Leads[Data de entrada],"&gt;="&amp;A106,Leads[Data de entrada],"&lt;"&amp;(B106+1),Leads[Data do agendamento],"&gt;0")</f>
        <v>0</v>
      </c>
      <c r="E106" s="12">
        <f>COUNTIFS(Leads[CPF],"&lt;&gt;",Leads[Data de entrada],"&gt;="&amp;A106,Leads[Data de entrada],"&lt;"&amp;(B106+1),Leads[Data da conversa presencial executada],"&gt;0")</f>
        <v>0</v>
      </c>
      <c r="F106" s="13">
        <f>IFERROR(AVERAGEIFS(Leads[Tempo de resposta (min)],Leads[CPF],"&lt;&gt;",Leads[Data de entrada],"&gt;="&amp;A106,Leads[Data de entrada],"&lt;"&amp;(B106+1),Leads[Tempo de resposta (min)],"&gt;=0",Leads[Tempo de resposta (min)],"&lt;&gt;"),"")</f>
        <v/>
      </c>
      <c r="G106" s="12">
        <f>COUNTIFS(Leads[CPF],"&lt;&gt;",Leads[Data de entrada],"&gt;="&amp;A106,Leads[Data de entrada],"&lt;"&amp;(B106+1),Leads[Tempo de resposta (min)],"&gt;=0",Leads[Tempo de resposta (min)],"&lt;&gt;")</f>
        <v>0</v>
      </c>
      <c r="H106" s="14">
        <f>IFERROR(D106/C106,"")</f>
        <v/>
      </c>
      <c r="I106" s="14">
        <f>IFERROR(E106/D106,"")</f>
        <v/>
      </c>
      <c r="J106" s="14">
        <f>IFERROR(E106/C106,"")</f>
        <v/>
      </c>
    </row>
    <row r="107" spans="1:10">
      <c r="A107" s="5">
        <f>A106+7</f>
        <v>0</v>
      </c>
      <c r="B107" s="5">
        <f>A107+6</f>
        <v>0</v>
      </c>
      <c r="C107" s="12">
        <f>COUNTIFS(Leads[CPF],"&lt;&gt;",Leads[Data de entrada],"&gt;="&amp;A107,Leads[Data de entrada],"&lt;"&amp;(B107+1))</f>
        <v>0</v>
      </c>
      <c r="D107" s="12">
        <f>COUNTIFS(Leads[CPF],"&lt;&gt;",Leads[Data de entrada],"&gt;="&amp;A107,Leads[Data de entrada],"&lt;"&amp;(B107+1),Leads[Data do agendamento],"&gt;0")</f>
        <v>0</v>
      </c>
      <c r="E107" s="12">
        <f>COUNTIFS(Leads[CPF],"&lt;&gt;",Leads[Data de entrada],"&gt;="&amp;A107,Leads[Data de entrada],"&lt;"&amp;(B107+1),Leads[Data da conversa presencial executada],"&gt;0")</f>
        <v>0</v>
      </c>
      <c r="F107" s="13">
        <f>IFERROR(AVERAGEIFS(Leads[Tempo de resposta (min)],Leads[CPF],"&lt;&gt;",Leads[Data de entrada],"&gt;="&amp;A107,Leads[Data de entrada],"&lt;"&amp;(B107+1),Leads[Tempo de resposta (min)],"&gt;=0",Leads[Tempo de resposta (min)],"&lt;&gt;"),"")</f>
        <v/>
      </c>
      <c r="G107" s="12">
        <f>COUNTIFS(Leads[CPF],"&lt;&gt;",Leads[Data de entrada],"&gt;="&amp;A107,Leads[Data de entrada],"&lt;"&amp;(B107+1),Leads[Tempo de resposta (min)],"&gt;=0",Leads[Tempo de resposta (min)],"&lt;&gt;")</f>
        <v>0</v>
      </c>
      <c r="H107" s="14">
        <f>IFERROR(D107/C107,"")</f>
        <v/>
      </c>
      <c r="I107" s="14">
        <f>IFERROR(E107/D107,"")</f>
        <v/>
      </c>
      <c r="J107" s="14">
        <f>IFERROR(E107/C107,"")</f>
        <v/>
      </c>
    </row>
    <row r="108" spans="1:10">
      <c r="A108" s="5">
        <f>A107+7</f>
        <v>0</v>
      </c>
      <c r="B108" s="5">
        <f>A108+6</f>
        <v>0</v>
      </c>
      <c r="C108" s="12">
        <f>COUNTIFS(Leads[CPF],"&lt;&gt;",Leads[Data de entrada],"&gt;="&amp;A108,Leads[Data de entrada],"&lt;"&amp;(B108+1))</f>
        <v>0</v>
      </c>
      <c r="D108" s="12">
        <f>COUNTIFS(Leads[CPF],"&lt;&gt;",Leads[Data de entrada],"&gt;="&amp;A108,Leads[Data de entrada],"&lt;"&amp;(B108+1),Leads[Data do agendamento],"&gt;0")</f>
        <v>0</v>
      </c>
      <c r="E108" s="12">
        <f>COUNTIFS(Leads[CPF],"&lt;&gt;",Leads[Data de entrada],"&gt;="&amp;A108,Leads[Data de entrada],"&lt;"&amp;(B108+1),Leads[Data da conversa presencial executada],"&gt;0")</f>
        <v>0</v>
      </c>
      <c r="F108" s="13">
        <f>IFERROR(AVERAGEIFS(Leads[Tempo de resposta (min)],Leads[CPF],"&lt;&gt;",Leads[Data de entrada],"&gt;="&amp;A108,Leads[Data de entrada],"&lt;"&amp;(B108+1),Leads[Tempo de resposta (min)],"&gt;=0",Leads[Tempo de resposta (min)],"&lt;&gt;"),"")</f>
        <v/>
      </c>
      <c r="G108" s="12">
        <f>COUNTIFS(Leads[CPF],"&lt;&gt;",Leads[Data de entrada],"&gt;="&amp;A108,Leads[Data de entrada],"&lt;"&amp;(B108+1),Leads[Tempo de resposta (min)],"&gt;=0",Leads[Tempo de resposta (min)],"&lt;&gt;")</f>
        <v>0</v>
      </c>
      <c r="H108" s="14">
        <f>IFERROR(D108/C108,"")</f>
        <v/>
      </c>
      <c r="I108" s="14">
        <f>IFERROR(E108/D108,"")</f>
        <v/>
      </c>
      <c r="J108" s="14">
        <f>IFERROR(E108/C108,"")</f>
        <v/>
      </c>
    </row>
    <row r="109" spans="1:10">
      <c r="A109" s="5">
        <f>A108+7</f>
        <v>0</v>
      </c>
      <c r="B109" s="5">
        <f>A109+6</f>
        <v>0</v>
      </c>
      <c r="C109" s="12">
        <f>COUNTIFS(Leads[CPF],"&lt;&gt;",Leads[Data de entrada],"&gt;="&amp;A109,Leads[Data de entrada],"&lt;"&amp;(B109+1))</f>
        <v>0</v>
      </c>
      <c r="D109" s="12">
        <f>COUNTIFS(Leads[CPF],"&lt;&gt;",Leads[Data de entrada],"&gt;="&amp;A109,Leads[Data de entrada],"&lt;"&amp;(B109+1),Leads[Data do agendamento],"&gt;0")</f>
        <v>0</v>
      </c>
      <c r="E109" s="12">
        <f>COUNTIFS(Leads[CPF],"&lt;&gt;",Leads[Data de entrada],"&gt;="&amp;A109,Leads[Data de entrada],"&lt;"&amp;(B109+1),Leads[Data da conversa presencial executada],"&gt;0")</f>
        <v>0</v>
      </c>
      <c r="F109" s="13">
        <f>IFERROR(AVERAGEIFS(Leads[Tempo de resposta (min)],Leads[CPF],"&lt;&gt;",Leads[Data de entrada],"&gt;="&amp;A109,Leads[Data de entrada],"&lt;"&amp;(B109+1),Leads[Tempo de resposta (min)],"&gt;=0",Leads[Tempo de resposta (min)],"&lt;&gt;"),"")</f>
        <v/>
      </c>
      <c r="G109" s="12">
        <f>COUNTIFS(Leads[CPF],"&lt;&gt;",Leads[Data de entrada],"&gt;="&amp;A109,Leads[Data de entrada],"&lt;"&amp;(B109+1),Leads[Tempo de resposta (min)],"&gt;=0",Leads[Tempo de resposta (min)],"&lt;&gt;")</f>
        <v>0</v>
      </c>
      <c r="H109" s="14">
        <f>IFERROR(D109/C109,"")</f>
        <v/>
      </c>
      <c r="I109" s="14">
        <f>IFERROR(E109/D109,"")</f>
        <v/>
      </c>
      <c r="J109" s="14">
        <f>IFERROR(E109/C109,"")</f>
        <v/>
      </c>
    </row>
    <row r="110" spans="1:10">
      <c r="A110" s="5">
        <f>A109+7</f>
        <v>0</v>
      </c>
      <c r="B110" s="5">
        <f>A110+6</f>
        <v>0</v>
      </c>
      <c r="C110" s="12">
        <f>COUNTIFS(Leads[CPF],"&lt;&gt;",Leads[Data de entrada],"&gt;="&amp;A110,Leads[Data de entrada],"&lt;"&amp;(B110+1))</f>
        <v>0</v>
      </c>
      <c r="D110" s="12">
        <f>COUNTIFS(Leads[CPF],"&lt;&gt;",Leads[Data de entrada],"&gt;="&amp;A110,Leads[Data de entrada],"&lt;"&amp;(B110+1),Leads[Data do agendamento],"&gt;0")</f>
        <v>0</v>
      </c>
      <c r="E110" s="12">
        <f>COUNTIFS(Leads[CPF],"&lt;&gt;",Leads[Data de entrada],"&gt;="&amp;A110,Leads[Data de entrada],"&lt;"&amp;(B110+1),Leads[Data da conversa presencial executada],"&gt;0")</f>
        <v>0</v>
      </c>
      <c r="F110" s="13">
        <f>IFERROR(AVERAGEIFS(Leads[Tempo de resposta (min)],Leads[CPF],"&lt;&gt;",Leads[Data de entrada],"&gt;="&amp;A110,Leads[Data de entrada],"&lt;"&amp;(B110+1),Leads[Tempo de resposta (min)],"&gt;=0",Leads[Tempo de resposta (min)],"&lt;&gt;"),"")</f>
        <v/>
      </c>
      <c r="G110" s="12">
        <f>COUNTIFS(Leads[CPF],"&lt;&gt;",Leads[Data de entrada],"&gt;="&amp;A110,Leads[Data de entrada],"&lt;"&amp;(B110+1),Leads[Tempo de resposta (min)],"&gt;=0",Leads[Tempo de resposta (min)],"&lt;&gt;")</f>
        <v>0</v>
      </c>
      <c r="H110" s="14">
        <f>IFERROR(D110/C110,"")</f>
        <v/>
      </c>
      <c r="I110" s="14">
        <f>IFERROR(E110/D110,"")</f>
        <v/>
      </c>
      <c r="J110" s="14">
        <f>IFERROR(E110/C110,"")</f>
        <v/>
      </c>
    </row>
    <row r="111" spans="1:10">
      <c r="A111" s="5">
        <f>A110+7</f>
        <v>0</v>
      </c>
      <c r="B111" s="5">
        <f>A111+6</f>
        <v>0</v>
      </c>
      <c r="C111" s="12">
        <f>COUNTIFS(Leads[CPF],"&lt;&gt;",Leads[Data de entrada],"&gt;="&amp;A111,Leads[Data de entrada],"&lt;"&amp;(B111+1))</f>
        <v>0</v>
      </c>
      <c r="D111" s="12">
        <f>COUNTIFS(Leads[CPF],"&lt;&gt;",Leads[Data de entrada],"&gt;="&amp;A111,Leads[Data de entrada],"&lt;"&amp;(B111+1),Leads[Data do agendamento],"&gt;0")</f>
        <v>0</v>
      </c>
      <c r="E111" s="12">
        <f>COUNTIFS(Leads[CPF],"&lt;&gt;",Leads[Data de entrada],"&gt;="&amp;A111,Leads[Data de entrada],"&lt;"&amp;(B111+1),Leads[Data da conversa presencial executada],"&gt;0")</f>
        <v>0</v>
      </c>
      <c r="F111" s="13">
        <f>IFERROR(AVERAGEIFS(Leads[Tempo de resposta (min)],Leads[CPF],"&lt;&gt;",Leads[Data de entrada],"&gt;="&amp;A111,Leads[Data de entrada],"&lt;"&amp;(B111+1),Leads[Tempo de resposta (min)],"&gt;=0",Leads[Tempo de resposta (min)],"&lt;&gt;"),"")</f>
        <v/>
      </c>
      <c r="G111" s="12">
        <f>COUNTIFS(Leads[CPF],"&lt;&gt;",Leads[Data de entrada],"&gt;="&amp;A111,Leads[Data de entrada],"&lt;"&amp;(B111+1),Leads[Tempo de resposta (min)],"&gt;=0",Leads[Tempo de resposta (min)],"&lt;&gt;")</f>
        <v>0</v>
      </c>
      <c r="H111" s="14">
        <f>IFERROR(D111/C111,"")</f>
        <v/>
      </c>
      <c r="I111" s="14">
        <f>IFERROR(E111/D111,"")</f>
        <v/>
      </c>
      <c r="J111" s="14">
        <f>IFERROR(E111/C111,"")</f>
        <v/>
      </c>
    </row>
    <row r="112" spans="1:10">
      <c r="A112" s="5">
        <f>A111+7</f>
        <v>0</v>
      </c>
      <c r="B112" s="5">
        <f>A112+6</f>
        <v>0</v>
      </c>
      <c r="C112" s="12">
        <f>COUNTIFS(Leads[CPF],"&lt;&gt;",Leads[Data de entrada],"&gt;="&amp;A112,Leads[Data de entrada],"&lt;"&amp;(B112+1))</f>
        <v>0</v>
      </c>
      <c r="D112" s="12">
        <f>COUNTIFS(Leads[CPF],"&lt;&gt;",Leads[Data de entrada],"&gt;="&amp;A112,Leads[Data de entrada],"&lt;"&amp;(B112+1),Leads[Data do agendamento],"&gt;0")</f>
        <v>0</v>
      </c>
      <c r="E112" s="12">
        <f>COUNTIFS(Leads[CPF],"&lt;&gt;",Leads[Data de entrada],"&gt;="&amp;A112,Leads[Data de entrada],"&lt;"&amp;(B112+1),Leads[Data da conversa presencial executada],"&gt;0")</f>
        <v>0</v>
      </c>
      <c r="F112" s="13">
        <f>IFERROR(AVERAGEIFS(Leads[Tempo de resposta (min)],Leads[CPF],"&lt;&gt;",Leads[Data de entrada],"&gt;="&amp;A112,Leads[Data de entrada],"&lt;"&amp;(B112+1),Leads[Tempo de resposta (min)],"&gt;=0",Leads[Tempo de resposta (min)],"&lt;&gt;"),"")</f>
        <v/>
      </c>
      <c r="G112" s="12">
        <f>COUNTIFS(Leads[CPF],"&lt;&gt;",Leads[Data de entrada],"&gt;="&amp;A112,Leads[Data de entrada],"&lt;"&amp;(B112+1),Leads[Tempo de resposta (min)],"&gt;=0",Leads[Tempo de resposta (min)],"&lt;&gt;")</f>
        <v>0</v>
      </c>
      <c r="H112" s="14">
        <f>IFERROR(D112/C112,"")</f>
        <v/>
      </c>
      <c r="I112" s="14">
        <f>IFERROR(E112/D112,"")</f>
        <v/>
      </c>
      <c r="J112" s="14">
        <f>IFERROR(E112/C112,"")</f>
        <v/>
      </c>
    </row>
    <row r="113" spans="1:10">
      <c r="A113" s="5">
        <f>A112+7</f>
        <v>0</v>
      </c>
      <c r="B113" s="5">
        <f>A113+6</f>
        <v>0</v>
      </c>
      <c r="C113" s="12">
        <f>COUNTIFS(Leads[CPF],"&lt;&gt;",Leads[Data de entrada],"&gt;="&amp;A113,Leads[Data de entrada],"&lt;"&amp;(B113+1))</f>
        <v>0</v>
      </c>
      <c r="D113" s="12">
        <f>COUNTIFS(Leads[CPF],"&lt;&gt;",Leads[Data de entrada],"&gt;="&amp;A113,Leads[Data de entrada],"&lt;"&amp;(B113+1),Leads[Data do agendamento],"&gt;0")</f>
        <v>0</v>
      </c>
      <c r="E113" s="12">
        <f>COUNTIFS(Leads[CPF],"&lt;&gt;",Leads[Data de entrada],"&gt;="&amp;A113,Leads[Data de entrada],"&lt;"&amp;(B113+1),Leads[Data da conversa presencial executada],"&gt;0")</f>
        <v>0</v>
      </c>
      <c r="F113" s="13">
        <f>IFERROR(AVERAGEIFS(Leads[Tempo de resposta (min)],Leads[CPF],"&lt;&gt;",Leads[Data de entrada],"&gt;="&amp;A113,Leads[Data de entrada],"&lt;"&amp;(B113+1),Leads[Tempo de resposta (min)],"&gt;=0",Leads[Tempo de resposta (min)],"&lt;&gt;"),"")</f>
        <v/>
      </c>
      <c r="G113" s="12">
        <f>COUNTIFS(Leads[CPF],"&lt;&gt;",Leads[Data de entrada],"&gt;="&amp;A113,Leads[Data de entrada],"&lt;"&amp;(B113+1),Leads[Tempo de resposta (min)],"&gt;=0",Leads[Tempo de resposta (min)],"&lt;&gt;")</f>
        <v>0</v>
      </c>
      <c r="H113" s="14">
        <f>IFERROR(D113/C113,"")</f>
        <v/>
      </c>
      <c r="I113" s="14">
        <f>IFERROR(E113/D113,"")</f>
        <v/>
      </c>
      <c r="J113" s="14">
        <f>IFERROR(E113/C113,"")</f>
        <v/>
      </c>
    </row>
    <row r="114" spans="1:10">
      <c r="A114" s="5">
        <f>A113+7</f>
        <v>0</v>
      </c>
      <c r="B114" s="5">
        <f>A114+6</f>
        <v>0</v>
      </c>
      <c r="C114" s="12">
        <f>COUNTIFS(Leads[CPF],"&lt;&gt;",Leads[Data de entrada],"&gt;="&amp;A114,Leads[Data de entrada],"&lt;"&amp;(B114+1))</f>
        <v>0</v>
      </c>
      <c r="D114" s="12">
        <f>COUNTIFS(Leads[CPF],"&lt;&gt;",Leads[Data de entrada],"&gt;="&amp;A114,Leads[Data de entrada],"&lt;"&amp;(B114+1),Leads[Data do agendamento],"&gt;0")</f>
        <v>0</v>
      </c>
      <c r="E114" s="12">
        <f>COUNTIFS(Leads[CPF],"&lt;&gt;",Leads[Data de entrada],"&gt;="&amp;A114,Leads[Data de entrada],"&lt;"&amp;(B114+1),Leads[Data da conversa presencial executada],"&gt;0")</f>
        <v>0</v>
      </c>
      <c r="F114" s="13">
        <f>IFERROR(AVERAGEIFS(Leads[Tempo de resposta (min)],Leads[CPF],"&lt;&gt;",Leads[Data de entrada],"&gt;="&amp;A114,Leads[Data de entrada],"&lt;"&amp;(B114+1),Leads[Tempo de resposta (min)],"&gt;=0",Leads[Tempo de resposta (min)],"&lt;&gt;"),"")</f>
        <v/>
      </c>
      <c r="G114" s="12">
        <f>COUNTIFS(Leads[CPF],"&lt;&gt;",Leads[Data de entrada],"&gt;="&amp;A114,Leads[Data de entrada],"&lt;"&amp;(B114+1),Leads[Tempo de resposta (min)],"&gt;=0",Leads[Tempo de resposta (min)],"&lt;&gt;")</f>
        <v>0</v>
      </c>
      <c r="H114" s="14">
        <f>IFERROR(D114/C114,"")</f>
        <v/>
      </c>
      <c r="I114" s="14">
        <f>IFERROR(E114/D114,"")</f>
        <v/>
      </c>
      <c r="J114" s="14">
        <f>IFERROR(E114/C114,"")</f>
        <v/>
      </c>
    </row>
    <row r="115" spans="1:10">
      <c r="A115" s="5">
        <f>A114+7</f>
        <v>0</v>
      </c>
      <c r="B115" s="5">
        <f>A115+6</f>
        <v>0</v>
      </c>
      <c r="C115" s="12">
        <f>COUNTIFS(Leads[CPF],"&lt;&gt;",Leads[Data de entrada],"&gt;="&amp;A115,Leads[Data de entrada],"&lt;"&amp;(B115+1))</f>
        <v>0</v>
      </c>
      <c r="D115" s="12">
        <f>COUNTIFS(Leads[CPF],"&lt;&gt;",Leads[Data de entrada],"&gt;="&amp;A115,Leads[Data de entrada],"&lt;"&amp;(B115+1),Leads[Data do agendamento],"&gt;0")</f>
        <v>0</v>
      </c>
      <c r="E115" s="12">
        <f>COUNTIFS(Leads[CPF],"&lt;&gt;",Leads[Data de entrada],"&gt;="&amp;A115,Leads[Data de entrada],"&lt;"&amp;(B115+1),Leads[Data da conversa presencial executada],"&gt;0")</f>
        <v>0</v>
      </c>
      <c r="F115" s="13">
        <f>IFERROR(AVERAGEIFS(Leads[Tempo de resposta (min)],Leads[CPF],"&lt;&gt;",Leads[Data de entrada],"&gt;="&amp;A115,Leads[Data de entrada],"&lt;"&amp;(B115+1),Leads[Tempo de resposta (min)],"&gt;=0",Leads[Tempo de resposta (min)],"&lt;&gt;"),"")</f>
        <v/>
      </c>
      <c r="G115" s="12">
        <f>COUNTIFS(Leads[CPF],"&lt;&gt;",Leads[Data de entrada],"&gt;="&amp;A115,Leads[Data de entrada],"&lt;"&amp;(B115+1),Leads[Tempo de resposta (min)],"&gt;=0",Leads[Tempo de resposta (min)],"&lt;&gt;")</f>
        <v>0</v>
      </c>
      <c r="H115" s="14">
        <f>IFERROR(D115/C115,"")</f>
        <v/>
      </c>
      <c r="I115" s="14">
        <f>IFERROR(E115/D115,"")</f>
        <v/>
      </c>
      <c r="J115" s="14">
        <f>IFERROR(E115/C115,"")</f>
        <v/>
      </c>
    </row>
    <row r="116" spans="1:10">
      <c r="A116" s="5">
        <f>A115+7</f>
        <v>0</v>
      </c>
      <c r="B116" s="5">
        <f>A116+6</f>
        <v>0</v>
      </c>
      <c r="C116" s="12">
        <f>COUNTIFS(Leads[CPF],"&lt;&gt;",Leads[Data de entrada],"&gt;="&amp;A116,Leads[Data de entrada],"&lt;"&amp;(B116+1))</f>
        <v>0</v>
      </c>
      <c r="D116" s="12">
        <f>COUNTIFS(Leads[CPF],"&lt;&gt;",Leads[Data de entrada],"&gt;="&amp;A116,Leads[Data de entrada],"&lt;"&amp;(B116+1),Leads[Data do agendamento],"&gt;0")</f>
        <v>0</v>
      </c>
      <c r="E116" s="12">
        <f>COUNTIFS(Leads[CPF],"&lt;&gt;",Leads[Data de entrada],"&gt;="&amp;A116,Leads[Data de entrada],"&lt;"&amp;(B116+1),Leads[Data da conversa presencial executada],"&gt;0")</f>
        <v>0</v>
      </c>
      <c r="F116" s="13">
        <f>IFERROR(AVERAGEIFS(Leads[Tempo de resposta (min)],Leads[CPF],"&lt;&gt;",Leads[Data de entrada],"&gt;="&amp;A116,Leads[Data de entrada],"&lt;"&amp;(B116+1),Leads[Tempo de resposta (min)],"&gt;=0",Leads[Tempo de resposta (min)],"&lt;&gt;"),"")</f>
        <v/>
      </c>
      <c r="G116" s="12">
        <f>COUNTIFS(Leads[CPF],"&lt;&gt;",Leads[Data de entrada],"&gt;="&amp;A116,Leads[Data de entrada],"&lt;"&amp;(B116+1),Leads[Tempo de resposta (min)],"&gt;=0",Leads[Tempo de resposta (min)],"&lt;&gt;")</f>
        <v>0</v>
      </c>
      <c r="H116" s="14">
        <f>IFERROR(D116/C116,"")</f>
        <v/>
      </c>
      <c r="I116" s="14">
        <f>IFERROR(E116/D116,"")</f>
        <v/>
      </c>
      <c r="J116" s="14">
        <f>IFERROR(E116/C116,"")</f>
        <v/>
      </c>
    </row>
    <row r="117" spans="1:10">
      <c r="A117" s="5">
        <f>A116+7</f>
        <v>0</v>
      </c>
      <c r="B117" s="5">
        <f>A117+6</f>
        <v>0</v>
      </c>
      <c r="C117" s="12">
        <f>COUNTIFS(Leads[CPF],"&lt;&gt;",Leads[Data de entrada],"&gt;="&amp;A117,Leads[Data de entrada],"&lt;"&amp;(B117+1))</f>
        <v>0</v>
      </c>
      <c r="D117" s="12">
        <f>COUNTIFS(Leads[CPF],"&lt;&gt;",Leads[Data de entrada],"&gt;="&amp;A117,Leads[Data de entrada],"&lt;"&amp;(B117+1),Leads[Data do agendamento],"&gt;0")</f>
        <v>0</v>
      </c>
      <c r="E117" s="12">
        <f>COUNTIFS(Leads[CPF],"&lt;&gt;",Leads[Data de entrada],"&gt;="&amp;A117,Leads[Data de entrada],"&lt;"&amp;(B117+1),Leads[Data da conversa presencial executada],"&gt;0")</f>
        <v>0</v>
      </c>
      <c r="F117" s="13">
        <f>IFERROR(AVERAGEIFS(Leads[Tempo de resposta (min)],Leads[CPF],"&lt;&gt;",Leads[Data de entrada],"&gt;="&amp;A117,Leads[Data de entrada],"&lt;"&amp;(B117+1),Leads[Tempo de resposta (min)],"&gt;=0",Leads[Tempo de resposta (min)],"&lt;&gt;"),"")</f>
        <v/>
      </c>
      <c r="G117" s="12">
        <f>COUNTIFS(Leads[CPF],"&lt;&gt;",Leads[Data de entrada],"&gt;="&amp;A117,Leads[Data de entrada],"&lt;"&amp;(B117+1),Leads[Tempo de resposta (min)],"&gt;=0",Leads[Tempo de resposta (min)],"&lt;&gt;")</f>
        <v>0</v>
      </c>
      <c r="H117" s="14">
        <f>IFERROR(D117/C117,"")</f>
        <v/>
      </c>
      <c r="I117" s="14">
        <f>IFERROR(E117/D117,"")</f>
        <v/>
      </c>
      <c r="J117" s="14">
        <f>IFERROR(E117/C117,"")</f>
        <v/>
      </c>
    </row>
    <row r="118" spans="1:10">
      <c r="A118" s="5">
        <f>A117+7</f>
        <v>0</v>
      </c>
      <c r="B118" s="5">
        <f>A118+6</f>
        <v>0</v>
      </c>
      <c r="C118" s="12">
        <f>COUNTIFS(Leads[CPF],"&lt;&gt;",Leads[Data de entrada],"&gt;="&amp;A118,Leads[Data de entrada],"&lt;"&amp;(B118+1))</f>
        <v>0</v>
      </c>
      <c r="D118" s="12">
        <f>COUNTIFS(Leads[CPF],"&lt;&gt;",Leads[Data de entrada],"&gt;="&amp;A118,Leads[Data de entrada],"&lt;"&amp;(B118+1),Leads[Data do agendamento],"&gt;0")</f>
        <v>0</v>
      </c>
      <c r="E118" s="12">
        <f>COUNTIFS(Leads[CPF],"&lt;&gt;",Leads[Data de entrada],"&gt;="&amp;A118,Leads[Data de entrada],"&lt;"&amp;(B118+1),Leads[Data da conversa presencial executada],"&gt;0")</f>
        <v>0</v>
      </c>
      <c r="F118" s="13">
        <f>IFERROR(AVERAGEIFS(Leads[Tempo de resposta (min)],Leads[CPF],"&lt;&gt;",Leads[Data de entrada],"&gt;="&amp;A118,Leads[Data de entrada],"&lt;"&amp;(B118+1),Leads[Tempo de resposta (min)],"&gt;=0",Leads[Tempo de resposta (min)],"&lt;&gt;"),"")</f>
        <v/>
      </c>
      <c r="G118" s="12">
        <f>COUNTIFS(Leads[CPF],"&lt;&gt;",Leads[Data de entrada],"&gt;="&amp;A118,Leads[Data de entrada],"&lt;"&amp;(B118+1),Leads[Tempo de resposta (min)],"&gt;=0",Leads[Tempo de resposta (min)],"&lt;&gt;")</f>
        <v>0</v>
      </c>
      <c r="H118" s="14">
        <f>IFERROR(D118/C118,"")</f>
        <v/>
      </c>
      <c r="I118" s="14">
        <f>IFERROR(E118/D118,"")</f>
        <v/>
      </c>
      <c r="J118" s="14">
        <f>IFERROR(E118/C118,"")</f>
        <v/>
      </c>
    </row>
    <row r="119" spans="1:10">
      <c r="A119" s="5">
        <f>A118+7</f>
        <v>0</v>
      </c>
      <c r="B119" s="5">
        <f>A119+6</f>
        <v>0</v>
      </c>
      <c r="C119" s="12">
        <f>COUNTIFS(Leads[CPF],"&lt;&gt;",Leads[Data de entrada],"&gt;="&amp;A119,Leads[Data de entrada],"&lt;"&amp;(B119+1))</f>
        <v>0</v>
      </c>
      <c r="D119" s="12">
        <f>COUNTIFS(Leads[CPF],"&lt;&gt;",Leads[Data de entrada],"&gt;="&amp;A119,Leads[Data de entrada],"&lt;"&amp;(B119+1),Leads[Data do agendamento],"&gt;0")</f>
        <v>0</v>
      </c>
      <c r="E119" s="12">
        <f>COUNTIFS(Leads[CPF],"&lt;&gt;",Leads[Data de entrada],"&gt;="&amp;A119,Leads[Data de entrada],"&lt;"&amp;(B119+1),Leads[Data da conversa presencial executada],"&gt;0")</f>
        <v>0</v>
      </c>
      <c r="F119" s="13">
        <f>IFERROR(AVERAGEIFS(Leads[Tempo de resposta (min)],Leads[CPF],"&lt;&gt;",Leads[Data de entrada],"&gt;="&amp;A119,Leads[Data de entrada],"&lt;"&amp;(B119+1),Leads[Tempo de resposta (min)],"&gt;=0",Leads[Tempo de resposta (min)],"&lt;&gt;"),"")</f>
        <v/>
      </c>
      <c r="G119" s="12">
        <f>COUNTIFS(Leads[CPF],"&lt;&gt;",Leads[Data de entrada],"&gt;="&amp;A119,Leads[Data de entrada],"&lt;"&amp;(B119+1),Leads[Tempo de resposta (min)],"&gt;=0",Leads[Tempo de resposta (min)],"&lt;&gt;")</f>
        <v>0</v>
      </c>
      <c r="H119" s="14">
        <f>IFERROR(D119/C119,"")</f>
        <v/>
      </c>
      <c r="I119" s="14">
        <f>IFERROR(E119/D119,"")</f>
        <v/>
      </c>
      <c r="J119" s="14">
        <f>IFERROR(E119/C119,"")</f>
        <v/>
      </c>
    </row>
    <row r="120" spans="1:10">
      <c r="A120" s="5">
        <f>A119+7</f>
        <v>0</v>
      </c>
      <c r="B120" s="5">
        <f>A120+6</f>
        <v>0</v>
      </c>
      <c r="C120" s="12">
        <f>COUNTIFS(Leads[CPF],"&lt;&gt;",Leads[Data de entrada],"&gt;="&amp;A120,Leads[Data de entrada],"&lt;"&amp;(B120+1))</f>
        <v>0</v>
      </c>
      <c r="D120" s="12">
        <f>COUNTIFS(Leads[CPF],"&lt;&gt;",Leads[Data de entrada],"&gt;="&amp;A120,Leads[Data de entrada],"&lt;"&amp;(B120+1),Leads[Data do agendamento],"&gt;0")</f>
        <v>0</v>
      </c>
      <c r="E120" s="12">
        <f>COUNTIFS(Leads[CPF],"&lt;&gt;",Leads[Data de entrada],"&gt;="&amp;A120,Leads[Data de entrada],"&lt;"&amp;(B120+1),Leads[Data da conversa presencial executada],"&gt;0")</f>
        <v>0</v>
      </c>
      <c r="F120" s="13">
        <f>IFERROR(AVERAGEIFS(Leads[Tempo de resposta (min)],Leads[CPF],"&lt;&gt;",Leads[Data de entrada],"&gt;="&amp;A120,Leads[Data de entrada],"&lt;"&amp;(B120+1),Leads[Tempo de resposta (min)],"&gt;=0",Leads[Tempo de resposta (min)],"&lt;&gt;"),"")</f>
        <v/>
      </c>
      <c r="G120" s="12">
        <f>COUNTIFS(Leads[CPF],"&lt;&gt;",Leads[Data de entrada],"&gt;="&amp;A120,Leads[Data de entrada],"&lt;"&amp;(B120+1),Leads[Tempo de resposta (min)],"&gt;=0",Leads[Tempo de resposta (min)],"&lt;&gt;")</f>
        <v>0</v>
      </c>
      <c r="H120" s="14">
        <f>IFERROR(D120/C120,"")</f>
        <v/>
      </c>
      <c r="I120" s="14">
        <f>IFERROR(E120/D120,"")</f>
        <v/>
      </c>
      <c r="J120" s="14">
        <f>IFERROR(E120/C120,"")</f>
        <v/>
      </c>
    </row>
    <row r="121" spans="1:10">
      <c r="A121" s="5">
        <f>A120+7</f>
        <v>0</v>
      </c>
      <c r="B121" s="5">
        <f>A121+6</f>
        <v>0</v>
      </c>
      <c r="C121" s="12">
        <f>COUNTIFS(Leads[CPF],"&lt;&gt;",Leads[Data de entrada],"&gt;="&amp;A121,Leads[Data de entrada],"&lt;"&amp;(B121+1))</f>
        <v>0</v>
      </c>
      <c r="D121" s="12">
        <f>COUNTIFS(Leads[CPF],"&lt;&gt;",Leads[Data de entrada],"&gt;="&amp;A121,Leads[Data de entrada],"&lt;"&amp;(B121+1),Leads[Data do agendamento],"&gt;0")</f>
        <v>0</v>
      </c>
      <c r="E121" s="12">
        <f>COUNTIFS(Leads[CPF],"&lt;&gt;",Leads[Data de entrada],"&gt;="&amp;A121,Leads[Data de entrada],"&lt;"&amp;(B121+1),Leads[Data da conversa presencial executada],"&gt;0")</f>
        <v>0</v>
      </c>
      <c r="F121" s="13">
        <f>IFERROR(AVERAGEIFS(Leads[Tempo de resposta (min)],Leads[CPF],"&lt;&gt;",Leads[Data de entrada],"&gt;="&amp;A121,Leads[Data de entrada],"&lt;"&amp;(B121+1),Leads[Tempo de resposta (min)],"&gt;=0",Leads[Tempo de resposta (min)],"&lt;&gt;"),"")</f>
        <v/>
      </c>
      <c r="G121" s="12">
        <f>COUNTIFS(Leads[CPF],"&lt;&gt;",Leads[Data de entrada],"&gt;="&amp;A121,Leads[Data de entrada],"&lt;"&amp;(B121+1),Leads[Tempo de resposta (min)],"&gt;=0",Leads[Tempo de resposta (min)],"&lt;&gt;")</f>
        <v>0</v>
      </c>
      <c r="H121" s="14">
        <f>IFERROR(D121/C121,"")</f>
        <v/>
      </c>
      <c r="I121" s="14">
        <f>IFERROR(E121/D121,"")</f>
        <v/>
      </c>
      <c r="J121" s="14">
        <f>IFERROR(E121/C121,"")</f>
        <v/>
      </c>
    </row>
    <row r="122" spans="1:10">
      <c r="A122" s="5">
        <f>A121+7</f>
        <v>0</v>
      </c>
      <c r="B122" s="5">
        <f>A122+6</f>
        <v>0</v>
      </c>
      <c r="C122" s="12">
        <f>COUNTIFS(Leads[CPF],"&lt;&gt;",Leads[Data de entrada],"&gt;="&amp;A122,Leads[Data de entrada],"&lt;"&amp;(B122+1))</f>
        <v>0</v>
      </c>
      <c r="D122" s="12">
        <f>COUNTIFS(Leads[CPF],"&lt;&gt;",Leads[Data de entrada],"&gt;="&amp;A122,Leads[Data de entrada],"&lt;"&amp;(B122+1),Leads[Data do agendamento],"&gt;0")</f>
        <v>0</v>
      </c>
      <c r="E122" s="12">
        <f>COUNTIFS(Leads[CPF],"&lt;&gt;",Leads[Data de entrada],"&gt;="&amp;A122,Leads[Data de entrada],"&lt;"&amp;(B122+1),Leads[Data da conversa presencial executada],"&gt;0")</f>
        <v>0</v>
      </c>
      <c r="F122" s="13">
        <f>IFERROR(AVERAGEIFS(Leads[Tempo de resposta (min)],Leads[CPF],"&lt;&gt;",Leads[Data de entrada],"&gt;="&amp;A122,Leads[Data de entrada],"&lt;"&amp;(B122+1),Leads[Tempo de resposta (min)],"&gt;=0",Leads[Tempo de resposta (min)],"&lt;&gt;"),"")</f>
        <v/>
      </c>
      <c r="G122" s="12">
        <f>COUNTIFS(Leads[CPF],"&lt;&gt;",Leads[Data de entrada],"&gt;="&amp;A122,Leads[Data de entrada],"&lt;"&amp;(B122+1),Leads[Tempo de resposta (min)],"&gt;=0",Leads[Tempo de resposta (min)],"&lt;&gt;")</f>
        <v>0</v>
      </c>
      <c r="H122" s="14">
        <f>IFERROR(D122/C122,"")</f>
        <v/>
      </c>
      <c r="I122" s="14">
        <f>IFERROR(E122/D122,"")</f>
        <v/>
      </c>
      <c r="J122" s="14">
        <f>IFERROR(E122/C122,"")</f>
        <v/>
      </c>
    </row>
    <row r="123" spans="1:10">
      <c r="A123" s="5">
        <f>A122+7</f>
        <v>0</v>
      </c>
      <c r="B123" s="5">
        <f>A123+6</f>
        <v>0</v>
      </c>
      <c r="C123" s="12">
        <f>COUNTIFS(Leads[CPF],"&lt;&gt;",Leads[Data de entrada],"&gt;="&amp;A123,Leads[Data de entrada],"&lt;"&amp;(B123+1))</f>
        <v>0</v>
      </c>
      <c r="D123" s="12">
        <f>COUNTIFS(Leads[CPF],"&lt;&gt;",Leads[Data de entrada],"&gt;="&amp;A123,Leads[Data de entrada],"&lt;"&amp;(B123+1),Leads[Data do agendamento],"&gt;0")</f>
        <v>0</v>
      </c>
      <c r="E123" s="12">
        <f>COUNTIFS(Leads[CPF],"&lt;&gt;",Leads[Data de entrada],"&gt;="&amp;A123,Leads[Data de entrada],"&lt;"&amp;(B123+1),Leads[Data da conversa presencial executada],"&gt;0")</f>
        <v>0</v>
      </c>
      <c r="F123" s="13">
        <f>IFERROR(AVERAGEIFS(Leads[Tempo de resposta (min)],Leads[CPF],"&lt;&gt;",Leads[Data de entrada],"&gt;="&amp;A123,Leads[Data de entrada],"&lt;"&amp;(B123+1),Leads[Tempo de resposta (min)],"&gt;=0",Leads[Tempo de resposta (min)],"&lt;&gt;"),"")</f>
        <v/>
      </c>
      <c r="G123" s="12">
        <f>COUNTIFS(Leads[CPF],"&lt;&gt;",Leads[Data de entrada],"&gt;="&amp;A123,Leads[Data de entrada],"&lt;"&amp;(B123+1),Leads[Tempo de resposta (min)],"&gt;=0",Leads[Tempo de resposta (min)],"&lt;&gt;")</f>
        <v>0</v>
      </c>
      <c r="H123" s="14">
        <f>IFERROR(D123/C123,"")</f>
        <v/>
      </c>
      <c r="I123" s="14">
        <f>IFERROR(E123/D123,"")</f>
        <v/>
      </c>
      <c r="J123" s="14">
        <f>IFERROR(E123/C123,"")</f>
        <v/>
      </c>
    </row>
    <row r="124" spans="1:10">
      <c r="A124" s="5">
        <f>A123+7</f>
        <v>0</v>
      </c>
      <c r="B124" s="5">
        <f>A124+6</f>
        <v>0</v>
      </c>
      <c r="C124" s="12">
        <f>COUNTIFS(Leads[CPF],"&lt;&gt;",Leads[Data de entrada],"&gt;="&amp;A124,Leads[Data de entrada],"&lt;"&amp;(B124+1))</f>
        <v>0</v>
      </c>
      <c r="D124" s="12">
        <f>COUNTIFS(Leads[CPF],"&lt;&gt;",Leads[Data de entrada],"&gt;="&amp;A124,Leads[Data de entrada],"&lt;"&amp;(B124+1),Leads[Data do agendamento],"&gt;0")</f>
        <v>0</v>
      </c>
      <c r="E124" s="12">
        <f>COUNTIFS(Leads[CPF],"&lt;&gt;",Leads[Data de entrada],"&gt;="&amp;A124,Leads[Data de entrada],"&lt;"&amp;(B124+1),Leads[Data da conversa presencial executada],"&gt;0")</f>
        <v>0</v>
      </c>
      <c r="F124" s="13">
        <f>IFERROR(AVERAGEIFS(Leads[Tempo de resposta (min)],Leads[CPF],"&lt;&gt;",Leads[Data de entrada],"&gt;="&amp;A124,Leads[Data de entrada],"&lt;"&amp;(B124+1),Leads[Tempo de resposta (min)],"&gt;=0",Leads[Tempo de resposta (min)],"&lt;&gt;"),"")</f>
        <v/>
      </c>
      <c r="G124" s="12">
        <f>COUNTIFS(Leads[CPF],"&lt;&gt;",Leads[Data de entrada],"&gt;="&amp;A124,Leads[Data de entrada],"&lt;"&amp;(B124+1),Leads[Tempo de resposta (min)],"&gt;=0",Leads[Tempo de resposta (min)],"&lt;&gt;")</f>
        <v>0</v>
      </c>
      <c r="H124" s="14">
        <f>IFERROR(D124/C124,"")</f>
        <v/>
      </c>
      <c r="I124" s="14">
        <f>IFERROR(E124/D124,"")</f>
        <v/>
      </c>
      <c r="J124" s="14">
        <f>IFERROR(E124/C124,"")</f>
        <v/>
      </c>
    </row>
    <row r="125" spans="1:10">
      <c r="A125" s="5">
        <f>A124+7</f>
        <v>0</v>
      </c>
      <c r="B125" s="5">
        <f>A125+6</f>
        <v>0</v>
      </c>
      <c r="C125" s="12">
        <f>COUNTIFS(Leads[CPF],"&lt;&gt;",Leads[Data de entrada],"&gt;="&amp;A125,Leads[Data de entrada],"&lt;"&amp;(B125+1))</f>
        <v>0</v>
      </c>
      <c r="D125" s="12">
        <f>COUNTIFS(Leads[CPF],"&lt;&gt;",Leads[Data de entrada],"&gt;="&amp;A125,Leads[Data de entrada],"&lt;"&amp;(B125+1),Leads[Data do agendamento],"&gt;0")</f>
        <v>0</v>
      </c>
      <c r="E125" s="12">
        <f>COUNTIFS(Leads[CPF],"&lt;&gt;",Leads[Data de entrada],"&gt;="&amp;A125,Leads[Data de entrada],"&lt;"&amp;(B125+1),Leads[Data da conversa presencial executada],"&gt;0")</f>
        <v>0</v>
      </c>
      <c r="F125" s="13">
        <f>IFERROR(AVERAGEIFS(Leads[Tempo de resposta (min)],Leads[CPF],"&lt;&gt;",Leads[Data de entrada],"&gt;="&amp;A125,Leads[Data de entrada],"&lt;"&amp;(B125+1),Leads[Tempo de resposta (min)],"&gt;=0",Leads[Tempo de resposta (min)],"&lt;&gt;"),"")</f>
        <v/>
      </c>
      <c r="G125" s="12">
        <f>COUNTIFS(Leads[CPF],"&lt;&gt;",Leads[Data de entrada],"&gt;="&amp;A125,Leads[Data de entrada],"&lt;"&amp;(B125+1),Leads[Tempo de resposta (min)],"&gt;=0",Leads[Tempo de resposta (min)],"&lt;&gt;")</f>
        <v>0</v>
      </c>
      <c r="H125" s="14">
        <f>IFERROR(D125/C125,"")</f>
        <v/>
      </c>
      <c r="I125" s="14">
        <f>IFERROR(E125/D125,"")</f>
        <v/>
      </c>
      <c r="J125" s="14">
        <f>IFERROR(E125/C125,"")</f>
        <v/>
      </c>
    </row>
    <row r="126" spans="1:10">
      <c r="A126" s="5">
        <f>A125+7</f>
        <v>0</v>
      </c>
      <c r="B126" s="5">
        <f>A126+6</f>
        <v>0</v>
      </c>
      <c r="C126" s="12">
        <f>COUNTIFS(Leads[CPF],"&lt;&gt;",Leads[Data de entrada],"&gt;="&amp;A126,Leads[Data de entrada],"&lt;"&amp;(B126+1))</f>
        <v>0</v>
      </c>
      <c r="D126" s="12">
        <f>COUNTIFS(Leads[CPF],"&lt;&gt;",Leads[Data de entrada],"&gt;="&amp;A126,Leads[Data de entrada],"&lt;"&amp;(B126+1),Leads[Data do agendamento],"&gt;0")</f>
        <v>0</v>
      </c>
      <c r="E126" s="12">
        <f>COUNTIFS(Leads[CPF],"&lt;&gt;",Leads[Data de entrada],"&gt;="&amp;A126,Leads[Data de entrada],"&lt;"&amp;(B126+1),Leads[Data da conversa presencial executada],"&gt;0")</f>
        <v>0</v>
      </c>
      <c r="F126" s="13">
        <f>IFERROR(AVERAGEIFS(Leads[Tempo de resposta (min)],Leads[CPF],"&lt;&gt;",Leads[Data de entrada],"&gt;="&amp;A126,Leads[Data de entrada],"&lt;"&amp;(B126+1),Leads[Tempo de resposta (min)],"&gt;=0",Leads[Tempo de resposta (min)],"&lt;&gt;"),"")</f>
        <v/>
      </c>
      <c r="G126" s="12">
        <f>COUNTIFS(Leads[CPF],"&lt;&gt;",Leads[Data de entrada],"&gt;="&amp;A126,Leads[Data de entrada],"&lt;"&amp;(B126+1),Leads[Tempo de resposta (min)],"&gt;=0",Leads[Tempo de resposta (min)],"&lt;&gt;")</f>
        <v>0</v>
      </c>
      <c r="H126" s="14">
        <f>IFERROR(D126/C126,"")</f>
        <v/>
      </c>
      <c r="I126" s="14">
        <f>IFERROR(E126/D126,"")</f>
        <v/>
      </c>
      <c r="J126" s="14">
        <f>IFERROR(E126/C126,"")</f>
        <v/>
      </c>
    </row>
    <row r="127" spans="1:10">
      <c r="A127" s="5">
        <f>A126+7</f>
        <v>0</v>
      </c>
      <c r="B127" s="5">
        <f>A127+6</f>
        <v>0</v>
      </c>
      <c r="C127" s="12">
        <f>COUNTIFS(Leads[CPF],"&lt;&gt;",Leads[Data de entrada],"&gt;="&amp;A127,Leads[Data de entrada],"&lt;"&amp;(B127+1))</f>
        <v>0</v>
      </c>
      <c r="D127" s="12">
        <f>COUNTIFS(Leads[CPF],"&lt;&gt;",Leads[Data de entrada],"&gt;="&amp;A127,Leads[Data de entrada],"&lt;"&amp;(B127+1),Leads[Data do agendamento],"&gt;0")</f>
        <v>0</v>
      </c>
      <c r="E127" s="12">
        <f>COUNTIFS(Leads[CPF],"&lt;&gt;",Leads[Data de entrada],"&gt;="&amp;A127,Leads[Data de entrada],"&lt;"&amp;(B127+1),Leads[Data da conversa presencial executada],"&gt;0")</f>
        <v>0</v>
      </c>
      <c r="F127" s="13">
        <f>IFERROR(AVERAGEIFS(Leads[Tempo de resposta (min)],Leads[CPF],"&lt;&gt;",Leads[Data de entrada],"&gt;="&amp;A127,Leads[Data de entrada],"&lt;"&amp;(B127+1),Leads[Tempo de resposta (min)],"&gt;=0",Leads[Tempo de resposta (min)],"&lt;&gt;"),"")</f>
        <v/>
      </c>
      <c r="G127" s="12">
        <f>COUNTIFS(Leads[CPF],"&lt;&gt;",Leads[Data de entrada],"&gt;="&amp;A127,Leads[Data de entrada],"&lt;"&amp;(B127+1),Leads[Tempo de resposta (min)],"&gt;=0",Leads[Tempo de resposta (min)],"&lt;&gt;")</f>
        <v>0</v>
      </c>
      <c r="H127" s="14">
        <f>IFERROR(D127/C127,"")</f>
        <v/>
      </c>
      <c r="I127" s="14">
        <f>IFERROR(E127/D127,"")</f>
        <v/>
      </c>
      <c r="J127" s="14">
        <f>IFERROR(E127/C127,"")</f>
        <v/>
      </c>
    </row>
    <row r="128" spans="1:10">
      <c r="A128" s="5">
        <f>A127+7</f>
        <v>0</v>
      </c>
      <c r="B128" s="5">
        <f>A128+6</f>
        <v>0</v>
      </c>
      <c r="C128" s="12">
        <f>COUNTIFS(Leads[CPF],"&lt;&gt;",Leads[Data de entrada],"&gt;="&amp;A128,Leads[Data de entrada],"&lt;"&amp;(B128+1))</f>
        <v>0</v>
      </c>
      <c r="D128" s="12">
        <f>COUNTIFS(Leads[CPF],"&lt;&gt;",Leads[Data de entrada],"&gt;="&amp;A128,Leads[Data de entrada],"&lt;"&amp;(B128+1),Leads[Data do agendamento],"&gt;0")</f>
        <v>0</v>
      </c>
      <c r="E128" s="12">
        <f>COUNTIFS(Leads[CPF],"&lt;&gt;",Leads[Data de entrada],"&gt;="&amp;A128,Leads[Data de entrada],"&lt;"&amp;(B128+1),Leads[Data da conversa presencial executada],"&gt;0")</f>
        <v>0</v>
      </c>
      <c r="F128" s="13">
        <f>IFERROR(AVERAGEIFS(Leads[Tempo de resposta (min)],Leads[CPF],"&lt;&gt;",Leads[Data de entrada],"&gt;="&amp;A128,Leads[Data de entrada],"&lt;"&amp;(B128+1),Leads[Tempo de resposta (min)],"&gt;=0",Leads[Tempo de resposta (min)],"&lt;&gt;"),"")</f>
        <v/>
      </c>
      <c r="G128" s="12">
        <f>COUNTIFS(Leads[CPF],"&lt;&gt;",Leads[Data de entrada],"&gt;="&amp;A128,Leads[Data de entrada],"&lt;"&amp;(B128+1),Leads[Tempo de resposta (min)],"&gt;=0",Leads[Tempo de resposta (min)],"&lt;&gt;")</f>
        <v>0</v>
      </c>
      <c r="H128" s="14">
        <f>IFERROR(D128/C128,"")</f>
        <v/>
      </c>
      <c r="I128" s="14">
        <f>IFERROR(E128/D128,"")</f>
        <v/>
      </c>
      <c r="J128" s="14">
        <f>IFERROR(E128/C128,"")</f>
        <v/>
      </c>
    </row>
    <row r="129" spans="1:10">
      <c r="A129" s="5">
        <f>A128+7</f>
        <v>0</v>
      </c>
      <c r="B129" s="5">
        <f>A129+6</f>
        <v>0</v>
      </c>
      <c r="C129" s="12">
        <f>COUNTIFS(Leads[CPF],"&lt;&gt;",Leads[Data de entrada],"&gt;="&amp;A129,Leads[Data de entrada],"&lt;"&amp;(B129+1))</f>
        <v>0</v>
      </c>
      <c r="D129" s="12">
        <f>COUNTIFS(Leads[CPF],"&lt;&gt;",Leads[Data de entrada],"&gt;="&amp;A129,Leads[Data de entrada],"&lt;"&amp;(B129+1),Leads[Data do agendamento],"&gt;0")</f>
        <v>0</v>
      </c>
      <c r="E129" s="12">
        <f>COUNTIFS(Leads[CPF],"&lt;&gt;",Leads[Data de entrada],"&gt;="&amp;A129,Leads[Data de entrada],"&lt;"&amp;(B129+1),Leads[Data da conversa presencial executada],"&gt;0")</f>
        <v>0</v>
      </c>
      <c r="F129" s="13">
        <f>IFERROR(AVERAGEIFS(Leads[Tempo de resposta (min)],Leads[CPF],"&lt;&gt;",Leads[Data de entrada],"&gt;="&amp;A129,Leads[Data de entrada],"&lt;"&amp;(B129+1),Leads[Tempo de resposta (min)],"&gt;=0",Leads[Tempo de resposta (min)],"&lt;&gt;"),"")</f>
        <v/>
      </c>
      <c r="G129" s="12">
        <f>COUNTIFS(Leads[CPF],"&lt;&gt;",Leads[Data de entrada],"&gt;="&amp;A129,Leads[Data de entrada],"&lt;"&amp;(B129+1),Leads[Tempo de resposta (min)],"&gt;=0",Leads[Tempo de resposta (min)],"&lt;&gt;")</f>
        <v>0</v>
      </c>
      <c r="H129" s="14">
        <f>IFERROR(D129/C129,"")</f>
        <v/>
      </c>
      <c r="I129" s="14">
        <f>IFERROR(E129/D129,"")</f>
        <v/>
      </c>
      <c r="J129" s="14">
        <f>IFERROR(E129/C129,"")</f>
        <v/>
      </c>
    </row>
    <row r="130" spans="1:10">
      <c r="A130" s="5">
        <f>A129+7</f>
        <v>0</v>
      </c>
      <c r="B130" s="5">
        <f>A130+6</f>
        <v>0</v>
      </c>
      <c r="C130" s="12">
        <f>COUNTIFS(Leads[CPF],"&lt;&gt;",Leads[Data de entrada],"&gt;="&amp;A130,Leads[Data de entrada],"&lt;"&amp;(B130+1))</f>
        <v>0</v>
      </c>
      <c r="D130" s="12">
        <f>COUNTIFS(Leads[CPF],"&lt;&gt;",Leads[Data de entrada],"&gt;="&amp;A130,Leads[Data de entrada],"&lt;"&amp;(B130+1),Leads[Data do agendamento],"&gt;0")</f>
        <v>0</v>
      </c>
      <c r="E130" s="12">
        <f>COUNTIFS(Leads[CPF],"&lt;&gt;",Leads[Data de entrada],"&gt;="&amp;A130,Leads[Data de entrada],"&lt;"&amp;(B130+1),Leads[Data da conversa presencial executada],"&gt;0")</f>
        <v>0</v>
      </c>
      <c r="F130" s="13">
        <f>IFERROR(AVERAGEIFS(Leads[Tempo de resposta (min)],Leads[CPF],"&lt;&gt;",Leads[Data de entrada],"&gt;="&amp;A130,Leads[Data de entrada],"&lt;"&amp;(B130+1),Leads[Tempo de resposta (min)],"&gt;=0",Leads[Tempo de resposta (min)],"&lt;&gt;"),"")</f>
        <v/>
      </c>
      <c r="G130" s="12">
        <f>COUNTIFS(Leads[CPF],"&lt;&gt;",Leads[Data de entrada],"&gt;="&amp;A130,Leads[Data de entrada],"&lt;"&amp;(B130+1),Leads[Tempo de resposta (min)],"&gt;=0",Leads[Tempo de resposta (min)],"&lt;&gt;")</f>
        <v>0</v>
      </c>
      <c r="H130" s="14">
        <f>IFERROR(D130/C130,"")</f>
        <v/>
      </c>
      <c r="I130" s="14">
        <f>IFERROR(E130/D130,"")</f>
        <v/>
      </c>
      <c r="J130" s="14">
        <f>IFERROR(E130/C130,"")</f>
        <v/>
      </c>
    </row>
    <row r="131" spans="1:10">
      <c r="A131" s="5">
        <f>A130+7</f>
        <v>0</v>
      </c>
      <c r="B131" s="5">
        <f>A131+6</f>
        <v>0</v>
      </c>
      <c r="C131" s="12">
        <f>COUNTIFS(Leads[CPF],"&lt;&gt;",Leads[Data de entrada],"&gt;="&amp;A131,Leads[Data de entrada],"&lt;"&amp;(B131+1))</f>
        <v>0</v>
      </c>
      <c r="D131" s="12">
        <f>COUNTIFS(Leads[CPF],"&lt;&gt;",Leads[Data de entrada],"&gt;="&amp;A131,Leads[Data de entrada],"&lt;"&amp;(B131+1),Leads[Data do agendamento],"&gt;0")</f>
        <v>0</v>
      </c>
      <c r="E131" s="12">
        <f>COUNTIFS(Leads[CPF],"&lt;&gt;",Leads[Data de entrada],"&gt;="&amp;A131,Leads[Data de entrada],"&lt;"&amp;(B131+1),Leads[Data da conversa presencial executada],"&gt;0")</f>
        <v>0</v>
      </c>
      <c r="F131" s="13">
        <f>IFERROR(AVERAGEIFS(Leads[Tempo de resposta (min)],Leads[CPF],"&lt;&gt;",Leads[Data de entrada],"&gt;="&amp;A131,Leads[Data de entrada],"&lt;"&amp;(B131+1),Leads[Tempo de resposta (min)],"&gt;=0",Leads[Tempo de resposta (min)],"&lt;&gt;"),"")</f>
        <v/>
      </c>
      <c r="G131" s="12">
        <f>COUNTIFS(Leads[CPF],"&lt;&gt;",Leads[Data de entrada],"&gt;="&amp;A131,Leads[Data de entrada],"&lt;"&amp;(B131+1),Leads[Tempo de resposta (min)],"&gt;=0",Leads[Tempo de resposta (min)],"&lt;&gt;")</f>
        <v>0</v>
      </c>
      <c r="H131" s="14">
        <f>IFERROR(D131/C131,"")</f>
        <v/>
      </c>
      <c r="I131" s="14">
        <f>IFERROR(E131/D131,"")</f>
        <v/>
      </c>
      <c r="J131" s="14">
        <f>IFERROR(E131/C131,"")</f>
        <v/>
      </c>
    </row>
    <row r="132" spans="1:10">
      <c r="A132" s="5">
        <f>A131+7</f>
        <v>0</v>
      </c>
      <c r="B132" s="5">
        <f>A132+6</f>
        <v>0</v>
      </c>
      <c r="C132" s="12">
        <f>COUNTIFS(Leads[CPF],"&lt;&gt;",Leads[Data de entrada],"&gt;="&amp;A132,Leads[Data de entrada],"&lt;"&amp;(B132+1))</f>
        <v>0</v>
      </c>
      <c r="D132" s="12">
        <f>COUNTIFS(Leads[CPF],"&lt;&gt;",Leads[Data de entrada],"&gt;="&amp;A132,Leads[Data de entrada],"&lt;"&amp;(B132+1),Leads[Data do agendamento],"&gt;0")</f>
        <v>0</v>
      </c>
      <c r="E132" s="12">
        <f>COUNTIFS(Leads[CPF],"&lt;&gt;",Leads[Data de entrada],"&gt;="&amp;A132,Leads[Data de entrada],"&lt;"&amp;(B132+1),Leads[Data da conversa presencial executada],"&gt;0")</f>
        <v>0</v>
      </c>
      <c r="F132" s="13">
        <f>IFERROR(AVERAGEIFS(Leads[Tempo de resposta (min)],Leads[CPF],"&lt;&gt;",Leads[Data de entrada],"&gt;="&amp;A132,Leads[Data de entrada],"&lt;"&amp;(B132+1),Leads[Tempo de resposta (min)],"&gt;=0",Leads[Tempo de resposta (min)],"&lt;&gt;"),"")</f>
        <v/>
      </c>
      <c r="G132" s="12">
        <f>COUNTIFS(Leads[CPF],"&lt;&gt;",Leads[Data de entrada],"&gt;="&amp;A132,Leads[Data de entrada],"&lt;"&amp;(B132+1),Leads[Tempo de resposta (min)],"&gt;=0",Leads[Tempo de resposta (min)],"&lt;&gt;")</f>
        <v>0</v>
      </c>
      <c r="H132" s="14">
        <f>IFERROR(D132/C132,"")</f>
        <v/>
      </c>
      <c r="I132" s="14">
        <f>IFERROR(E132/D132,"")</f>
        <v/>
      </c>
      <c r="J132" s="14">
        <f>IFERROR(E132/C132,"")</f>
        <v/>
      </c>
    </row>
    <row r="133" spans="1:10">
      <c r="A133" s="5">
        <f>A132+7</f>
        <v>0</v>
      </c>
      <c r="B133" s="5">
        <f>A133+6</f>
        <v>0</v>
      </c>
      <c r="C133" s="12">
        <f>COUNTIFS(Leads[CPF],"&lt;&gt;",Leads[Data de entrada],"&gt;="&amp;A133,Leads[Data de entrada],"&lt;"&amp;(B133+1))</f>
        <v>0</v>
      </c>
      <c r="D133" s="12">
        <f>COUNTIFS(Leads[CPF],"&lt;&gt;",Leads[Data de entrada],"&gt;="&amp;A133,Leads[Data de entrada],"&lt;"&amp;(B133+1),Leads[Data do agendamento],"&gt;0")</f>
        <v>0</v>
      </c>
      <c r="E133" s="12">
        <f>COUNTIFS(Leads[CPF],"&lt;&gt;",Leads[Data de entrada],"&gt;="&amp;A133,Leads[Data de entrada],"&lt;"&amp;(B133+1),Leads[Data da conversa presencial executada],"&gt;0")</f>
        <v>0</v>
      </c>
      <c r="F133" s="13">
        <f>IFERROR(AVERAGEIFS(Leads[Tempo de resposta (min)],Leads[CPF],"&lt;&gt;",Leads[Data de entrada],"&gt;="&amp;A133,Leads[Data de entrada],"&lt;"&amp;(B133+1),Leads[Tempo de resposta (min)],"&gt;=0",Leads[Tempo de resposta (min)],"&lt;&gt;"),"")</f>
        <v/>
      </c>
      <c r="G133" s="12">
        <f>COUNTIFS(Leads[CPF],"&lt;&gt;",Leads[Data de entrada],"&gt;="&amp;A133,Leads[Data de entrada],"&lt;"&amp;(B133+1),Leads[Tempo de resposta (min)],"&gt;=0",Leads[Tempo de resposta (min)],"&lt;&gt;")</f>
        <v>0</v>
      </c>
      <c r="H133" s="14">
        <f>IFERROR(D133/C133,"")</f>
        <v/>
      </c>
      <c r="I133" s="14">
        <f>IFERROR(E133/D133,"")</f>
        <v/>
      </c>
      <c r="J133" s="14">
        <f>IFERROR(E133/C133,"")</f>
        <v/>
      </c>
    </row>
    <row r="134" spans="1:10">
      <c r="A134" s="5">
        <f>A133+7</f>
        <v>0</v>
      </c>
      <c r="B134" s="5">
        <f>A134+6</f>
        <v>0</v>
      </c>
      <c r="C134" s="12">
        <f>COUNTIFS(Leads[CPF],"&lt;&gt;",Leads[Data de entrada],"&gt;="&amp;A134,Leads[Data de entrada],"&lt;"&amp;(B134+1))</f>
        <v>0</v>
      </c>
      <c r="D134" s="12">
        <f>COUNTIFS(Leads[CPF],"&lt;&gt;",Leads[Data de entrada],"&gt;="&amp;A134,Leads[Data de entrada],"&lt;"&amp;(B134+1),Leads[Data do agendamento],"&gt;0")</f>
        <v>0</v>
      </c>
      <c r="E134" s="12">
        <f>COUNTIFS(Leads[CPF],"&lt;&gt;",Leads[Data de entrada],"&gt;="&amp;A134,Leads[Data de entrada],"&lt;"&amp;(B134+1),Leads[Data da conversa presencial executada],"&gt;0")</f>
        <v>0</v>
      </c>
      <c r="F134" s="13">
        <f>IFERROR(AVERAGEIFS(Leads[Tempo de resposta (min)],Leads[CPF],"&lt;&gt;",Leads[Data de entrada],"&gt;="&amp;A134,Leads[Data de entrada],"&lt;"&amp;(B134+1),Leads[Tempo de resposta (min)],"&gt;=0",Leads[Tempo de resposta (min)],"&lt;&gt;"),"")</f>
        <v/>
      </c>
      <c r="G134" s="12">
        <f>COUNTIFS(Leads[CPF],"&lt;&gt;",Leads[Data de entrada],"&gt;="&amp;A134,Leads[Data de entrada],"&lt;"&amp;(B134+1),Leads[Tempo de resposta (min)],"&gt;=0",Leads[Tempo de resposta (min)],"&lt;&gt;")</f>
        <v>0</v>
      </c>
      <c r="H134" s="14">
        <f>IFERROR(D134/C134,"")</f>
        <v/>
      </c>
      <c r="I134" s="14">
        <f>IFERROR(E134/D134,"")</f>
        <v/>
      </c>
      <c r="J134" s="14">
        <f>IFERROR(E134/C134,"")</f>
        <v/>
      </c>
    </row>
    <row r="135" spans="1:10">
      <c r="A135" s="5">
        <f>A134+7</f>
        <v>0</v>
      </c>
      <c r="B135" s="5">
        <f>A135+6</f>
        <v>0</v>
      </c>
      <c r="C135" s="12">
        <f>COUNTIFS(Leads[CPF],"&lt;&gt;",Leads[Data de entrada],"&gt;="&amp;A135,Leads[Data de entrada],"&lt;"&amp;(B135+1))</f>
        <v>0</v>
      </c>
      <c r="D135" s="12">
        <f>COUNTIFS(Leads[CPF],"&lt;&gt;",Leads[Data de entrada],"&gt;="&amp;A135,Leads[Data de entrada],"&lt;"&amp;(B135+1),Leads[Data do agendamento],"&gt;0")</f>
        <v>0</v>
      </c>
      <c r="E135" s="12">
        <f>COUNTIFS(Leads[CPF],"&lt;&gt;",Leads[Data de entrada],"&gt;="&amp;A135,Leads[Data de entrada],"&lt;"&amp;(B135+1),Leads[Data da conversa presencial executada],"&gt;0")</f>
        <v>0</v>
      </c>
      <c r="F135" s="13">
        <f>IFERROR(AVERAGEIFS(Leads[Tempo de resposta (min)],Leads[CPF],"&lt;&gt;",Leads[Data de entrada],"&gt;="&amp;A135,Leads[Data de entrada],"&lt;"&amp;(B135+1),Leads[Tempo de resposta (min)],"&gt;=0",Leads[Tempo de resposta (min)],"&lt;&gt;"),"")</f>
        <v/>
      </c>
      <c r="G135" s="12">
        <f>COUNTIFS(Leads[CPF],"&lt;&gt;",Leads[Data de entrada],"&gt;="&amp;A135,Leads[Data de entrada],"&lt;"&amp;(B135+1),Leads[Tempo de resposta (min)],"&gt;=0",Leads[Tempo de resposta (min)],"&lt;&gt;")</f>
        <v>0</v>
      </c>
      <c r="H135" s="14">
        <f>IFERROR(D135/C135,"")</f>
        <v/>
      </c>
      <c r="I135" s="14">
        <f>IFERROR(E135/D135,"")</f>
        <v/>
      </c>
      <c r="J135" s="14">
        <f>IFERROR(E135/C135,"")</f>
        <v/>
      </c>
    </row>
    <row r="136" spans="1:10">
      <c r="A136" s="5">
        <f>A135+7</f>
        <v>0</v>
      </c>
      <c r="B136" s="5">
        <f>A136+6</f>
        <v>0</v>
      </c>
      <c r="C136" s="12">
        <f>COUNTIFS(Leads[CPF],"&lt;&gt;",Leads[Data de entrada],"&gt;="&amp;A136,Leads[Data de entrada],"&lt;"&amp;(B136+1))</f>
        <v>0</v>
      </c>
      <c r="D136" s="12">
        <f>COUNTIFS(Leads[CPF],"&lt;&gt;",Leads[Data de entrada],"&gt;="&amp;A136,Leads[Data de entrada],"&lt;"&amp;(B136+1),Leads[Data do agendamento],"&gt;0")</f>
        <v>0</v>
      </c>
      <c r="E136" s="12">
        <f>COUNTIFS(Leads[CPF],"&lt;&gt;",Leads[Data de entrada],"&gt;="&amp;A136,Leads[Data de entrada],"&lt;"&amp;(B136+1),Leads[Data da conversa presencial executada],"&gt;0")</f>
        <v>0</v>
      </c>
      <c r="F136" s="13">
        <f>IFERROR(AVERAGEIFS(Leads[Tempo de resposta (min)],Leads[CPF],"&lt;&gt;",Leads[Data de entrada],"&gt;="&amp;A136,Leads[Data de entrada],"&lt;"&amp;(B136+1),Leads[Tempo de resposta (min)],"&gt;=0",Leads[Tempo de resposta (min)],"&lt;&gt;"),"")</f>
        <v/>
      </c>
      <c r="G136" s="12">
        <f>COUNTIFS(Leads[CPF],"&lt;&gt;",Leads[Data de entrada],"&gt;="&amp;A136,Leads[Data de entrada],"&lt;"&amp;(B136+1),Leads[Tempo de resposta (min)],"&gt;=0",Leads[Tempo de resposta (min)],"&lt;&gt;")</f>
        <v>0</v>
      </c>
      <c r="H136" s="14">
        <f>IFERROR(D136/C136,"")</f>
        <v/>
      </c>
      <c r="I136" s="14">
        <f>IFERROR(E136/D136,"")</f>
        <v/>
      </c>
      <c r="J136" s="14">
        <f>IFERROR(E136/C136,"")</f>
        <v/>
      </c>
    </row>
    <row r="137" spans="1:10">
      <c r="A137" s="5">
        <f>A136+7</f>
        <v>0</v>
      </c>
      <c r="B137" s="5">
        <f>A137+6</f>
        <v>0</v>
      </c>
      <c r="C137" s="12">
        <f>COUNTIFS(Leads[CPF],"&lt;&gt;",Leads[Data de entrada],"&gt;="&amp;A137,Leads[Data de entrada],"&lt;"&amp;(B137+1))</f>
        <v>0</v>
      </c>
      <c r="D137" s="12">
        <f>COUNTIFS(Leads[CPF],"&lt;&gt;",Leads[Data de entrada],"&gt;="&amp;A137,Leads[Data de entrada],"&lt;"&amp;(B137+1),Leads[Data do agendamento],"&gt;0")</f>
        <v>0</v>
      </c>
      <c r="E137" s="12">
        <f>COUNTIFS(Leads[CPF],"&lt;&gt;",Leads[Data de entrada],"&gt;="&amp;A137,Leads[Data de entrada],"&lt;"&amp;(B137+1),Leads[Data da conversa presencial executada],"&gt;0")</f>
        <v>0</v>
      </c>
      <c r="F137" s="13">
        <f>IFERROR(AVERAGEIFS(Leads[Tempo de resposta (min)],Leads[CPF],"&lt;&gt;",Leads[Data de entrada],"&gt;="&amp;A137,Leads[Data de entrada],"&lt;"&amp;(B137+1),Leads[Tempo de resposta (min)],"&gt;=0",Leads[Tempo de resposta (min)],"&lt;&gt;"),"")</f>
        <v/>
      </c>
      <c r="G137" s="12">
        <f>COUNTIFS(Leads[CPF],"&lt;&gt;",Leads[Data de entrada],"&gt;="&amp;A137,Leads[Data de entrada],"&lt;"&amp;(B137+1),Leads[Tempo de resposta (min)],"&gt;=0",Leads[Tempo de resposta (min)],"&lt;&gt;")</f>
        <v>0</v>
      </c>
      <c r="H137" s="14">
        <f>IFERROR(D137/C137,"")</f>
        <v/>
      </c>
      <c r="I137" s="14">
        <f>IFERROR(E137/D137,"")</f>
        <v/>
      </c>
      <c r="J137" s="14">
        <f>IFERROR(E137/C137,"")</f>
        <v/>
      </c>
    </row>
    <row r="138" spans="1:10">
      <c r="A138" s="5">
        <f>A137+7</f>
        <v>0</v>
      </c>
      <c r="B138" s="5">
        <f>A138+6</f>
        <v>0</v>
      </c>
      <c r="C138" s="12">
        <f>COUNTIFS(Leads[CPF],"&lt;&gt;",Leads[Data de entrada],"&gt;="&amp;A138,Leads[Data de entrada],"&lt;"&amp;(B138+1))</f>
        <v>0</v>
      </c>
      <c r="D138" s="12">
        <f>COUNTIFS(Leads[CPF],"&lt;&gt;",Leads[Data de entrada],"&gt;="&amp;A138,Leads[Data de entrada],"&lt;"&amp;(B138+1),Leads[Data do agendamento],"&gt;0")</f>
        <v>0</v>
      </c>
      <c r="E138" s="12">
        <f>COUNTIFS(Leads[CPF],"&lt;&gt;",Leads[Data de entrada],"&gt;="&amp;A138,Leads[Data de entrada],"&lt;"&amp;(B138+1),Leads[Data da conversa presencial executada],"&gt;0")</f>
        <v>0</v>
      </c>
      <c r="F138" s="13">
        <f>IFERROR(AVERAGEIFS(Leads[Tempo de resposta (min)],Leads[CPF],"&lt;&gt;",Leads[Data de entrada],"&gt;="&amp;A138,Leads[Data de entrada],"&lt;"&amp;(B138+1),Leads[Tempo de resposta (min)],"&gt;=0",Leads[Tempo de resposta (min)],"&lt;&gt;"),"")</f>
        <v/>
      </c>
      <c r="G138" s="12">
        <f>COUNTIFS(Leads[CPF],"&lt;&gt;",Leads[Data de entrada],"&gt;="&amp;A138,Leads[Data de entrada],"&lt;"&amp;(B138+1),Leads[Tempo de resposta (min)],"&gt;=0",Leads[Tempo de resposta (min)],"&lt;&gt;")</f>
        <v>0</v>
      </c>
      <c r="H138" s="14">
        <f>IFERROR(D138/C138,"")</f>
        <v/>
      </c>
      <c r="I138" s="14">
        <f>IFERROR(E138/D138,"")</f>
        <v/>
      </c>
      <c r="J138" s="14">
        <f>IFERROR(E138/C138,"")</f>
        <v/>
      </c>
    </row>
    <row r="139" spans="1:10">
      <c r="A139" s="5">
        <f>A138+7</f>
        <v>0</v>
      </c>
      <c r="B139" s="5">
        <f>A139+6</f>
        <v>0</v>
      </c>
      <c r="C139" s="12">
        <f>COUNTIFS(Leads[CPF],"&lt;&gt;",Leads[Data de entrada],"&gt;="&amp;A139,Leads[Data de entrada],"&lt;"&amp;(B139+1))</f>
        <v>0</v>
      </c>
      <c r="D139" s="12">
        <f>COUNTIFS(Leads[CPF],"&lt;&gt;",Leads[Data de entrada],"&gt;="&amp;A139,Leads[Data de entrada],"&lt;"&amp;(B139+1),Leads[Data do agendamento],"&gt;0")</f>
        <v>0</v>
      </c>
      <c r="E139" s="12">
        <f>COUNTIFS(Leads[CPF],"&lt;&gt;",Leads[Data de entrada],"&gt;="&amp;A139,Leads[Data de entrada],"&lt;"&amp;(B139+1),Leads[Data da conversa presencial executada],"&gt;0")</f>
        <v>0</v>
      </c>
      <c r="F139" s="13">
        <f>IFERROR(AVERAGEIFS(Leads[Tempo de resposta (min)],Leads[CPF],"&lt;&gt;",Leads[Data de entrada],"&gt;="&amp;A139,Leads[Data de entrada],"&lt;"&amp;(B139+1),Leads[Tempo de resposta (min)],"&gt;=0",Leads[Tempo de resposta (min)],"&lt;&gt;"),"")</f>
        <v/>
      </c>
      <c r="G139" s="12">
        <f>COUNTIFS(Leads[CPF],"&lt;&gt;",Leads[Data de entrada],"&gt;="&amp;A139,Leads[Data de entrada],"&lt;"&amp;(B139+1),Leads[Tempo de resposta (min)],"&gt;=0",Leads[Tempo de resposta (min)],"&lt;&gt;")</f>
        <v>0</v>
      </c>
      <c r="H139" s="14">
        <f>IFERROR(D139/C139,"")</f>
        <v/>
      </c>
      <c r="I139" s="14">
        <f>IFERROR(E139/D139,"")</f>
        <v/>
      </c>
      <c r="J139" s="14">
        <f>IFERROR(E139/C139,"")</f>
        <v/>
      </c>
    </row>
    <row r="140" spans="1:10">
      <c r="A140" s="5">
        <f>A139+7</f>
        <v>0</v>
      </c>
      <c r="B140" s="5">
        <f>A140+6</f>
        <v>0</v>
      </c>
      <c r="C140" s="12">
        <f>COUNTIFS(Leads[CPF],"&lt;&gt;",Leads[Data de entrada],"&gt;="&amp;A140,Leads[Data de entrada],"&lt;"&amp;(B140+1))</f>
        <v>0</v>
      </c>
      <c r="D140" s="12">
        <f>COUNTIFS(Leads[CPF],"&lt;&gt;",Leads[Data de entrada],"&gt;="&amp;A140,Leads[Data de entrada],"&lt;"&amp;(B140+1),Leads[Data do agendamento],"&gt;0")</f>
        <v>0</v>
      </c>
      <c r="E140" s="12">
        <f>COUNTIFS(Leads[CPF],"&lt;&gt;",Leads[Data de entrada],"&gt;="&amp;A140,Leads[Data de entrada],"&lt;"&amp;(B140+1),Leads[Data da conversa presencial executada],"&gt;0")</f>
        <v>0</v>
      </c>
      <c r="F140" s="13">
        <f>IFERROR(AVERAGEIFS(Leads[Tempo de resposta (min)],Leads[CPF],"&lt;&gt;",Leads[Data de entrada],"&gt;="&amp;A140,Leads[Data de entrada],"&lt;"&amp;(B140+1),Leads[Tempo de resposta (min)],"&gt;=0",Leads[Tempo de resposta (min)],"&lt;&gt;"),"")</f>
        <v/>
      </c>
      <c r="G140" s="12">
        <f>COUNTIFS(Leads[CPF],"&lt;&gt;",Leads[Data de entrada],"&gt;="&amp;A140,Leads[Data de entrada],"&lt;"&amp;(B140+1),Leads[Tempo de resposta (min)],"&gt;=0",Leads[Tempo de resposta (min)],"&lt;&gt;")</f>
        <v>0</v>
      </c>
      <c r="H140" s="14">
        <f>IFERROR(D140/C140,"")</f>
        <v/>
      </c>
      <c r="I140" s="14">
        <f>IFERROR(E140/D140,"")</f>
        <v/>
      </c>
      <c r="J140" s="14">
        <f>IFERROR(E140/C140,"")</f>
        <v/>
      </c>
    </row>
    <row r="141" spans="1:10">
      <c r="A141" s="5">
        <f>A140+7</f>
        <v>0</v>
      </c>
      <c r="B141" s="5">
        <f>A141+6</f>
        <v>0</v>
      </c>
      <c r="C141" s="12">
        <f>COUNTIFS(Leads[CPF],"&lt;&gt;",Leads[Data de entrada],"&gt;="&amp;A141,Leads[Data de entrada],"&lt;"&amp;(B141+1))</f>
        <v>0</v>
      </c>
      <c r="D141" s="12">
        <f>COUNTIFS(Leads[CPF],"&lt;&gt;",Leads[Data de entrada],"&gt;="&amp;A141,Leads[Data de entrada],"&lt;"&amp;(B141+1),Leads[Data do agendamento],"&gt;0")</f>
        <v>0</v>
      </c>
      <c r="E141" s="12">
        <f>COUNTIFS(Leads[CPF],"&lt;&gt;",Leads[Data de entrada],"&gt;="&amp;A141,Leads[Data de entrada],"&lt;"&amp;(B141+1),Leads[Data da conversa presencial executada],"&gt;0")</f>
        <v>0</v>
      </c>
      <c r="F141" s="13">
        <f>IFERROR(AVERAGEIFS(Leads[Tempo de resposta (min)],Leads[CPF],"&lt;&gt;",Leads[Data de entrada],"&gt;="&amp;A141,Leads[Data de entrada],"&lt;"&amp;(B141+1),Leads[Tempo de resposta (min)],"&gt;=0",Leads[Tempo de resposta (min)],"&lt;&gt;"),"")</f>
        <v/>
      </c>
      <c r="G141" s="12">
        <f>COUNTIFS(Leads[CPF],"&lt;&gt;",Leads[Data de entrada],"&gt;="&amp;A141,Leads[Data de entrada],"&lt;"&amp;(B141+1),Leads[Tempo de resposta (min)],"&gt;=0",Leads[Tempo de resposta (min)],"&lt;&gt;")</f>
        <v>0</v>
      </c>
      <c r="H141" s="14">
        <f>IFERROR(D141/C141,"")</f>
        <v/>
      </c>
      <c r="I141" s="14">
        <f>IFERROR(E141/D141,"")</f>
        <v/>
      </c>
      <c r="J141" s="14">
        <f>IFERROR(E141/C141,"")</f>
        <v/>
      </c>
    </row>
    <row r="142" spans="1:10">
      <c r="A142" s="5">
        <f>A141+7</f>
        <v>0</v>
      </c>
      <c r="B142" s="5">
        <f>A142+6</f>
        <v>0</v>
      </c>
      <c r="C142" s="12">
        <f>COUNTIFS(Leads[CPF],"&lt;&gt;",Leads[Data de entrada],"&gt;="&amp;A142,Leads[Data de entrada],"&lt;"&amp;(B142+1))</f>
        <v>0</v>
      </c>
      <c r="D142" s="12">
        <f>COUNTIFS(Leads[CPF],"&lt;&gt;",Leads[Data de entrada],"&gt;="&amp;A142,Leads[Data de entrada],"&lt;"&amp;(B142+1),Leads[Data do agendamento],"&gt;0")</f>
        <v>0</v>
      </c>
      <c r="E142" s="12">
        <f>COUNTIFS(Leads[CPF],"&lt;&gt;",Leads[Data de entrada],"&gt;="&amp;A142,Leads[Data de entrada],"&lt;"&amp;(B142+1),Leads[Data da conversa presencial executada],"&gt;0")</f>
        <v>0</v>
      </c>
      <c r="F142" s="13">
        <f>IFERROR(AVERAGEIFS(Leads[Tempo de resposta (min)],Leads[CPF],"&lt;&gt;",Leads[Data de entrada],"&gt;="&amp;A142,Leads[Data de entrada],"&lt;"&amp;(B142+1),Leads[Tempo de resposta (min)],"&gt;=0",Leads[Tempo de resposta (min)],"&lt;&gt;"),"")</f>
        <v/>
      </c>
      <c r="G142" s="12">
        <f>COUNTIFS(Leads[CPF],"&lt;&gt;",Leads[Data de entrada],"&gt;="&amp;A142,Leads[Data de entrada],"&lt;"&amp;(B142+1),Leads[Tempo de resposta (min)],"&gt;=0",Leads[Tempo de resposta (min)],"&lt;&gt;")</f>
        <v>0</v>
      </c>
      <c r="H142" s="14">
        <f>IFERROR(D142/C142,"")</f>
        <v/>
      </c>
      <c r="I142" s="14">
        <f>IFERROR(E142/D142,"")</f>
        <v/>
      </c>
      <c r="J142" s="14">
        <f>IFERROR(E142/C142,"")</f>
        <v/>
      </c>
    </row>
    <row r="143" spans="1:10">
      <c r="A143" s="5">
        <f>A142+7</f>
        <v>0</v>
      </c>
      <c r="B143" s="5">
        <f>A143+6</f>
        <v>0</v>
      </c>
      <c r="C143" s="12">
        <f>COUNTIFS(Leads[CPF],"&lt;&gt;",Leads[Data de entrada],"&gt;="&amp;A143,Leads[Data de entrada],"&lt;"&amp;(B143+1))</f>
        <v>0</v>
      </c>
      <c r="D143" s="12">
        <f>COUNTIFS(Leads[CPF],"&lt;&gt;",Leads[Data de entrada],"&gt;="&amp;A143,Leads[Data de entrada],"&lt;"&amp;(B143+1),Leads[Data do agendamento],"&gt;0")</f>
        <v>0</v>
      </c>
      <c r="E143" s="12">
        <f>COUNTIFS(Leads[CPF],"&lt;&gt;",Leads[Data de entrada],"&gt;="&amp;A143,Leads[Data de entrada],"&lt;"&amp;(B143+1),Leads[Data da conversa presencial executada],"&gt;0")</f>
        <v>0</v>
      </c>
      <c r="F143" s="13">
        <f>IFERROR(AVERAGEIFS(Leads[Tempo de resposta (min)],Leads[CPF],"&lt;&gt;",Leads[Data de entrada],"&gt;="&amp;A143,Leads[Data de entrada],"&lt;"&amp;(B143+1),Leads[Tempo de resposta (min)],"&gt;=0",Leads[Tempo de resposta (min)],"&lt;&gt;"),"")</f>
        <v/>
      </c>
      <c r="G143" s="12">
        <f>COUNTIFS(Leads[CPF],"&lt;&gt;",Leads[Data de entrada],"&gt;="&amp;A143,Leads[Data de entrada],"&lt;"&amp;(B143+1),Leads[Tempo de resposta (min)],"&gt;=0",Leads[Tempo de resposta (min)],"&lt;&gt;")</f>
        <v>0</v>
      </c>
      <c r="H143" s="14">
        <f>IFERROR(D143/C143,"")</f>
        <v/>
      </c>
      <c r="I143" s="14">
        <f>IFERROR(E143/D143,"")</f>
        <v/>
      </c>
      <c r="J143" s="14">
        <f>IFERROR(E143/C143,"")</f>
        <v/>
      </c>
    </row>
    <row r="144" spans="1:10">
      <c r="A144" s="5">
        <f>A143+7</f>
        <v>0</v>
      </c>
      <c r="B144" s="5">
        <f>A144+6</f>
        <v>0</v>
      </c>
      <c r="C144" s="12">
        <f>COUNTIFS(Leads[CPF],"&lt;&gt;",Leads[Data de entrada],"&gt;="&amp;A144,Leads[Data de entrada],"&lt;"&amp;(B144+1))</f>
        <v>0</v>
      </c>
      <c r="D144" s="12">
        <f>COUNTIFS(Leads[CPF],"&lt;&gt;",Leads[Data de entrada],"&gt;="&amp;A144,Leads[Data de entrada],"&lt;"&amp;(B144+1),Leads[Data do agendamento],"&gt;0")</f>
        <v>0</v>
      </c>
      <c r="E144" s="12">
        <f>COUNTIFS(Leads[CPF],"&lt;&gt;",Leads[Data de entrada],"&gt;="&amp;A144,Leads[Data de entrada],"&lt;"&amp;(B144+1),Leads[Data da conversa presencial executada],"&gt;0")</f>
        <v>0</v>
      </c>
      <c r="F144" s="13">
        <f>IFERROR(AVERAGEIFS(Leads[Tempo de resposta (min)],Leads[CPF],"&lt;&gt;",Leads[Data de entrada],"&gt;="&amp;A144,Leads[Data de entrada],"&lt;"&amp;(B144+1),Leads[Tempo de resposta (min)],"&gt;=0",Leads[Tempo de resposta (min)],"&lt;&gt;"),"")</f>
        <v/>
      </c>
      <c r="G144" s="12">
        <f>COUNTIFS(Leads[CPF],"&lt;&gt;",Leads[Data de entrada],"&gt;="&amp;A144,Leads[Data de entrada],"&lt;"&amp;(B144+1),Leads[Tempo de resposta (min)],"&gt;=0",Leads[Tempo de resposta (min)],"&lt;&gt;")</f>
        <v>0</v>
      </c>
      <c r="H144" s="14">
        <f>IFERROR(D144/C144,"")</f>
        <v/>
      </c>
      <c r="I144" s="14">
        <f>IFERROR(E144/D144,"")</f>
        <v/>
      </c>
      <c r="J144" s="14">
        <f>IFERROR(E144/C144,"")</f>
        <v/>
      </c>
    </row>
    <row r="145" spans="1:10">
      <c r="A145" s="5">
        <f>A144+7</f>
        <v>0</v>
      </c>
      <c r="B145" s="5">
        <f>A145+6</f>
        <v>0</v>
      </c>
      <c r="C145" s="12">
        <f>COUNTIFS(Leads[CPF],"&lt;&gt;",Leads[Data de entrada],"&gt;="&amp;A145,Leads[Data de entrada],"&lt;"&amp;(B145+1))</f>
        <v>0</v>
      </c>
      <c r="D145" s="12">
        <f>COUNTIFS(Leads[CPF],"&lt;&gt;",Leads[Data de entrada],"&gt;="&amp;A145,Leads[Data de entrada],"&lt;"&amp;(B145+1),Leads[Data do agendamento],"&gt;0")</f>
        <v>0</v>
      </c>
      <c r="E145" s="12">
        <f>COUNTIFS(Leads[CPF],"&lt;&gt;",Leads[Data de entrada],"&gt;="&amp;A145,Leads[Data de entrada],"&lt;"&amp;(B145+1),Leads[Data da conversa presencial executada],"&gt;0")</f>
        <v>0</v>
      </c>
      <c r="F145" s="13">
        <f>IFERROR(AVERAGEIFS(Leads[Tempo de resposta (min)],Leads[CPF],"&lt;&gt;",Leads[Data de entrada],"&gt;="&amp;A145,Leads[Data de entrada],"&lt;"&amp;(B145+1),Leads[Tempo de resposta (min)],"&gt;=0",Leads[Tempo de resposta (min)],"&lt;&gt;"),"")</f>
        <v/>
      </c>
      <c r="G145" s="12">
        <f>COUNTIFS(Leads[CPF],"&lt;&gt;",Leads[Data de entrada],"&gt;="&amp;A145,Leads[Data de entrada],"&lt;"&amp;(B145+1),Leads[Tempo de resposta (min)],"&gt;=0",Leads[Tempo de resposta (min)],"&lt;&gt;")</f>
        <v>0</v>
      </c>
      <c r="H145" s="14">
        <f>IFERROR(D145/C145,"")</f>
        <v/>
      </c>
      <c r="I145" s="14">
        <f>IFERROR(E145/D145,"")</f>
        <v/>
      </c>
      <c r="J145" s="14">
        <f>IFERROR(E145/C145,"")</f>
        <v/>
      </c>
    </row>
    <row r="146" spans="1:10">
      <c r="A146" s="5">
        <f>A145+7</f>
        <v>0</v>
      </c>
      <c r="B146" s="5">
        <f>A146+6</f>
        <v>0</v>
      </c>
      <c r="C146" s="12">
        <f>COUNTIFS(Leads[CPF],"&lt;&gt;",Leads[Data de entrada],"&gt;="&amp;A146,Leads[Data de entrada],"&lt;"&amp;(B146+1))</f>
        <v>0</v>
      </c>
      <c r="D146" s="12">
        <f>COUNTIFS(Leads[CPF],"&lt;&gt;",Leads[Data de entrada],"&gt;="&amp;A146,Leads[Data de entrada],"&lt;"&amp;(B146+1),Leads[Data do agendamento],"&gt;0")</f>
        <v>0</v>
      </c>
      <c r="E146" s="12">
        <f>COUNTIFS(Leads[CPF],"&lt;&gt;",Leads[Data de entrada],"&gt;="&amp;A146,Leads[Data de entrada],"&lt;"&amp;(B146+1),Leads[Data da conversa presencial executada],"&gt;0")</f>
        <v>0</v>
      </c>
      <c r="F146" s="13">
        <f>IFERROR(AVERAGEIFS(Leads[Tempo de resposta (min)],Leads[CPF],"&lt;&gt;",Leads[Data de entrada],"&gt;="&amp;A146,Leads[Data de entrada],"&lt;"&amp;(B146+1),Leads[Tempo de resposta (min)],"&gt;=0",Leads[Tempo de resposta (min)],"&lt;&gt;"),"")</f>
        <v/>
      </c>
      <c r="G146" s="12">
        <f>COUNTIFS(Leads[CPF],"&lt;&gt;",Leads[Data de entrada],"&gt;="&amp;A146,Leads[Data de entrada],"&lt;"&amp;(B146+1),Leads[Tempo de resposta (min)],"&gt;=0",Leads[Tempo de resposta (min)],"&lt;&gt;")</f>
        <v>0</v>
      </c>
      <c r="H146" s="14">
        <f>IFERROR(D146/C146,"")</f>
        <v/>
      </c>
      <c r="I146" s="14">
        <f>IFERROR(E146/D146,"")</f>
        <v/>
      </c>
      <c r="J146" s="14">
        <f>IFERROR(E146/C146,"")</f>
        <v/>
      </c>
    </row>
    <row r="147" spans="1:10">
      <c r="A147" s="5">
        <f>A146+7</f>
        <v>0</v>
      </c>
      <c r="B147" s="5">
        <f>A147+6</f>
        <v>0</v>
      </c>
      <c r="C147" s="12">
        <f>COUNTIFS(Leads[CPF],"&lt;&gt;",Leads[Data de entrada],"&gt;="&amp;A147,Leads[Data de entrada],"&lt;"&amp;(B147+1))</f>
        <v>0</v>
      </c>
      <c r="D147" s="12">
        <f>COUNTIFS(Leads[CPF],"&lt;&gt;",Leads[Data de entrada],"&gt;="&amp;A147,Leads[Data de entrada],"&lt;"&amp;(B147+1),Leads[Data do agendamento],"&gt;0")</f>
        <v>0</v>
      </c>
      <c r="E147" s="12">
        <f>COUNTIFS(Leads[CPF],"&lt;&gt;",Leads[Data de entrada],"&gt;="&amp;A147,Leads[Data de entrada],"&lt;"&amp;(B147+1),Leads[Data da conversa presencial executada],"&gt;0")</f>
        <v>0</v>
      </c>
      <c r="F147" s="13">
        <f>IFERROR(AVERAGEIFS(Leads[Tempo de resposta (min)],Leads[CPF],"&lt;&gt;",Leads[Data de entrada],"&gt;="&amp;A147,Leads[Data de entrada],"&lt;"&amp;(B147+1),Leads[Tempo de resposta (min)],"&gt;=0",Leads[Tempo de resposta (min)],"&lt;&gt;"),"")</f>
        <v/>
      </c>
      <c r="G147" s="12">
        <f>COUNTIFS(Leads[CPF],"&lt;&gt;",Leads[Data de entrada],"&gt;="&amp;A147,Leads[Data de entrada],"&lt;"&amp;(B147+1),Leads[Tempo de resposta (min)],"&gt;=0",Leads[Tempo de resposta (min)],"&lt;&gt;")</f>
        <v>0</v>
      </c>
      <c r="H147" s="14">
        <f>IFERROR(D147/C147,"")</f>
        <v/>
      </c>
      <c r="I147" s="14">
        <f>IFERROR(E147/D147,"")</f>
        <v/>
      </c>
      <c r="J147" s="14">
        <f>IFERROR(E147/C147,"")</f>
        <v/>
      </c>
    </row>
    <row r="148" spans="1:10">
      <c r="A148" s="5">
        <f>A147+7</f>
        <v>0</v>
      </c>
      <c r="B148" s="5">
        <f>A148+6</f>
        <v>0</v>
      </c>
      <c r="C148" s="12">
        <f>COUNTIFS(Leads[CPF],"&lt;&gt;",Leads[Data de entrada],"&gt;="&amp;A148,Leads[Data de entrada],"&lt;"&amp;(B148+1))</f>
        <v>0</v>
      </c>
      <c r="D148" s="12">
        <f>COUNTIFS(Leads[CPF],"&lt;&gt;",Leads[Data de entrada],"&gt;="&amp;A148,Leads[Data de entrada],"&lt;"&amp;(B148+1),Leads[Data do agendamento],"&gt;0")</f>
        <v>0</v>
      </c>
      <c r="E148" s="12">
        <f>COUNTIFS(Leads[CPF],"&lt;&gt;",Leads[Data de entrada],"&gt;="&amp;A148,Leads[Data de entrada],"&lt;"&amp;(B148+1),Leads[Data da conversa presencial executada],"&gt;0")</f>
        <v>0</v>
      </c>
      <c r="F148" s="13">
        <f>IFERROR(AVERAGEIFS(Leads[Tempo de resposta (min)],Leads[CPF],"&lt;&gt;",Leads[Data de entrada],"&gt;="&amp;A148,Leads[Data de entrada],"&lt;"&amp;(B148+1),Leads[Tempo de resposta (min)],"&gt;=0",Leads[Tempo de resposta (min)],"&lt;&gt;"),"")</f>
        <v/>
      </c>
      <c r="G148" s="12">
        <f>COUNTIFS(Leads[CPF],"&lt;&gt;",Leads[Data de entrada],"&gt;="&amp;A148,Leads[Data de entrada],"&lt;"&amp;(B148+1),Leads[Tempo de resposta (min)],"&gt;=0",Leads[Tempo de resposta (min)],"&lt;&gt;")</f>
        <v>0</v>
      </c>
      <c r="H148" s="14">
        <f>IFERROR(D148/C148,"")</f>
        <v/>
      </c>
      <c r="I148" s="14">
        <f>IFERROR(E148/D148,"")</f>
        <v/>
      </c>
      <c r="J148" s="14">
        <f>IFERROR(E148/C148,"")</f>
        <v/>
      </c>
    </row>
    <row r="149" spans="1:10">
      <c r="A149" s="5">
        <f>A148+7</f>
        <v>0</v>
      </c>
      <c r="B149" s="5">
        <f>A149+6</f>
        <v>0</v>
      </c>
      <c r="C149" s="12">
        <f>COUNTIFS(Leads[CPF],"&lt;&gt;",Leads[Data de entrada],"&gt;="&amp;A149,Leads[Data de entrada],"&lt;"&amp;(B149+1))</f>
        <v>0</v>
      </c>
      <c r="D149" s="12">
        <f>COUNTIFS(Leads[CPF],"&lt;&gt;",Leads[Data de entrada],"&gt;="&amp;A149,Leads[Data de entrada],"&lt;"&amp;(B149+1),Leads[Data do agendamento],"&gt;0")</f>
        <v>0</v>
      </c>
      <c r="E149" s="12">
        <f>COUNTIFS(Leads[CPF],"&lt;&gt;",Leads[Data de entrada],"&gt;="&amp;A149,Leads[Data de entrada],"&lt;"&amp;(B149+1),Leads[Data da conversa presencial executada],"&gt;0")</f>
        <v>0</v>
      </c>
      <c r="F149" s="13">
        <f>IFERROR(AVERAGEIFS(Leads[Tempo de resposta (min)],Leads[CPF],"&lt;&gt;",Leads[Data de entrada],"&gt;="&amp;A149,Leads[Data de entrada],"&lt;"&amp;(B149+1),Leads[Tempo de resposta (min)],"&gt;=0",Leads[Tempo de resposta (min)],"&lt;&gt;"),"")</f>
        <v/>
      </c>
      <c r="G149" s="12">
        <f>COUNTIFS(Leads[CPF],"&lt;&gt;",Leads[Data de entrada],"&gt;="&amp;A149,Leads[Data de entrada],"&lt;"&amp;(B149+1),Leads[Tempo de resposta (min)],"&gt;=0",Leads[Tempo de resposta (min)],"&lt;&gt;")</f>
        <v>0</v>
      </c>
      <c r="H149" s="14">
        <f>IFERROR(D149/C149,"")</f>
        <v/>
      </c>
      <c r="I149" s="14">
        <f>IFERROR(E149/D149,"")</f>
        <v/>
      </c>
      <c r="J149" s="14">
        <f>IFERROR(E149/C149,"")</f>
        <v/>
      </c>
    </row>
    <row r="150" spans="1:10">
      <c r="A150" s="5">
        <f>A149+7</f>
        <v>0</v>
      </c>
      <c r="B150" s="5">
        <f>A150+6</f>
        <v>0</v>
      </c>
      <c r="C150" s="12">
        <f>COUNTIFS(Leads[CPF],"&lt;&gt;",Leads[Data de entrada],"&gt;="&amp;A150,Leads[Data de entrada],"&lt;"&amp;(B150+1))</f>
        <v>0</v>
      </c>
      <c r="D150" s="12">
        <f>COUNTIFS(Leads[CPF],"&lt;&gt;",Leads[Data de entrada],"&gt;="&amp;A150,Leads[Data de entrada],"&lt;"&amp;(B150+1),Leads[Data do agendamento],"&gt;0")</f>
        <v>0</v>
      </c>
      <c r="E150" s="12">
        <f>COUNTIFS(Leads[CPF],"&lt;&gt;",Leads[Data de entrada],"&gt;="&amp;A150,Leads[Data de entrada],"&lt;"&amp;(B150+1),Leads[Data da conversa presencial executada],"&gt;0")</f>
        <v>0</v>
      </c>
      <c r="F150" s="13">
        <f>IFERROR(AVERAGEIFS(Leads[Tempo de resposta (min)],Leads[CPF],"&lt;&gt;",Leads[Data de entrada],"&gt;="&amp;A150,Leads[Data de entrada],"&lt;"&amp;(B150+1),Leads[Tempo de resposta (min)],"&gt;=0",Leads[Tempo de resposta (min)],"&lt;&gt;"),"")</f>
        <v/>
      </c>
      <c r="G150" s="12">
        <f>COUNTIFS(Leads[CPF],"&lt;&gt;",Leads[Data de entrada],"&gt;="&amp;A150,Leads[Data de entrada],"&lt;"&amp;(B150+1),Leads[Tempo de resposta (min)],"&gt;=0",Leads[Tempo de resposta (min)],"&lt;&gt;")</f>
        <v>0</v>
      </c>
      <c r="H150" s="14">
        <f>IFERROR(D150/C150,"")</f>
        <v/>
      </c>
      <c r="I150" s="14">
        <f>IFERROR(E150/D150,"")</f>
        <v/>
      </c>
      <c r="J150" s="14">
        <f>IFERROR(E150/C150,"")</f>
        <v/>
      </c>
    </row>
    <row r="151" spans="1:10">
      <c r="A151" s="5">
        <f>A150+7</f>
        <v>0</v>
      </c>
      <c r="B151" s="5">
        <f>A151+6</f>
        <v>0</v>
      </c>
      <c r="C151" s="12">
        <f>COUNTIFS(Leads[CPF],"&lt;&gt;",Leads[Data de entrada],"&gt;="&amp;A151,Leads[Data de entrada],"&lt;"&amp;(B151+1))</f>
        <v>0</v>
      </c>
      <c r="D151" s="12">
        <f>COUNTIFS(Leads[CPF],"&lt;&gt;",Leads[Data de entrada],"&gt;="&amp;A151,Leads[Data de entrada],"&lt;"&amp;(B151+1),Leads[Data do agendamento],"&gt;0")</f>
        <v>0</v>
      </c>
      <c r="E151" s="12">
        <f>COUNTIFS(Leads[CPF],"&lt;&gt;",Leads[Data de entrada],"&gt;="&amp;A151,Leads[Data de entrada],"&lt;"&amp;(B151+1),Leads[Data da conversa presencial executada],"&gt;0")</f>
        <v>0</v>
      </c>
      <c r="F151" s="13">
        <f>IFERROR(AVERAGEIFS(Leads[Tempo de resposta (min)],Leads[CPF],"&lt;&gt;",Leads[Data de entrada],"&gt;="&amp;A151,Leads[Data de entrada],"&lt;"&amp;(B151+1),Leads[Tempo de resposta (min)],"&gt;=0",Leads[Tempo de resposta (min)],"&lt;&gt;"),"")</f>
        <v/>
      </c>
      <c r="G151" s="12">
        <f>COUNTIFS(Leads[CPF],"&lt;&gt;",Leads[Data de entrada],"&gt;="&amp;A151,Leads[Data de entrada],"&lt;"&amp;(B151+1),Leads[Tempo de resposta (min)],"&gt;=0",Leads[Tempo de resposta (min)],"&lt;&gt;")</f>
        <v>0</v>
      </c>
      <c r="H151" s="14">
        <f>IFERROR(D151/C151,"")</f>
        <v/>
      </c>
      <c r="I151" s="14">
        <f>IFERROR(E151/D151,"")</f>
        <v/>
      </c>
      <c r="J151" s="14">
        <f>IFERROR(E151/C151,"")</f>
        <v/>
      </c>
    </row>
    <row r="152" spans="1:10">
      <c r="A152" s="5">
        <f>A151+7</f>
        <v>0</v>
      </c>
      <c r="B152" s="5">
        <f>A152+6</f>
        <v>0</v>
      </c>
      <c r="C152" s="12">
        <f>COUNTIFS(Leads[CPF],"&lt;&gt;",Leads[Data de entrada],"&gt;="&amp;A152,Leads[Data de entrada],"&lt;"&amp;(B152+1))</f>
        <v>0</v>
      </c>
      <c r="D152" s="12">
        <f>COUNTIFS(Leads[CPF],"&lt;&gt;",Leads[Data de entrada],"&gt;="&amp;A152,Leads[Data de entrada],"&lt;"&amp;(B152+1),Leads[Data do agendamento],"&gt;0")</f>
        <v>0</v>
      </c>
      <c r="E152" s="12">
        <f>COUNTIFS(Leads[CPF],"&lt;&gt;",Leads[Data de entrada],"&gt;="&amp;A152,Leads[Data de entrada],"&lt;"&amp;(B152+1),Leads[Data da conversa presencial executada],"&gt;0")</f>
        <v>0</v>
      </c>
      <c r="F152" s="13">
        <f>IFERROR(AVERAGEIFS(Leads[Tempo de resposta (min)],Leads[CPF],"&lt;&gt;",Leads[Data de entrada],"&gt;="&amp;A152,Leads[Data de entrada],"&lt;"&amp;(B152+1),Leads[Tempo de resposta (min)],"&gt;=0",Leads[Tempo de resposta (min)],"&lt;&gt;"),"")</f>
        <v/>
      </c>
      <c r="G152" s="12">
        <f>COUNTIFS(Leads[CPF],"&lt;&gt;",Leads[Data de entrada],"&gt;="&amp;A152,Leads[Data de entrada],"&lt;"&amp;(B152+1),Leads[Tempo de resposta (min)],"&gt;=0",Leads[Tempo de resposta (min)],"&lt;&gt;")</f>
        <v>0</v>
      </c>
      <c r="H152" s="14">
        <f>IFERROR(D152/C152,"")</f>
        <v/>
      </c>
      <c r="I152" s="14">
        <f>IFERROR(E152/D152,"")</f>
        <v/>
      </c>
      <c r="J152" s="14">
        <f>IFERROR(E152/C152,"")</f>
        <v/>
      </c>
    </row>
    <row r="153" spans="1:10">
      <c r="A153" s="5">
        <f>A152+7</f>
        <v>0</v>
      </c>
      <c r="B153" s="5">
        <f>A153+6</f>
        <v>0</v>
      </c>
      <c r="C153" s="12">
        <f>COUNTIFS(Leads[CPF],"&lt;&gt;",Leads[Data de entrada],"&gt;="&amp;A153,Leads[Data de entrada],"&lt;"&amp;(B153+1))</f>
        <v>0</v>
      </c>
      <c r="D153" s="12">
        <f>COUNTIFS(Leads[CPF],"&lt;&gt;",Leads[Data de entrada],"&gt;="&amp;A153,Leads[Data de entrada],"&lt;"&amp;(B153+1),Leads[Data do agendamento],"&gt;0")</f>
        <v>0</v>
      </c>
      <c r="E153" s="12">
        <f>COUNTIFS(Leads[CPF],"&lt;&gt;",Leads[Data de entrada],"&gt;="&amp;A153,Leads[Data de entrada],"&lt;"&amp;(B153+1),Leads[Data da conversa presencial executada],"&gt;0")</f>
        <v>0</v>
      </c>
      <c r="F153" s="13">
        <f>IFERROR(AVERAGEIFS(Leads[Tempo de resposta (min)],Leads[CPF],"&lt;&gt;",Leads[Data de entrada],"&gt;="&amp;A153,Leads[Data de entrada],"&lt;"&amp;(B153+1),Leads[Tempo de resposta (min)],"&gt;=0",Leads[Tempo de resposta (min)],"&lt;&gt;"),"")</f>
        <v/>
      </c>
      <c r="G153" s="12">
        <f>COUNTIFS(Leads[CPF],"&lt;&gt;",Leads[Data de entrada],"&gt;="&amp;A153,Leads[Data de entrada],"&lt;"&amp;(B153+1),Leads[Tempo de resposta (min)],"&gt;=0",Leads[Tempo de resposta (min)],"&lt;&gt;")</f>
        <v>0</v>
      </c>
      <c r="H153" s="14">
        <f>IFERROR(D153/C153,"")</f>
        <v/>
      </c>
      <c r="I153" s="14">
        <f>IFERROR(E153/D153,"")</f>
        <v/>
      </c>
      <c r="J153" s="14">
        <f>IFERROR(E153/C153,"")</f>
        <v/>
      </c>
    </row>
    <row r="154" spans="1:10">
      <c r="A154" s="5">
        <f>A153+7</f>
        <v>0</v>
      </c>
      <c r="B154" s="5">
        <f>A154+6</f>
        <v>0</v>
      </c>
      <c r="C154" s="12">
        <f>COUNTIFS(Leads[CPF],"&lt;&gt;",Leads[Data de entrada],"&gt;="&amp;A154,Leads[Data de entrada],"&lt;"&amp;(B154+1))</f>
        <v>0</v>
      </c>
      <c r="D154" s="12">
        <f>COUNTIFS(Leads[CPF],"&lt;&gt;",Leads[Data de entrada],"&gt;="&amp;A154,Leads[Data de entrada],"&lt;"&amp;(B154+1),Leads[Data do agendamento],"&gt;0")</f>
        <v>0</v>
      </c>
      <c r="E154" s="12">
        <f>COUNTIFS(Leads[CPF],"&lt;&gt;",Leads[Data de entrada],"&gt;="&amp;A154,Leads[Data de entrada],"&lt;"&amp;(B154+1),Leads[Data da conversa presencial executada],"&gt;0")</f>
        <v>0</v>
      </c>
      <c r="F154" s="13">
        <f>IFERROR(AVERAGEIFS(Leads[Tempo de resposta (min)],Leads[CPF],"&lt;&gt;",Leads[Data de entrada],"&gt;="&amp;A154,Leads[Data de entrada],"&lt;"&amp;(B154+1),Leads[Tempo de resposta (min)],"&gt;=0",Leads[Tempo de resposta (min)],"&lt;&gt;"),"")</f>
        <v/>
      </c>
      <c r="G154" s="12">
        <f>COUNTIFS(Leads[CPF],"&lt;&gt;",Leads[Data de entrada],"&gt;="&amp;A154,Leads[Data de entrada],"&lt;"&amp;(B154+1),Leads[Tempo de resposta (min)],"&gt;=0",Leads[Tempo de resposta (min)],"&lt;&gt;")</f>
        <v>0</v>
      </c>
      <c r="H154" s="14">
        <f>IFERROR(D154/C154,"")</f>
        <v/>
      </c>
      <c r="I154" s="14">
        <f>IFERROR(E154/D154,"")</f>
        <v/>
      </c>
      <c r="J154" s="14">
        <f>IFERROR(E154/C154,"")</f>
        <v/>
      </c>
    </row>
    <row r="155" spans="1:10">
      <c r="A155" s="5">
        <f>A154+7</f>
        <v>0</v>
      </c>
      <c r="B155" s="5">
        <f>A155+6</f>
        <v>0</v>
      </c>
      <c r="C155" s="12">
        <f>COUNTIFS(Leads[CPF],"&lt;&gt;",Leads[Data de entrada],"&gt;="&amp;A155,Leads[Data de entrada],"&lt;"&amp;(B155+1))</f>
        <v>0</v>
      </c>
      <c r="D155" s="12">
        <f>COUNTIFS(Leads[CPF],"&lt;&gt;",Leads[Data de entrada],"&gt;="&amp;A155,Leads[Data de entrada],"&lt;"&amp;(B155+1),Leads[Data do agendamento],"&gt;0")</f>
        <v>0</v>
      </c>
      <c r="E155" s="12">
        <f>COUNTIFS(Leads[CPF],"&lt;&gt;",Leads[Data de entrada],"&gt;="&amp;A155,Leads[Data de entrada],"&lt;"&amp;(B155+1),Leads[Data da conversa presencial executada],"&gt;0")</f>
        <v>0</v>
      </c>
      <c r="F155" s="13">
        <f>IFERROR(AVERAGEIFS(Leads[Tempo de resposta (min)],Leads[CPF],"&lt;&gt;",Leads[Data de entrada],"&gt;="&amp;A155,Leads[Data de entrada],"&lt;"&amp;(B155+1),Leads[Tempo de resposta (min)],"&gt;=0",Leads[Tempo de resposta (min)],"&lt;&gt;"),"")</f>
        <v/>
      </c>
      <c r="G155" s="12">
        <f>COUNTIFS(Leads[CPF],"&lt;&gt;",Leads[Data de entrada],"&gt;="&amp;A155,Leads[Data de entrada],"&lt;"&amp;(B155+1),Leads[Tempo de resposta (min)],"&gt;=0",Leads[Tempo de resposta (min)],"&lt;&gt;")</f>
        <v>0</v>
      </c>
      <c r="H155" s="14">
        <f>IFERROR(D155/C155,"")</f>
        <v/>
      </c>
      <c r="I155" s="14">
        <f>IFERROR(E155/D155,"")</f>
        <v/>
      </c>
      <c r="J155" s="14">
        <f>IFERROR(E155/C155,"")</f>
        <v/>
      </c>
    </row>
    <row r="156" spans="1:10">
      <c r="A156" s="5">
        <f>A155+7</f>
        <v>0</v>
      </c>
      <c r="B156" s="5">
        <f>A156+6</f>
        <v>0</v>
      </c>
      <c r="C156" s="12">
        <f>COUNTIFS(Leads[CPF],"&lt;&gt;",Leads[Data de entrada],"&gt;="&amp;A156,Leads[Data de entrada],"&lt;"&amp;(B156+1))</f>
        <v>0</v>
      </c>
      <c r="D156" s="12">
        <f>COUNTIFS(Leads[CPF],"&lt;&gt;",Leads[Data de entrada],"&gt;="&amp;A156,Leads[Data de entrada],"&lt;"&amp;(B156+1),Leads[Data do agendamento],"&gt;0")</f>
        <v>0</v>
      </c>
      <c r="E156" s="12">
        <f>COUNTIFS(Leads[CPF],"&lt;&gt;",Leads[Data de entrada],"&gt;="&amp;A156,Leads[Data de entrada],"&lt;"&amp;(B156+1),Leads[Data da conversa presencial executada],"&gt;0")</f>
        <v>0</v>
      </c>
      <c r="F156" s="13">
        <f>IFERROR(AVERAGEIFS(Leads[Tempo de resposta (min)],Leads[CPF],"&lt;&gt;",Leads[Data de entrada],"&gt;="&amp;A156,Leads[Data de entrada],"&lt;"&amp;(B156+1),Leads[Tempo de resposta (min)],"&gt;=0",Leads[Tempo de resposta (min)],"&lt;&gt;"),"")</f>
        <v/>
      </c>
      <c r="G156" s="12">
        <f>COUNTIFS(Leads[CPF],"&lt;&gt;",Leads[Data de entrada],"&gt;="&amp;A156,Leads[Data de entrada],"&lt;"&amp;(B156+1),Leads[Tempo de resposta (min)],"&gt;=0",Leads[Tempo de resposta (min)],"&lt;&gt;")</f>
        <v>0</v>
      </c>
      <c r="H156" s="14">
        <f>IFERROR(D156/C156,"")</f>
        <v/>
      </c>
      <c r="I156" s="14">
        <f>IFERROR(E156/D156,"")</f>
        <v/>
      </c>
      <c r="J156" s="14">
        <f>IFERROR(E156/C156,"")</f>
        <v/>
      </c>
    </row>
    <row r="157" spans="1:10">
      <c r="A157" s="5">
        <f>A156+7</f>
        <v>0</v>
      </c>
      <c r="B157" s="5">
        <f>A157+6</f>
        <v>0</v>
      </c>
      <c r="C157" s="12">
        <f>COUNTIFS(Leads[CPF],"&lt;&gt;",Leads[Data de entrada],"&gt;="&amp;A157,Leads[Data de entrada],"&lt;"&amp;(B157+1))</f>
        <v>0</v>
      </c>
      <c r="D157" s="12">
        <f>COUNTIFS(Leads[CPF],"&lt;&gt;",Leads[Data de entrada],"&gt;="&amp;A157,Leads[Data de entrada],"&lt;"&amp;(B157+1),Leads[Data do agendamento],"&gt;0")</f>
        <v>0</v>
      </c>
      <c r="E157" s="12">
        <f>COUNTIFS(Leads[CPF],"&lt;&gt;",Leads[Data de entrada],"&gt;="&amp;A157,Leads[Data de entrada],"&lt;"&amp;(B157+1),Leads[Data da conversa presencial executada],"&gt;0")</f>
        <v>0</v>
      </c>
      <c r="F157" s="13">
        <f>IFERROR(AVERAGEIFS(Leads[Tempo de resposta (min)],Leads[CPF],"&lt;&gt;",Leads[Data de entrada],"&gt;="&amp;A157,Leads[Data de entrada],"&lt;"&amp;(B157+1),Leads[Tempo de resposta (min)],"&gt;=0",Leads[Tempo de resposta (min)],"&lt;&gt;"),"")</f>
        <v/>
      </c>
      <c r="G157" s="12">
        <f>COUNTIFS(Leads[CPF],"&lt;&gt;",Leads[Data de entrada],"&gt;="&amp;A157,Leads[Data de entrada],"&lt;"&amp;(B157+1),Leads[Tempo de resposta (min)],"&gt;=0",Leads[Tempo de resposta (min)],"&lt;&gt;")</f>
        <v>0</v>
      </c>
      <c r="H157" s="14">
        <f>IFERROR(D157/C157,"")</f>
        <v/>
      </c>
      <c r="I157" s="14">
        <f>IFERROR(E157/D157,"")</f>
        <v/>
      </c>
      <c r="J157" s="14">
        <f>IFERROR(E157/C157,"")</f>
        <v/>
      </c>
    </row>
    <row r="158" spans="1:10">
      <c r="A158" s="5">
        <f>A157+7</f>
        <v>0</v>
      </c>
      <c r="B158" s="5">
        <f>A158+6</f>
        <v>0</v>
      </c>
      <c r="C158" s="12">
        <f>COUNTIFS(Leads[CPF],"&lt;&gt;",Leads[Data de entrada],"&gt;="&amp;A158,Leads[Data de entrada],"&lt;"&amp;(B158+1))</f>
        <v>0</v>
      </c>
      <c r="D158" s="12">
        <f>COUNTIFS(Leads[CPF],"&lt;&gt;",Leads[Data de entrada],"&gt;="&amp;A158,Leads[Data de entrada],"&lt;"&amp;(B158+1),Leads[Data do agendamento],"&gt;0")</f>
        <v>0</v>
      </c>
      <c r="E158" s="12">
        <f>COUNTIFS(Leads[CPF],"&lt;&gt;",Leads[Data de entrada],"&gt;="&amp;A158,Leads[Data de entrada],"&lt;"&amp;(B158+1),Leads[Data da conversa presencial executada],"&gt;0")</f>
        <v>0</v>
      </c>
      <c r="F158" s="13">
        <f>IFERROR(AVERAGEIFS(Leads[Tempo de resposta (min)],Leads[CPF],"&lt;&gt;",Leads[Data de entrada],"&gt;="&amp;A158,Leads[Data de entrada],"&lt;"&amp;(B158+1),Leads[Tempo de resposta (min)],"&gt;=0",Leads[Tempo de resposta (min)],"&lt;&gt;"),"")</f>
        <v/>
      </c>
      <c r="G158" s="12">
        <f>COUNTIFS(Leads[CPF],"&lt;&gt;",Leads[Data de entrada],"&gt;="&amp;A158,Leads[Data de entrada],"&lt;"&amp;(B158+1),Leads[Tempo de resposta (min)],"&gt;=0",Leads[Tempo de resposta (min)],"&lt;&gt;")</f>
        <v>0</v>
      </c>
      <c r="H158" s="14">
        <f>IFERROR(D158/C158,"")</f>
        <v/>
      </c>
      <c r="I158" s="14">
        <f>IFERROR(E158/D158,"")</f>
        <v/>
      </c>
      <c r="J158" s="14">
        <f>IFERROR(E158/C158,"")</f>
        <v/>
      </c>
    </row>
    <row r="159" spans="1:10">
      <c r="A159" s="5">
        <f>A158+7</f>
        <v>0</v>
      </c>
      <c r="B159" s="5">
        <f>A159+6</f>
        <v>0</v>
      </c>
      <c r="C159" s="12">
        <f>COUNTIFS(Leads[CPF],"&lt;&gt;",Leads[Data de entrada],"&gt;="&amp;A159,Leads[Data de entrada],"&lt;"&amp;(B159+1))</f>
        <v>0</v>
      </c>
      <c r="D159" s="12">
        <f>COUNTIFS(Leads[CPF],"&lt;&gt;",Leads[Data de entrada],"&gt;="&amp;A159,Leads[Data de entrada],"&lt;"&amp;(B159+1),Leads[Data do agendamento],"&gt;0")</f>
        <v>0</v>
      </c>
      <c r="E159" s="12">
        <f>COUNTIFS(Leads[CPF],"&lt;&gt;",Leads[Data de entrada],"&gt;="&amp;A159,Leads[Data de entrada],"&lt;"&amp;(B159+1),Leads[Data da conversa presencial executada],"&gt;0")</f>
        <v>0</v>
      </c>
      <c r="F159" s="13">
        <f>IFERROR(AVERAGEIFS(Leads[Tempo de resposta (min)],Leads[CPF],"&lt;&gt;",Leads[Data de entrada],"&gt;="&amp;A159,Leads[Data de entrada],"&lt;"&amp;(B159+1),Leads[Tempo de resposta (min)],"&gt;=0",Leads[Tempo de resposta (min)],"&lt;&gt;"),"")</f>
        <v/>
      </c>
      <c r="G159" s="12">
        <f>COUNTIFS(Leads[CPF],"&lt;&gt;",Leads[Data de entrada],"&gt;="&amp;A159,Leads[Data de entrada],"&lt;"&amp;(B159+1),Leads[Tempo de resposta (min)],"&gt;=0",Leads[Tempo de resposta (min)],"&lt;&gt;")</f>
        <v>0</v>
      </c>
      <c r="H159" s="14">
        <f>IFERROR(D159/C159,"")</f>
        <v/>
      </c>
      <c r="I159" s="14">
        <f>IFERROR(E159/D159,"")</f>
        <v/>
      </c>
      <c r="J159" s="14">
        <f>IFERROR(E159/C159,"")</f>
        <v/>
      </c>
    </row>
    <row r="160" spans="1:10">
      <c r="A160" s="5">
        <f>A159+7</f>
        <v>0</v>
      </c>
      <c r="B160" s="5">
        <f>A160+6</f>
        <v>0</v>
      </c>
      <c r="C160" s="12">
        <f>COUNTIFS(Leads[CPF],"&lt;&gt;",Leads[Data de entrada],"&gt;="&amp;A160,Leads[Data de entrada],"&lt;"&amp;(B160+1))</f>
        <v>0</v>
      </c>
      <c r="D160" s="12">
        <f>COUNTIFS(Leads[CPF],"&lt;&gt;",Leads[Data de entrada],"&gt;="&amp;A160,Leads[Data de entrada],"&lt;"&amp;(B160+1),Leads[Data do agendamento],"&gt;0")</f>
        <v>0</v>
      </c>
      <c r="E160" s="12">
        <f>COUNTIFS(Leads[CPF],"&lt;&gt;",Leads[Data de entrada],"&gt;="&amp;A160,Leads[Data de entrada],"&lt;"&amp;(B160+1),Leads[Data da conversa presencial executada],"&gt;0")</f>
        <v>0</v>
      </c>
      <c r="F160" s="13">
        <f>IFERROR(AVERAGEIFS(Leads[Tempo de resposta (min)],Leads[CPF],"&lt;&gt;",Leads[Data de entrada],"&gt;="&amp;A160,Leads[Data de entrada],"&lt;"&amp;(B160+1),Leads[Tempo de resposta (min)],"&gt;=0",Leads[Tempo de resposta (min)],"&lt;&gt;"),"")</f>
        <v/>
      </c>
      <c r="G160" s="12">
        <f>COUNTIFS(Leads[CPF],"&lt;&gt;",Leads[Data de entrada],"&gt;="&amp;A160,Leads[Data de entrada],"&lt;"&amp;(B160+1),Leads[Tempo de resposta (min)],"&gt;=0",Leads[Tempo de resposta (min)],"&lt;&gt;")</f>
        <v>0</v>
      </c>
      <c r="H160" s="14">
        <f>IFERROR(D160/C160,"")</f>
        <v/>
      </c>
      <c r="I160" s="14">
        <f>IFERROR(E160/D160,"")</f>
        <v/>
      </c>
      <c r="J160" s="14">
        <f>IFERROR(E160/C160,"")</f>
        <v/>
      </c>
    </row>
    <row r="161" spans="1:10">
      <c r="A161" s="5">
        <f>A160+7</f>
        <v>0</v>
      </c>
      <c r="B161" s="5">
        <f>A161+6</f>
        <v>0</v>
      </c>
      <c r="C161" s="12">
        <f>COUNTIFS(Leads[CPF],"&lt;&gt;",Leads[Data de entrada],"&gt;="&amp;A161,Leads[Data de entrada],"&lt;"&amp;(B161+1))</f>
        <v>0</v>
      </c>
      <c r="D161" s="12">
        <f>COUNTIFS(Leads[CPF],"&lt;&gt;",Leads[Data de entrada],"&gt;="&amp;A161,Leads[Data de entrada],"&lt;"&amp;(B161+1),Leads[Data do agendamento],"&gt;0")</f>
        <v>0</v>
      </c>
      <c r="E161" s="12">
        <f>COUNTIFS(Leads[CPF],"&lt;&gt;",Leads[Data de entrada],"&gt;="&amp;A161,Leads[Data de entrada],"&lt;"&amp;(B161+1),Leads[Data da conversa presencial executada],"&gt;0")</f>
        <v>0</v>
      </c>
      <c r="F161" s="13">
        <f>IFERROR(AVERAGEIFS(Leads[Tempo de resposta (min)],Leads[CPF],"&lt;&gt;",Leads[Data de entrada],"&gt;="&amp;A161,Leads[Data de entrada],"&lt;"&amp;(B161+1),Leads[Tempo de resposta (min)],"&gt;=0",Leads[Tempo de resposta (min)],"&lt;&gt;"),"")</f>
        <v/>
      </c>
      <c r="G161" s="12">
        <f>COUNTIFS(Leads[CPF],"&lt;&gt;",Leads[Data de entrada],"&gt;="&amp;A161,Leads[Data de entrada],"&lt;"&amp;(B161+1),Leads[Tempo de resposta (min)],"&gt;=0",Leads[Tempo de resposta (min)],"&lt;&gt;")</f>
        <v>0</v>
      </c>
      <c r="H161" s="14">
        <f>IFERROR(D161/C161,"")</f>
        <v/>
      </c>
      <c r="I161" s="14">
        <f>IFERROR(E161/D161,"")</f>
        <v/>
      </c>
      <c r="J161" s="14">
        <f>IFERROR(E161/C161,"")</f>
        <v/>
      </c>
    </row>
    <row r="162" spans="1:10">
      <c r="A162" s="5">
        <f>A161+7</f>
        <v>0</v>
      </c>
      <c r="B162" s="5">
        <f>A162+6</f>
        <v>0</v>
      </c>
      <c r="C162" s="12">
        <f>COUNTIFS(Leads[CPF],"&lt;&gt;",Leads[Data de entrada],"&gt;="&amp;A162,Leads[Data de entrada],"&lt;"&amp;(B162+1))</f>
        <v>0</v>
      </c>
      <c r="D162" s="12">
        <f>COUNTIFS(Leads[CPF],"&lt;&gt;",Leads[Data de entrada],"&gt;="&amp;A162,Leads[Data de entrada],"&lt;"&amp;(B162+1),Leads[Data do agendamento],"&gt;0")</f>
        <v>0</v>
      </c>
      <c r="E162" s="12">
        <f>COUNTIFS(Leads[CPF],"&lt;&gt;",Leads[Data de entrada],"&gt;="&amp;A162,Leads[Data de entrada],"&lt;"&amp;(B162+1),Leads[Data da conversa presencial executada],"&gt;0")</f>
        <v>0</v>
      </c>
      <c r="F162" s="13">
        <f>IFERROR(AVERAGEIFS(Leads[Tempo de resposta (min)],Leads[CPF],"&lt;&gt;",Leads[Data de entrada],"&gt;="&amp;A162,Leads[Data de entrada],"&lt;"&amp;(B162+1),Leads[Tempo de resposta (min)],"&gt;=0",Leads[Tempo de resposta (min)],"&lt;&gt;"),"")</f>
        <v/>
      </c>
      <c r="G162" s="12">
        <f>COUNTIFS(Leads[CPF],"&lt;&gt;",Leads[Data de entrada],"&gt;="&amp;A162,Leads[Data de entrada],"&lt;"&amp;(B162+1),Leads[Tempo de resposta (min)],"&gt;=0",Leads[Tempo de resposta (min)],"&lt;&gt;")</f>
        <v>0</v>
      </c>
      <c r="H162" s="14">
        <f>IFERROR(D162/C162,"")</f>
        <v/>
      </c>
      <c r="I162" s="14">
        <f>IFERROR(E162/D162,"")</f>
        <v/>
      </c>
      <c r="J162" s="14">
        <f>IFERROR(E162/C162,"")</f>
        <v/>
      </c>
    </row>
    <row r="163" spans="1:10">
      <c r="A163" s="5">
        <f>A162+7</f>
        <v>0</v>
      </c>
      <c r="B163" s="5">
        <f>A163+6</f>
        <v>0</v>
      </c>
      <c r="C163" s="12">
        <f>COUNTIFS(Leads[CPF],"&lt;&gt;",Leads[Data de entrada],"&gt;="&amp;A163,Leads[Data de entrada],"&lt;"&amp;(B163+1))</f>
        <v>0</v>
      </c>
      <c r="D163" s="12">
        <f>COUNTIFS(Leads[CPF],"&lt;&gt;",Leads[Data de entrada],"&gt;="&amp;A163,Leads[Data de entrada],"&lt;"&amp;(B163+1),Leads[Data do agendamento],"&gt;0")</f>
        <v>0</v>
      </c>
      <c r="E163" s="12">
        <f>COUNTIFS(Leads[CPF],"&lt;&gt;",Leads[Data de entrada],"&gt;="&amp;A163,Leads[Data de entrada],"&lt;"&amp;(B163+1),Leads[Data da conversa presencial executada],"&gt;0")</f>
        <v>0</v>
      </c>
      <c r="F163" s="13">
        <f>IFERROR(AVERAGEIFS(Leads[Tempo de resposta (min)],Leads[CPF],"&lt;&gt;",Leads[Data de entrada],"&gt;="&amp;A163,Leads[Data de entrada],"&lt;"&amp;(B163+1),Leads[Tempo de resposta (min)],"&gt;=0",Leads[Tempo de resposta (min)],"&lt;&gt;"),"")</f>
        <v/>
      </c>
      <c r="G163" s="12">
        <f>COUNTIFS(Leads[CPF],"&lt;&gt;",Leads[Data de entrada],"&gt;="&amp;A163,Leads[Data de entrada],"&lt;"&amp;(B163+1),Leads[Tempo de resposta (min)],"&gt;=0",Leads[Tempo de resposta (min)],"&lt;&gt;")</f>
        <v>0</v>
      </c>
      <c r="H163" s="14">
        <f>IFERROR(D163/C163,"")</f>
        <v/>
      </c>
      <c r="I163" s="14">
        <f>IFERROR(E163/D163,"")</f>
        <v/>
      </c>
      <c r="J163" s="14">
        <f>IFERROR(E163/C163,"")</f>
        <v/>
      </c>
    </row>
    <row r="164" spans="1:10">
      <c r="A164" s="5">
        <f>A163+7</f>
        <v>0</v>
      </c>
      <c r="B164" s="5">
        <f>A164+6</f>
        <v>0</v>
      </c>
      <c r="C164" s="12">
        <f>COUNTIFS(Leads[CPF],"&lt;&gt;",Leads[Data de entrada],"&gt;="&amp;A164,Leads[Data de entrada],"&lt;"&amp;(B164+1))</f>
        <v>0</v>
      </c>
      <c r="D164" s="12">
        <f>COUNTIFS(Leads[CPF],"&lt;&gt;",Leads[Data de entrada],"&gt;="&amp;A164,Leads[Data de entrada],"&lt;"&amp;(B164+1),Leads[Data do agendamento],"&gt;0")</f>
        <v>0</v>
      </c>
      <c r="E164" s="12">
        <f>COUNTIFS(Leads[CPF],"&lt;&gt;",Leads[Data de entrada],"&gt;="&amp;A164,Leads[Data de entrada],"&lt;"&amp;(B164+1),Leads[Data da conversa presencial executada],"&gt;0")</f>
        <v>0</v>
      </c>
      <c r="F164" s="13">
        <f>IFERROR(AVERAGEIFS(Leads[Tempo de resposta (min)],Leads[CPF],"&lt;&gt;",Leads[Data de entrada],"&gt;="&amp;A164,Leads[Data de entrada],"&lt;"&amp;(B164+1),Leads[Tempo de resposta (min)],"&gt;=0",Leads[Tempo de resposta (min)],"&lt;&gt;"),"")</f>
        <v/>
      </c>
      <c r="G164" s="12">
        <f>COUNTIFS(Leads[CPF],"&lt;&gt;",Leads[Data de entrada],"&gt;="&amp;A164,Leads[Data de entrada],"&lt;"&amp;(B164+1),Leads[Tempo de resposta (min)],"&gt;=0",Leads[Tempo de resposta (min)],"&lt;&gt;")</f>
        <v>0</v>
      </c>
      <c r="H164" s="14">
        <f>IFERROR(D164/C164,"")</f>
        <v/>
      </c>
      <c r="I164" s="14">
        <f>IFERROR(E164/D164,"")</f>
        <v/>
      </c>
      <c r="J164" s="14">
        <f>IFERROR(E164/C164,"")</f>
        <v/>
      </c>
    </row>
    <row r="165" spans="1:10">
      <c r="A165" s="5">
        <f>A164+7</f>
        <v>0</v>
      </c>
      <c r="B165" s="5">
        <f>A165+6</f>
        <v>0</v>
      </c>
      <c r="C165" s="12">
        <f>COUNTIFS(Leads[CPF],"&lt;&gt;",Leads[Data de entrada],"&gt;="&amp;A165,Leads[Data de entrada],"&lt;"&amp;(B165+1))</f>
        <v>0</v>
      </c>
      <c r="D165" s="12">
        <f>COUNTIFS(Leads[CPF],"&lt;&gt;",Leads[Data de entrada],"&gt;="&amp;A165,Leads[Data de entrada],"&lt;"&amp;(B165+1),Leads[Data do agendamento],"&gt;0")</f>
        <v>0</v>
      </c>
      <c r="E165" s="12">
        <f>COUNTIFS(Leads[CPF],"&lt;&gt;",Leads[Data de entrada],"&gt;="&amp;A165,Leads[Data de entrada],"&lt;"&amp;(B165+1),Leads[Data da conversa presencial executada],"&gt;0")</f>
        <v>0</v>
      </c>
      <c r="F165" s="13">
        <f>IFERROR(AVERAGEIFS(Leads[Tempo de resposta (min)],Leads[CPF],"&lt;&gt;",Leads[Data de entrada],"&gt;="&amp;A165,Leads[Data de entrada],"&lt;"&amp;(B165+1),Leads[Tempo de resposta (min)],"&gt;=0",Leads[Tempo de resposta (min)],"&lt;&gt;"),"")</f>
        <v/>
      </c>
      <c r="G165" s="12">
        <f>COUNTIFS(Leads[CPF],"&lt;&gt;",Leads[Data de entrada],"&gt;="&amp;A165,Leads[Data de entrada],"&lt;"&amp;(B165+1),Leads[Tempo de resposta (min)],"&gt;=0",Leads[Tempo de resposta (min)],"&lt;&gt;")</f>
        <v>0</v>
      </c>
      <c r="H165" s="14">
        <f>IFERROR(D165/C165,"")</f>
        <v/>
      </c>
      <c r="I165" s="14">
        <f>IFERROR(E165/D165,"")</f>
        <v/>
      </c>
      <c r="J165" s="14">
        <f>IFERROR(E165/C165,"")</f>
        <v/>
      </c>
    </row>
    <row r="166" spans="1:10">
      <c r="A166" s="5">
        <f>A165+7</f>
        <v>0</v>
      </c>
      <c r="B166" s="5">
        <f>A166+6</f>
        <v>0</v>
      </c>
      <c r="C166" s="12">
        <f>COUNTIFS(Leads[CPF],"&lt;&gt;",Leads[Data de entrada],"&gt;="&amp;A166,Leads[Data de entrada],"&lt;"&amp;(B166+1))</f>
        <v>0</v>
      </c>
      <c r="D166" s="12">
        <f>COUNTIFS(Leads[CPF],"&lt;&gt;",Leads[Data de entrada],"&gt;="&amp;A166,Leads[Data de entrada],"&lt;"&amp;(B166+1),Leads[Data do agendamento],"&gt;0")</f>
        <v>0</v>
      </c>
      <c r="E166" s="12">
        <f>COUNTIFS(Leads[CPF],"&lt;&gt;",Leads[Data de entrada],"&gt;="&amp;A166,Leads[Data de entrada],"&lt;"&amp;(B166+1),Leads[Data da conversa presencial executada],"&gt;0")</f>
        <v>0</v>
      </c>
      <c r="F166" s="13">
        <f>IFERROR(AVERAGEIFS(Leads[Tempo de resposta (min)],Leads[CPF],"&lt;&gt;",Leads[Data de entrada],"&gt;="&amp;A166,Leads[Data de entrada],"&lt;"&amp;(B166+1),Leads[Tempo de resposta (min)],"&gt;=0",Leads[Tempo de resposta (min)],"&lt;&gt;"),"")</f>
        <v/>
      </c>
      <c r="G166" s="12">
        <f>COUNTIFS(Leads[CPF],"&lt;&gt;",Leads[Data de entrada],"&gt;="&amp;A166,Leads[Data de entrada],"&lt;"&amp;(B166+1),Leads[Tempo de resposta (min)],"&gt;=0",Leads[Tempo de resposta (min)],"&lt;&gt;")</f>
        <v>0</v>
      </c>
      <c r="H166" s="14">
        <f>IFERROR(D166/C166,"")</f>
        <v/>
      </c>
      <c r="I166" s="14">
        <f>IFERROR(E166/D166,"")</f>
        <v/>
      </c>
      <c r="J166" s="14">
        <f>IFERROR(E166/C166,"")</f>
        <v/>
      </c>
    </row>
    <row r="167" spans="1:10">
      <c r="A167" s="5">
        <f>A166+7</f>
        <v>0</v>
      </c>
      <c r="B167" s="5">
        <f>A167+6</f>
        <v>0</v>
      </c>
      <c r="C167" s="12">
        <f>COUNTIFS(Leads[CPF],"&lt;&gt;",Leads[Data de entrada],"&gt;="&amp;A167,Leads[Data de entrada],"&lt;"&amp;(B167+1))</f>
        <v>0</v>
      </c>
      <c r="D167" s="12">
        <f>COUNTIFS(Leads[CPF],"&lt;&gt;",Leads[Data de entrada],"&gt;="&amp;A167,Leads[Data de entrada],"&lt;"&amp;(B167+1),Leads[Data do agendamento],"&gt;0")</f>
        <v>0</v>
      </c>
      <c r="E167" s="12">
        <f>COUNTIFS(Leads[CPF],"&lt;&gt;",Leads[Data de entrada],"&gt;="&amp;A167,Leads[Data de entrada],"&lt;"&amp;(B167+1),Leads[Data da conversa presencial executada],"&gt;0")</f>
        <v>0</v>
      </c>
      <c r="F167" s="13">
        <f>IFERROR(AVERAGEIFS(Leads[Tempo de resposta (min)],Leads[CPF],"&lt;&gt;",Leads[Data de entrada],"&gt;="&amp;A167,Leads[Data de entrada],"&lt;"&amp;(B167+1),Leads[Tempo de resposta (min)],"&gt;=0",Leads[Tempo de resposta (min)],"&lt;&gt;"),"")</f>
        <v/>
      </c>
      <c r="G167" s="12">
        <f>COUNTIFS(Leads[CPF],"&lt;&gt;",Leads[Data de entrada],"&gt;="&amp;A167,Leads[Data de entrada],"&lt;"&amp;(B167+1),Leads[Tempo de resposta (min)],"&gt;=0",Leads[Tempo de resposta (min)],"&lt;&gt;")</f>
        <v>0</v>
      </c>
      <c r="H167" s="14">
        <f>IFERROR(D167/C167,"")</f>
        <v/>
      </c>
      <c r="I167" s="14">
        <f>IFERROR(E167/D167,"")</f>
        <v/>
      </c>
      <c r="J167" s="14">
        <f>IFERROR(E167/C167,"")</f>
        <v/>
      </c>
    </row>
    <row r="168" spans="1:10">
      <c r="A168" s="5">
        <f>A167+7</f>
        <v>0</v>
      </c>
      <c r="B168" s="5">
        <f>A168+6</f>
        <v>0</v>
      </c>
      <c r="C168" s="12">
        <f>COUNTIFS(Leads[CPF],"&lt;&gt;",Leads[Data de entrada],"&gt;="&amp;A168,Leads[Data de entrada],"&lt;"&amp;(B168+1))</f>
        <v>0</v>
      </c>
      <c r="D168" s="12">
        <f>COUNTIFS(Leads[CPF],"&lt;&gt;",Leads[Data de entrada],"&gt;="&amp;A168,Leads[Data de entrada],"&lt;"&amp;(B168+1),Leads[Data do agendamento],"&gt;0")</f>
        <v>0</v>
      </c>
      <c r="E168" s="12">
        <f>COUNTIFS(Leads[CPF],"&lt;&gt;",Leads[Data de entrada],"&gt;="&amp;A168,Leads[Data de entrada],"&lt;"&amp;(B168+1),Leads[Data da conversa presencial executada],"&gt;0")</f>
        <v>0</v>
      </c>
      <c r="F168" s="13">
        <f>IFERROR(AVERAGEIFS(Leads[Tempo de resposta (min)],Leads[CPF],"&lt;&gt;",Leads[Data de entrada],"&gt;="&amp;A168,Leads[Data de entrada],"&lt;"&amp;(B168+1),Leads[Tempo de resposta (min)],"&gt;=0",Leads[Tempo de resposta (min)],"&lt;&gt;"),"")</f>
        <v/>
      </c>
      <c r="G168" s="12">
        <f>COUNTIFS(Leads[CPF],"&lt;&gt;",Leads[Data de entrada],"&gt;="&amp;A168,Leads[Data de entrada],"&lt;"&amp;(B168+1),Leads[Tempo de resposta (min)],"&gt;=0",Leads[Tempo de resposta (min)],"&lt;&gt;")</f>
        <v>0</v>
      </c>
      <c r="H168" s="14">
        <f>IFERROR(D168/C168,"")</f>
        <v/>
      </c>
      <c r="I168" s="14">
        <f>IFERROR(E168/D168,"")</f>
        <v/>
      </c>
      <c r="J168" s="14">
        <f>IFERROR(E168/C168,"")</f>
        <v/>
      </c>
    </row>
  </sheetData>
  <autoFilter ref="A11:J168"/>
  <mergeCells count="6">
    <mergeCell ref="A1:J2"/>
    <mergeCell ref="A3:J4"/>
    <mergeCell ref="C5:J5"/>
    <mergeCell ref="A6:J6"/>
    <mergeCell ref="A7:J7"/>
    <mergeCell ref="A8:J8"/>
  </mergeCells>
  <dataValidations count="1">
    <dataValidation type="whole" allowBlank="1" showInputMessage="1" showErrorMessage="1" sqref="B5">
      <formula1>2000</formula1>
      <formula2>2097</formula2>
    </dataValidation>
  </dataValidations>
  <pageMargins left="0.7" right="0.7" top="0.75" bottom="0.75" header="0.3" footer="0.3"/>
  <pageSetup paperSize="9" fitToHeight="0" orientation="landscape"/>
  <headerFooter>
    <oddFooter>&amp;LComercial e Captação WPP&amp;R&amp;P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47"/>
  <sheetViews>
    <sheetView showGridLines="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2" width="18.7109375" customWidth="1"/>
    <col min="3" max="5" width="20.7109375" customWidth="1"/>
    <col min="6" max="7" width="24.7109375" customWidth="1"/>
    <col min="8" max="10" width="19.7109375" customWidth="1"/>
  </cols>
  <sheetData>
    <row r="1" spans="1:10" ht="24" customHeight="1">
      <c r="A1" s="8" t="s">
        <v>36</v>
      </c>
      <c r="B1" s="8"/>
      <c r="C1" s="8"/>
      <c r="D1" s="8"/>
      <c r="E1" s="8"/>
      <c r="F1" s="8"/>
      <c r="G1" s="8"/>
      <c r="H1" s="8"/>
      <c r="I1" s="8"/>
      <c r="J1" s="8"/>
    </row>
    <row r="2" spans="1:10" ht="14" customHeight="1">
      <c r="A2" s="8"/>
      <c r="B2" s="8"/>
      <c r="C2" s="8"/>
      <c r="D2" s="8"/>
      <c r="E2" s="8"/>
      <c r="F2" s="8"/>
      <c r="G2" s="8"/>
      <c r="H2" s="8"/>
      <c r="I2" s="8"/>
      <c r="J2" s="8"/>
    </row>
    <row r="3" spans="1:10">
      <c r="A3" s="9" t="s">
        <v>20</v>
      </c>
      <c r="B3" s="9"/>
      <c r="C3" s="9"/>
      <c r="D3" s="9"/>
      <c r="E3" s="9"/>
      <c r="F3" s="9"/>
      <c r="G3" s="9"/>
      <c r="H3" s="9"/>
      <c r="I3" s="9"/>
      <c r="J3" s="9"/>
    </row>
    <row r="4" spans="1:10">
      <c r="A4" s="9"/>
      <c r="B4" s="9"/>
      <c r="C4" s="9"/>
      <c r="D4" s="9"/>
      <c r="E4" s="9"/>
      <c r="F4" s="9"/>
      <c r="G4" s="9"/>
      <c r="H4" s="9"/>
      <c r="I4" s="9"/>
      <c r="J4" s="9"/>
    </row>
    <row r="5" spans="1:10">
      <c r="A5" s="9" t="s">
        <v>21</v>
      </c>
      <c r="B5" s="10">
        <v>2026</v>
      </c>
      <c r="C5" s="9" t="s">
        <v>22</v>
      </c>
      <c r="D5" s="9"/>
      <c r="E5" s="9"/>
      <c r="F5" s="9"/>
      <c r="G5" s="9"/>
      <c r="H5" s="9"/>
      <c r="I5" s="9"/>
      <c r="J5" s="9"/>
    </row>
    <row r="6" spans="1:10">
      <c r="A6" s="9" t="s">
        <v>23</v>
      </c>
      <c r="B6" s="9"/>
      <c r="C6" s="9"/>
      <c r="D6" s="9"/>
      <c r="E6" s="9"/>
      <c r="F6" s="9"/>
      <c r="G6" s="9"/>
      <c r="H6" s="9"/>
      <c r="I6" s="9"/>
      <c r="J6" s="9"/>
    </row>
    <row r="7" spans="1:10">
      <c r="A7" s="9" t="s">
        <v>24</v>
      </c>
      <c r="B7" s="9"/>
      <c r="C7" s="9"/>
      <c r="D7" s="9"/>
      <c r="E7" s="9"/>
      <c r="F7" s="9"/>
      <c r="G7" s="9"/>
      <c r="H7" s="9"/>
      <c r="I7" s="9"/>
      <c r="J7" s="9"/>
    </row>
    <row r="8" spans="1:10">
      <c r="A8" s="9" t="s">
        <v>25</v>
      </c>
      <c r="B8" s="9"/>
      <c r="C8" s="9"/>
      <c r="D8" s="9"/>
      <c r="E8" s="9"/>
      <c r="F8" s="9"/>
      <c r="G8" s="9"/>
      <c r="H8" s="9"/>
      <c r="I8" s="9"/>
      <c r="J8" s="9"/>
    </row>
    <row r="11" spans="1:10" ht="44" customHeight="1">
      <c r="A11" s="11" t="s">
        <v>37</v>
      </c>
      <c r="B11" s="11" t="s">
        <v>27</v>
      </c>
      <c r="C11" s="11" t="s">
        <v>28</v>
      </c>
      <c r="D11" s="11" t="s">
        <v>29</v>
      </c>
      <c r="E11" s="11" t="s">
        <v>30</v>
      </c>
      <c r="F11" s="11" t="s">
        <v>31</v>
      </c>
      <c r="G11" s="11" t="s">
        <v>32</v>
      </c>
      <c r="H11" s="11" t="s">
        <v>33</v>
      </c>
      <c r="I11" s="11" t="s">
        <v>34</v>
      </c>
      <c r="J11" s="11" t="s">
        <v>35</v>
      </c>
    </row>
    <row r="12" spans="1:10">
      <c r="A12" s="6">
        <f>DATE($B$5,1,1)</f>
        <v>0</v>
      </c>
      <c r="B12" s="5">
        <f>DATE(YEAR(A12),MONTH(A12)+1,1)-1</f>
        <v>0</v>
      </c>
      <c r="C12" s="12">
        <f>COUNTIFS(Leads[CPF],"&lt;&gt;",Leads[Data de entrada],"&gt;="&amp;A12,Leads[Data de entrada],"&lt;"&amp;(B12+1))</f>
        <v>0</v>
      </c>
      <c r="D12" s="12">
        <f>COUNTIFS(Leads[CPF],"&lt;&gt;",Leads[Data de entrada],"&gt;="&amp;A12,Leads[Data de entrada],"&lt;"&amp;(B12+1),Leads[Data do agendamento],"&gt;0")</f>
        <v>0</v>
      </c>
      <c r="E12" s="12">
        <f>COUNTIFS(Leads[CPF],"&lt;&gt;",Leads[Data de entrada],"&gt;="&amp;A12,Leads[Data de entrada],"&lt;"&amp;(B12+1),Leads[Data da conversa presencial executada],"&gt;0")</f>
        <v>0</v>
      </c>
      <c r="F12" s="13">
        <f>IFERROR(AVERAGEIFS(Leads[Tempo de resposta (min)],Leads[CPF],"&lt;&gt;",Leads[Data de entrada],"&gt;="&amp;A12,Leads[Data de entrada],"&lt;"&amp;(B12+1),Leads[Tempo de resposta (min)],"&gt;=0",Leads[Tempo de resposta (min)],"&lt;&gt;"),"")</f>
        <v/>
      </c>
      <c r="G12" s="12">
        <f>COUNTIFS(Leads[CPF],"&lt;&gt;",Leads[Data de entrada],"&gt;="&amp;A12,Leads[Data de entrada],"&lt;"&amp;(B12+1),Leads[Tempo de resposta (min)],"&gt;=0",Leads[Tempo de resposta (min)],"&lt;&gt;")</f>
        <v>0</v>
      </c>
      <c r="H12" s="14">
        <f>IFERROR(D12/C12,"")</f>
        <v/>
      </c>
      <c r="I12" s="14">
        <f>IFERROR(E12/D12,"")</f>
        <v/>
      </c>
      <c r="J12" s="14">
        <f>IFERROR(E12/C12,"")</f>
        <v/>
      </c>
    </row>
    <row r="13" spans="1:10">
      <c r="A13" s="6">
        <f>DATE($B$5,2,1)</f>
        <v>0</v>
      </c>
      <c r="B13" s="5">
        <f>DATE(YEAR(A13),MONTH(A13)+1,1)-1</f>
        <v>0</v>
      </c>
      <c r="C13" s="12">
        <f>COUNTIFS(Leads[CPF],"&lt;&gt;",Leads[Data de entrada],"&gt;="&amp;A13,Leads[Data de entrada],"&lt;"&amp;(B13+1))</f>
        <v>0</v>
      </c>
      <c r="D13" s="12">
        <f>COUNTIFS(Leads[CPF],"&lt;&gt;",Leads[Data de entrada],"&gt;="&amp;A13,Leads[Data de entrada],"&lt;"&amp;(B13+1),Leads[Data do agendamento],"&gt;0")</f>
        <v>0</v>
      </c>
      <c r="E13" s="12">
        <f>COUNTIFS(Leads[CPF],"&lt;&gt;",Leads[Data de entrada],"&gt;="&amp;A13,Leads[Data de entrada],"&lt;"&amp;(B13+1),Leads[Data da conversa presencial executada],"&gt;0")</f>
        <v>0</v>
      </c>
      <c r="F13" s="13">
        <f>IFERROR(AVERAGEIFS(Leads[Tempo de resposta (min)],Leads[CPF],"&lt;&gt;",Leads[Data de entrada],"&gt;="&amp;A13,Leads[Data de entrada],"&lt;"&amp;(B13+1),Leads[Tempo de resposta (min)],"&gt;=0",Leads[Tempo de resposta (min)],"&lt;&gt;"),"")</f>
        <v/>
      </c>
      <c r="G13" s="12">
        <f>COUNTIFS(Leads[CPF],"&lt;&gt;",Leads[Data de entrada],"&gt;="&amp;A13,Leads[Data de entrada],"&lt;"&amp;(B13+1),Leads[Tempo de resposta (min)],"&gt;=0",Leads[Tempo de resposta (min)],"&lt;&gt;")</f>
        <v>0</v>
      </c>
      <c r="H13" s="14">
        <f>IFERROR(D13/C13,"")</f>
        <v/>
      </c>
      <c r="I13" s="14">
        <f>IFERROR(E13/D13,"")</f>
        <v/>
      </c>
      <c r="J13" s="14">
        <f>IFERROR(E13/C13,"")</f>
        <v/>
      </c>
    </row>
    <row r="14" spans="1:10">
      <c r="A14" s="6">
        <f>DATE($B$5,3,1)</f>
        <v>0</v>
      </c>
      <c r="B14" s="5">
        <f>DATE(YEAR(A14),MONTH(A14)+1,1)-1</f>
        <v>0</v>
      </c>
      <c r="C14" s="12">
        <f>COUNTIFS(Leads[CPF],"&lt;&gt;",Leads[Data de entrada],"&gt;="&amp;A14,Leads[Data de entrada],"&lt;"&amp;(B14+1))</f>
        <v>0</v>
      </c>
      <c r="D14" s="12">
        <f>COUNTIFS(Leads[CPF],"&lt;&gt;",Leads[Data de entrada],"&gt;="&amp;A14,Leads[Data de entrada],"&lt;"&amp;(B14+1),Leads[Data do agendamento],"&gt;0")</f>
        <v>0</v>
      </c>
      <c r="E14" s="12">
        <f>COUNTIFS(Leads[CPF],"&lt;&gt;",Leads[Data de entrada],"&gt;="&amp;A14,Leads[Data de entrada],"&lt;"&amp;(B14+1),Leads[Data da conversa presencial executada],"&gt;0")</f>
        <v>0</v>
      </c>
      <c r="F14" s="13">
        <f>IFERROR(AVERAGEIFS(Leads[Tempo de resposta (min)],Leads[CPF],"&lt;&gt;",Leads[Data de entrada],"&gt;="&amp;A14,Leads[Data de entrada],"&lt;"&amp;(B14+1),Leads[Tempo de resposta (min)],"&gt;=0",Leads[Tempo de resposta (min)],"&lt;&gt;"),"")</f>
        <v/>
      </c>
      <c r="G14" s="12">
        <f>COUNTIFS(Leads[CPF],"&lt;&gt;",Leads[Data de entrada],"&gt;="&amp;A14,Leads[Data de entrada],"&lt;"&amp;(B14+1),Leads[Tempo de resposta (min)],"&gt;=0",Leads[Tempo de resposta (min)],"&lt;&gt;")</f>
        <v>0</v>
      </c>
      <c r="H14" s="14">
        <f>IFERROR(D14/C14,"")</f>
        <v/>
      </c>
      <c r="I14" s="14">
        <f>IFERROR(E14/D14,"")</f>
        <v/>
      </c>
      <c r="J14" s="14">
        <f>IFERROR(E14/C14,"")</f>
        <v/>
      </c>
    </row>
    <row r="15" spans="1:10">
      <c r="A15" s="6">
        <f>DATE($B$5,4,1)</f>
        <v>0</v>
      </c>
      <c r="B15" s="5">
        <f>DATE(YEAR(A15),MONTH(A15)+1,1)-1</f>
        <v>0</v>
      </c>
      <c r="C15" s="12">
        <f>COUNTIFS(Leads[CPF],"&lt;&gt;",Leads[Data de entrada],"&gt;="&amp;A15,Leads[Data de entrada],"&lt;"&amp;(B15+1))</f>
        <v>0</v>
      </c>
      <c r="D15" s="12">
        <f>COUNTIFS(Leads[CPF],"&lt;&gt;",Leads[Data de entrada],"&gt;="&amp;A15,Leads[Data de entrada],"&lt;"&amp;(B15+1),Leads[Data do agendamento],"&gt;0")</f>
        <v>0</v>
      </c>
      <c r="E15" s="12">
        <f>COUNTIFS(Leads[CPF],"&lt;&gt;",Leads[Data de entrada],"&gt;="&amp;A15,Leads[Data de entrada],"&lt;"&amp;(B15+1),Leads[Data da conversa presencial executada],"&gt;0")</f>
        <v>0</v>
      </c>
      <c r="F15" s="13">
        <f>IFERROR(AVERAGEIFS(Leads[Tempo de resposta (min)],Leads[CPF],"&lt;&gt;",Leads[Data de entrada],"&gt;="&amp;A15,Leads[Data de entrada],"&lt;"&amp;(B15+1),Leads[Tempo de resposta (min)],"&gt;=0",Leads[Tempo de resposta (min)],"&lt;&gt;"),"")</f>
        <v/>
      </c>
      <c r="G15" s="12">
        <f>COUNTIFS(Leads[CPF],"&lt;&gt;",Leads[Data de entrada],"&gt;="&amp;A15,Leads[Data de entrada],"&lt;"&amp;(B15+1),Leads[Tempo de resposta (min)],"&gt;=0",Leads[Tempo de resposta (min)],"&lt;&gt;")</f>
        <v>0</v>
      </c>
      <c r="H15" s="14">
        <f>IFERROR(D15/C15,"")</f>
        <v/>
      </c>
      <c r="I15" s="14">
        <f>IFERROR(E15/D15,"")</f>
        <v/>
      </c>
      <c r="J15" s="14">
        <f>IFERROR(E15/C15,"")</f>
        <v/>
      </c>
    </row>
    <row r="16" spans="1:10">
      <c r="A16" s="6">
        <f>DATE($B$5,5,1)</f>
        <v>0</v>
      </c>
      <c r="B16" s="5">
        <f>DATE(YEAR(A16),MONTH(A16)+1,1)-1</f>
        <v>0</v>
      </c>
      <c r="C16" s="12">
        <f>COUNTIFS(Leads[CPF],"&lt;&gt;",Leads[Data de entrada],"&gt;="&amp;A16,Leads[Data de entrada],"&lt;"&amp;(B16+1))</f>
        <v>0</v>
      </c>
      <c r="D16" s="12">
        <f>COUNTIFS(Leads[CPF],"&lt;&gt;",Leads[Data de entrada],"&gt;="&amp;A16,Leads[Data de entrada],"&lt;"&amp;(B16+1),Leads[Data do agendamento],"&gt;0")</f>
        <v>0</v>
      </c>
      <c r="E16" s="12">
        <f>COUNTIFS(Leads[CPF],"&lt;&gt;",Leads[Data de entrada],"&gt;="&amp;A16,Leads[Data de entrada],"&lt;"&amp;(B16+1),Leads[Data da conversa presencial executada],"&gt;0")</f>
        <v>0</v>
      </c>
      <c r="F16" s="13">
        <f>IFERROR(AVERAGEIFS(Leads[Tempo de resposta (min)],Leads[CPF],"&lt;&gt;",Leads[Data de entrada],"&gt;="&amp;A16,Leads[Data de entrada],"&lt;"&amp;(B16+1),Leads[Tempo de resposta (min)],"&gt;=0",Leads[Tempo de resposta (min)],"&lt;&gt;"),"")</f>
        <v/>
      </c>
      <c r="G16" s="12">
        <f>COUNTIFS(Leads[CPF],"&lt;&gt;",Leads[Data de entrada],"&gt;="&amp;A16,Leads[Data de entrada],"&lt;"&amp;(B16+1),Leads[Tempo de resposta (min)],"&gt;=0",Leads[Tempo de resposta (min)],"&lt;&gt;")</f>
        <v>0</v>
      </c>
      <c r="H16" s="14">
        <f>IFERROR(D16/C16,"")</f>
        <v/>
      </c>
      <c r="I16" s="14">
        <f>IFERROR(E16/D16,"")</f>
        <v/>
      </c>
      <c r="J16" s="14">
        <f>IFERROR(E16/C16,"")</f>
        <v/>
      </c>
    </row>
    <row r="17" spans="1:10">
      <c r="A17" s="6">
        <f>DATE($B$5,6,1)</f>
        <v>0</v>
      </c>
      <c r="B17" s="5">
        <f>DATE(YEAR(A17),MONTH(A17)+1,1)-1</f>
        <v>0</v>
      </c>
      <c r="C17" s="12">
        <f>COUNTIFS(Leads[CPF],"&lt;&gt;",Leads[Data de entrada],"&gt;="&amp;A17,Leads[Data de entrada],"&lt;"&amp;(B17+1))</f>
        <v>0</v>
      </c>
      <c r="D17" s="12">
        <f>COUNTIFS(Leads[CPF],"&lt;&gt;",Leads[Data de entrada],"&gt;="&amp;A17,Leads[Data de entrada],"&lt;"&amp;(B17+1),Leads[Data do agendamento],"&gt;0")</f>
        <v>0</v>
      </c>
      <c r="E17" s="12">
        <f>COUNTIFS(Leads[CPF],"&lt;&gt;",Leads[Data de entrada],"&gt;="&amp;A17,Leads[Data de entrada],"&lt;"&amp;(B17+1),Leads[Data da conversa presencial executada],"&gt;0")</f>
        <v>0</v>
      </c>
      <c r="F17" s="13">
        <f>IFERROR(AVERAGEIFS(Leads[Tempo de resposta (min)],Leads[CPF],"&lt;&gt;",Leads[Data de entrada],"&gt;="&amp;A17,Leads[Data de entrada],"&lt;"&amp;(B17+1),Leads[Tempo de resposta (min)],"&gt;=0",Leads[Tempo de resposta (min)],"&lt;&gt;"),"")</f>
        <v/>
      </c>
      <c r="G17" s="12">
        <f>COUNTIFS(Leads[CPF],"&lt;&gt;",Leads[Data de entrada],"&gt;="&amp;A17,Leads[Data de entrada],"&lt;"&amp;(B17+1),Leads[Tempo de resposta (min)],"&gt;=0",Leads[Tempo de resposta (min)],"&lt;&gt;")</f>
        <v>0</v>
      </c>
      <c r="H17" s="14">
        <f>IFERROR(D17/C17,"")</f>
        <v/>
      </c>
      <c r="I17" s="14">
        <f>IFERROR(E17/D17,"")</f>
        <v/>
      </c>
      <c r="J17" s="14">
        <f>IFERROR(E17/C17,"")</f>
        <v/>
      </c>
    </row>
    <row r="18" spans="1:10">
      <c r="A18" s="6">
        <f>DATE($B$5,7,1)</f>
        <v>0</v>
      </c>
      <c r="B18" s="5">
        <f>DATE(YEAR(A18),MONTH(A18)+1,1)-1</f>
        <v>0</v>
      </c>
      <c r="C18" s="12">
        <f>COUNTIFS(Leads[CPF],"&lt;&gt;",Leads[Data de entrada],"&gt;="&amp;A18,Leads[Data de entrada],"&lt;"&amp;(B18+1))</f>
        <v>0</v>
      </c>
      <c r="D18" s="12">
        <f>COUNTIFS(Leads[CPF],"&lt;&gt;",Leads[Data de entrada],"&gt;="&amp;A18,Leads[Data de entrada],"&lt;"&amp;(B18+1),Leads[Data do agendamento],"&gt;0")</f>
        <v>0</v>
      </c>
      <c r="E18" s="12">
        <f>COUNTIFS(Leads[CPF],"&lt;&gt;",Leads[Data de entrada],"&gt;="&amp;A18,Leads[Data de entrada],"&lt;"&amp;(B18+1),Leads[Data da conversa presencial executada],"&gt;0")</f>
        <v>0</v>
      </c>
      <c r="F18" s="13">
        <f>IFERROR(AVERAGEIFS(Leads[Tempo de resposta (min)],Leads[CPF],"&lt;&gt;",Leads[Data de entrada],"&gt;="&amp;A18,Leads[Data de entrada],"&lt;"&amp;(B18+1),Leads[Tempo de resposta (min)],"&gt;=0",Leads[Tempo de resposta (min)],"&lt;&gt;"),"")</f>
        <v/>
      </c>
      <c r="G18" s="12">
        <f>COUNTIFS(Leads[CPF],"&lt;&gt;",Leads[Data de entrada],"&gt;="&amp;A18,Leads[Data de entrada],"&lt;"&amp;(B18+1),Leads[Tempo de resposta (min)],"&gt;=0",Leads[Tempo de resposta (min)],"&lt;&gt;")</f>
        <v>0</v>
      </c>
      <c r="H18" s="14">
        <f>IFERROR(D18/C18,"")</f>
        <v/>
      </c>
      <c r="I18" s="14">
        <f>IFERROR(E18/D18,"")</f>
        <v/>
      </c>
      <c r="J18" s="14">
        <f>IFERROR(E18/C18,"")</f>
        <v/>
      </c>
    </row>
    <row r="19" spans="1:10">
      <c r="A19" s="6">
        <f>DATE($B$5,8,1)</f>
        <v>0</v>
      </c>
      <c r="B19" s="5">
        <f>DATE(YEAR(A19),MONTH(A19)+1,1)-1</f>
        <v>0</v>
      </c>
      <c r="C19" s="12">
        <f>COUNTIFS(Leads[CPF],"&lt;&gt;",Leads[Data de entrada],"&gt;="&amp;A19,Leads[Data de entrada],"&lt;"&amp;(B19+1))</f>
        <v>0</v>
      </c>
      <c r="D19" s="12">
        <f>COUNTIFS(Leads[CPF],"&lt;&gt;",Leads[Data de entrada],"&gt;="&amp;A19,Leads[Data de entrada],"&lt;"&amp;(B19+1),Leads[Data do agendamento],"&gt;0")</f>
        <v>0</v>
      </c>
      <c r="E19" s="12">
        <f>COUNTIFS(Leads[CPF],"&lt;&gt;",Leads[Data de entrada],"&gt;="&amp;A19,Leads[Data de entrada],"&lt;"&amp;(B19+1),Leads[Data da conversa presencial executada],"&gt;0")</f>
        <v>0</v>
      </c>
      <c r="F19" s="13">
        <f>IFERROR(AVERAGEIFS(Leads[Tempo de resposta (min)],Leads[CPF],"&lt;&gt;",Leads[Data de entrada],"&gt;="&amp;A19,Leads[Data de entrada],"&lt;"&amp;(B19+1),Leads[Tempo de resposta (min)],"&gt;=0",Leads[Tempo de resposta (min)],"&lt;&gt;"),"")</f>
        <v/>
      </c>
      <c r="G19" s="12">
        <f>COUNTIFS(Leads[CPF],"&lt;&gt;",Leads[Data de entrada],"&gt;="&amp;A19,Leads[Data de entrada],"&lt;"&amp;(B19+1),Leads[Tempo de resposta (min)],"&gt;=0",Leads[Tempo de resposta (min)],"&lt;&gt;")</f>
        <v>0</v>
      </c>
      <c r="H19" s="14">
        <f>IFERROR(D19/C19,"")</f>
        <v/>
      </c>
      <c r="I19" s="14">
        <f>IFERROR(E19/D19,"")</f>
        <v/>
      </c>
      <c r="J19" s="14">
        <f>IFERROR(E19/C19,"")</f>
        <v/>
      </c>
    </row>
    <row r="20" spans="1:10">
      <c r="A20" s="6">
        <f>DATE($B$5,9,1)</f>
        <v>0</v>
      </c>
      <c r="B20" s="5">
        <f>DATE(YEAR(A20),MONTH(A20)+1,1)-1</f>
        <v>0</v>
      </c>
      <c r="C20" s="12">
        <f>COUNTIFS(Leads[CPF],"&lt;&gt;",Leads[Data de entrada],"&gt;="&amp;A20,Leads[Data de entrada],"&lt;"&amp;(B20+1))</f>
        <v>0</v>
      </c>
      <c r="D20" s="12">
        <f>COUNTIFS(Leads[CPF],"&lt;&gt;",Leads[Data de entrada],"&gt;="&amp;A20,Leads[Data de entrada],"&lt;"&amp;(B20+1),Leads[Data do agendamento],"&gt;0")</f>
        <v>0</v>
      </c>
      <c r="E20" s="12">
        <f>COUNTIFS(Leads[CPF],"&lt;&gt;",Leads[Data de entrada],"&gt;="&amp;A20,Leads[Data de entrada],"&lt;"&amp;(B20+1),Leads[Data da conversa presencial executada],"&gt;0")</f>
        <v>0</v>
      </c>
      <c r="F20" s="13">
        <f>IFERROR(AVERAGEIFS(Leads[Tempo de resposta (min)],Leads[CPF],"&lt;&gt;",Leads[Data de entrada],"&gt;="&amp;A20,Leads[Data de entrada],"&lt;"&amp;(B20+1),Leads[Tempo de resposta (min)],"&gt;=0",Leads[Tempo de resposta (min)],"&lt;&gt;"),"")</f>
        <v/>
      </c>
      <c r="G20" s="12">
        <f>COUNTIFS(Leads[CPF],"&lt;&gt;",Leads[Data de entrada],"&gt;="&amp;A20,Leads[Data de entrada],"&lt;"&amp;(B20+1),Leads[Tempo de resposta (min)],"&gt;=0",Leads[Tempo de resposta (min)],"&lt;&gt;")</f>
        <v>0</v>
      </c>
      <c r="H20" s="14">
        <f>IFERROR(D20/C20,"")</f>
        <v/>
      </c>
      <c r="I20" s="14">
        <f>IFERROR(E20/D20,"")</f>
        <v/>
      </c>
      <c r="J20" s="14">
        <f>IFERROR(E20/C20,"")</f>
        <v/>
      </c>
    </row>
    <row r="21" spans="1:10">
      <c r="A21" s="6">
        <f>DATE($B$5,10,1)</f>
        <v>0</v>
      </c>
      <c r="B21" s="5">
        <f>DATE(YEAR(A21),MONTH(A21)+1,1)-1</f>
        <v>0</v>
      </c>
      <c r="C21" s="12">
        <f>COUNTIFS(Leads[CPF],"&lt;&gt;",Leads[Data de entrada],"&gt;="&amp;A21,Leads[Data de entrada],"&lt;"&amp;(B21+1))</f>
        <v>0</v>
      </c>
      <c r="D21" s="12">
        <f>COUNTIFS(Leads[CPF],"&lt;&gt;",Leads[Data de entrada],"&gt;="&amp;A21,Leads[Data de entrada],"&lt;"&amp;(B21+1),Leads[Data do agendamento],"&gt;0")</f>
        <v>0</v>
      </c>
      <c r="E21" s="12">
        <f>COUNTIFS(Leads[CPF],"&lt;&gt;",Leads[Data de entrada],"&gt;="&amp;A21,Leads[Data de entrada],"&lt;"&amp;(B21+1),Leads[Data da conversa presencial executada],"&gt;0")</f>
        <v>0</v>
      </c>
      <c r="F21" s="13">
        <f>IFERROR(AVERAGEIFS(Leads[Tempo de resposta (min)],Leads[CPF],"&lt;&gt;",Leads[Data de entrada],"&gt;="&amp;A21,Leads[Data de entrada],"&lt;"&amp;(B21+1),Leads[Tempo de resposta (min)],"&gt;=0",Leads[Tempo de resposta (min)],"&lt;&gt;"),"")</f>
        <v/>
      </c>
      <c r="G21" s="12">
        <f>COUNTIFS(Leads[CPF],"&lt;&gt;",Leads[Data de entrada],"&gt;="&amp;A21,Leads[Data de entrada],"&lt;"&amp;(B21+1),Leads[Tempo de resposta (min)],"&gt;=0",Leads[Tempo de resposta (min)],"&lt;&gt;")</f>
        <v>0</v>
      </c>
      <c r="H21" s="14">
        <f>IFERROR(D21/C21,"")</f>
        <v/>
      </c>
      <c r="I21" s="14">
        <f>IFERROR(E21/D21,"")</f>
        <v/>
      </c>
      <c r="J21" s="14">
        <f>IFERROR(E21/C21,"")</f>
        <v/>
      </c>
    </row>
    <row r="22" spans="1:10">
      <c r="A22" s="6">
        <f>DATE($B$5,11,1)</f>
        <v>0</v>
      </c>
      <c r="B22" s="5">
        <f>DATE(YEAR(A22),MONTH(A22)+1,1)-1</f>
        <v>0</v>
      </c>
      <c r="C22" s="12">
        <f>COUNTIFS(Leads[CPF],"&lt;&gt;",Leads[Data de entrada],"&gt;="&amp;A22,Leads[Data de entrada],"&lt;"&amp;(B22+1))</f>
        <v>0</v>
      </c>
      <c r="D22" s="12">
        <f>COUNTIFS(Leads[CPF],"&lt;&gt;",Leads[Data de entrada],"&gt;="&amp;A22,Leads[Data de entrada],"&lt;"&amp;(B22+1),Leads[Data do agendamento],"&gt;0")</f>
        <v>0</v>
      </c>
      <c r="E22" s="12">
        <f>COUNTIFS(Leads[CPF],"&lt;&gt;",Leads[Data de entrada],"&gt;="&amp;A22,Leads[Data de entrada],"&lt;"&amp;(B22+1),Leads[Data da conversa presencial executada],"&gt;0")</f>
        <v>0</v>
      </c>
      <c r="F22" s="13">
        <f>IFERROR(AVERAGEIFS(Leads[Tempo de resposta (min)],Leads[CPF],"&lt;&gt;",Leads[Data de entrada],"&gt;="&amp;A22,Leads[Data de entrada],"&lt;"&amp;(B22+1),Leads[Tempo de resposta (min)],"&gt;=0",Leads[Tempo de resposta (min)],"&lt;&gt;"),"")</f>
        <v/>
      </c>
      <c r="G22" s="12">
        <f>COUNTIFS(Leads[CPF],"&lt;&gt;",Leads[Data de entrada],"&gt;="&amp;A22,Leads[Data de entrada],"&lt;"&amp;(B22+1),Leads[Tempo de resposta (min)],"&gt;=0",Leads[Tempo de resposta (min)],"&lt;&gt;")</f>
        <v>0</v>
      </c>
      <c r="H22" s="14">
        <f>IFERROR(D22/C22,"")</f>
        <v/>
      </c>
      <c r="I22" s="14">
        <f>IFERROR(E22/D22,"")</f>
        <v/>
      </c>
      <c r="J22" s="14">
        <f>IFERROR(E22/C22,"")</f>
        <v/>
      </c>
    </row>
    <row r="23" spans="1:10">
      <c r="A23" s="6">
        <f>DATE($B$5,12,1)</f>
        <v>0</v>
      </c>
      <c r="B23" s="5">
        <f>DATE(YEAR(A23),MONTH(A23)+1,1)-1</f>
        <v>0</v>
      </c>
      <c r="C23" s="12">
        <f>COUNTIFS(Leads[CPF],"&lt;&gt;",Leads[Data de entrada],"&gt;="&amp;A23,Leads[Data de entrada],"&lt;"&amp;(B23+1))</f>
        <v>0</v>
      </c>
      <c r="D23" s="12">
        <f>COUNTIFS(Leads[CPF],"&lt;&gt;",Leads[Data de entrada],"&gt;="&amp;A23,Leads[Data de entrada],"&lt;"&amp;(B23+1),Leads[Data do agendamento],"&gt;0")</f>
        <v>0</v>
      </c>
      <c r="E23" s="12">
        <f>COUNTIFS(Leads[CPF],"&lt;&gt;",Leads[Data de entrada],"&gt;="&amp;A23,Leads[Data de entrada],"&lt;"&amp;(B23+1),Leads[Data da conversa presencial executada],"&gt;0")</f>
        <v>0</v>
      </c>
      <c r="F23" s="13">
        <f>IFERROR(AVERAGEIFS(Leads[Tempo de resposta (min)],Leads[CPF],"&lt;&gt;",Leads[Data de entrada],"&gt;="&amp;A23,Leads[Data de entrada],"&lt;"&amp;(B23+1),Leads[Tempo de resposta (min)],"&gt;=0",Leads[Tempo de resposta (min)],"&lt;&gt;"),"")</f>
        <v/>
      </c>
      <c r="G23" s="12">
        <f>COUNTIFS(Leads[CPF],"&lt;&gt;",Leads[Data de entrada],"&gt;="&amp;A23,Leads[Data de entrada],"&lt;"&amp;(B23+1),Leads[Tempo de resposta (min)],"&gt;=0",Leads[Tempo de resposta (min)],"&lt;&gt;")</f>
        <v>0</v>
      </c>
      <c r="H23" s="14">
        <f>IFERROR(D23/C23,"")</f>
        <v/>
      </c>
      <c r="I23" s="14">
        <f>IFERROR(E23/D23,"")</f>
        <v/>
      </c>
      <c r="J23" s="14">
        <f>IFERROR(E23/C23,"")</f>
        <v/>
      </c>
    </row>
    <row r="24" spans="1:10">
      <c r="A24" s="6">
        <f>DATE($B$5,13,1)</f>
        <v>0</v>
      </c>
      <c r="B24" s="5">
        <f>DATE(YEAR(A24),MONTH(A24)+1,1)-1</f>
        <v>0</v>
      </c>
      <c r="C24" s="12">
        <f>COUNTIFS(Leads[CPF],"&lt;&gt;",Leads[Data de entrada],"&gt;="&amp;A24,Leads[Data de entrada],"&lt;"&amp;(B24+1))</f>
        <v>0</v>
      </c>
      <c r="D24" s="12">
        <f>COUNTIFS(Leads[CPF],"&lt;&gt;",Leads[Data de entrada],"&gt;="&amp;A24,Leads[Data de entrada],"&lt;"&amp;(B24+1),Leads[Data do agendamento],"&gt;0")</f>
        <v>0</v>
      </c>
      <c r="E24" s="12">
        <f>COUNTIFS(Leads[CPF],"&lt;&gt;",Leads[Data de entrada],"&gt;="&amp;A24,Leads[Data de entrada],"&lt;"&amp;(B24+1),Leads[Data da conversa presencial executada],"&gt;0")</f>
        <v>0</v>
      </c>
      <c r="F24" s="13">
        <f>IFERROR(AVERAGEIFS(Leads[Tempo de resposta (min)],Leads[CPF],"&lt;&gt;",Leads[Data de entrada],"&gt;="&amp;A24,Leads[Data de entrada],"&lt;"&amp;(B24+1),Leads[Tempo de resposta (min)],"&gt;=0",Leads[Tempo de resposta (min)],"&lt;&gt;"),"")</f>
        <v/>
      </c>
      <c r="G24" s="12">
        <f>COUNTIFS(Leads[CPF],"&lt;&gt;",Leads[Data de entrada],"&gt;="&amp;A24,Leads[Data de entrada],"&lt;"&amp;(B24+1),Leads[Tempo de resposta (min)],"&gt;=0",Leads[Tempo de resposta (min)],"&lt;&gt;")</f>
        <v>0</v>
      </c>
      <c r="H24" s="14">
        <f>IFERROR(D24/C24,"")</f>
        <v/>
      </c>
      <c r="I24" s="14">
        <f>IFERROR(E24/D24,"")</f>
        <v/>
      </c>
      <c r="J24" s="14">
        <f>IFERROR(E24/C24,"")</f>
        <v/>
      </c>
    </row>
    <row r="25" spans="1:10">
      <c r="A25" s="6">
        <f>DATE($B$5,14,1)</f>
        <v>0</v>
      </c>
      <c r="B25" s="5">
        <f>DATE(YEAR(A25),MONTH(A25)+1,1)-1</f>
        <v>0</v>
      </c>
      <c r="C25" s="12">
        <f>COUNTIFS(Leads[CPF],"&lt;&gt;",Leads[Data de entrada],"&gt;="&amp;A25,Leads[Data de entrada],"&lt;"&amp;(B25+1))</f>
        <v>0</v>
      </c>
      <c r="D25" s="12">
        <f>COUNTIFS(Leads[CPF],"&lt;&gt;",Leads[Data de entrada],"&gt;="&amp;A25,Leads[Data de entrada],"&lt;"&amp;(B25+1),Leads[Data do agendamento],"&gt;0")</f>
        <v>0</v>
      </c>
      <c r="E25" s="12">
        <f>COUNTIFS(Leads[CPF],"&lt;&gt;",Leads[Data de entrada],"&gt;="&amp;A25,Leads[Data de entrada],"&lt;"&amp;(B25+1),Leads[Data da conversa presencial executada],"&gt;0")</f>
        <v>0</v>
      </c>
      <c r="F25" s="13">
        <f>IFERROR(AVERAGEIFS(Leads[Tempo de resposta (min)],Leads[CPF],"&lt;&gt;",Leads[Data de entrada],"&gt;="&amp;A25,Leads[Data de entrada],"&lt;"&amp;(B25+1),Leads[Tempo de resposta (min)],"&gt;=0",Leads[Tempo de resposta (min)],"&lt;&gt;"),"")</f>
        <v/>
      </c>
      <c r="G25" s="12">
        <f>COUNTIFS(Leads[CPF],"&lt;&gt;",Leads[Data de entrada],"&gt;="&amp;A25,Leads[Data de entrada],"&lt;"&amp;(B25+1),Leads[Tempo de resposta (min)],"&gt;=0",Leads[Tempo de resposta (min)],"&lt;&gt;")</f>
        <v>0</v>
      </c>
      <c r="H25" s="14">
        <f>IFERROR(D25/C25,"")</f>
        <v/>
      </c>
      <c r="I25" s="14">
        <f>IFERROR(E25/D25,"")</f>
        <v/>
      </c>
      <c r="J25" s="14">
        <f>IFERROR(E25/C25,"")</f>
        <v/>
      </c>
    </row>
    <row r="26" spans="1:10">
      <c r="A26" s="6">
        <f>DATE($B$5,15,1)</f>
        <v>0</v>
      </c>
      <c r="B26" s="5">
        <f>DATE(YEAR(A26),MONTH(A26)+1,1)-1</f>
        <v>0</v>
      </c>
      <c r="C26" s="12">
        <f>COUNTIFS(Leads[CPF],"&lt;&gt;",Leads[Data de entrada],"&gt;="&amp;A26,Leads[Data de entrada],"&lt;"&amp;(B26+1))</f>
        <v>0</v>
      </c>
      <c r="D26" s="12">
        <f>COUNTIFS(Leads[CPF],"&lt;&gt;",Leads[Data de entrada],"&gt;="&amp;A26,Leads[Data de entrada],"&lt;"&amp;(B26+1),Leads[Data do agendamento],"&gt;0")</f>
        <v>0</v>
      </c>
      <c r="E26" s="12">
        <f>COUNTIFS(Leads[CPF],"&lt;&gt;",Leads[Data de entrada],"&gt;="&amp;A26,Leads[Data de entrada],"&lt;"&amp;(B26+1),Leads[Data da conversa presencial executada],"&gt;0")</f>
        <v>0</v>
      </c>
      <c r="F26" s="13">
        <f>IFERROR(AVERAGEIFS(Leads[Tempo de resposta (min)],Leads[CPF],"&lt;&gt;",Leads[Data de entrada],"&gt;="&amp;A26,Leads[Data de entrada],"&lt;"&amp;(B26+1),Leads[Tempo de resposta (min)],"&gt;=0",Leads[Tempo de resposta (min)],"&lt;&gt;"),"")</f>
        <v/>
      </c>
      <c r="G26" s="12">
        <f>COUNTIFS(Leads[CPF],"&lt;&gt;",Leads[Data de entrada],"&gt;="&amp;A26,Leads[Data de entrada],"&lt;"&amp;(B26+1),Leads[Tempo de resposta (min)],"&gt;=0",Leads[Tempo de resposta (min)],"&lt;&gt;")</f>
        <v>0</v>
      </c>
      <c r="H26" s="14">
        <f>IFERROR(D26/C26,"")</f>
        <v/>
      </c>
      <c r="I26" s="14">
        <f>IFERROR(E26/D26,"")</f>
        <v/>
      </c>
      <c r="J26" s="14">
        <f>IFERROR(E26/C26,"")</f>
        <v/>
      </c>
    </row>
    <row r="27" spans="1:10">
      <c r="A27" s="6">
        <f>DATE($B$5,16,1)</f>
        <v>0</v>
      </c>
      <c r="B27" s="5">
        <f>DATE(YEAR(A27),MONTH(A27)+1,1)-1</f>
        <v>0</v>
      </c>
      <c r="C27" s="12">
        <f>COUNTIFS(Leads[CPF],"&lt;&gt;",Leads[Data de entrada],"&gt;="&amp;A27,Leads[Data de entrada],"&lt;"&amp;(B27+1))</f>
        <v>0</v>
      </c>
      <c r="D27" s="12">
        <f>COUNTIFS(Leads[CPF],"&lt;&gt;",Leads[Data de entrada],"&gt;="&amp;A27,Leads[Data de entrada],"&lt;"&amp;(B27+1),Leads[Data do agendamento],"&gt;0")</f>
        <v>0</v>
      </c>
      <c r="E27" s="12">
        <f>COUNTIFS(Leads[CPF],"&lt;&gt;",Leads[Data de entrada],"&gt;="&amp;A27,Leads[Data de entrada],"&lt;"&amp;(B27+1),Leads[Data da conversa presencial executada],"&gt;0")</f>
        <v>0</v>
      </c>
      <c r="F27" s="13">
        <f>IFERROR(AVERAGEIFS(Leads[Tempo de resposta (min)],Leads[CPF],"&lt;&gt;",Leads[Data de entrada],"&gt;="&amp;A27,Leads[Data de entrada],"&lt;"&amp;(B27+1),Leads[Tempo de resposta (min)],"&gt;=0",Leads[Tempo de resposta (min)],"&lt;&gt;"),"")</f>
        <v/>
      </c>
      <c r="G27" s="12">
        <f>COUNTIFS(Leads[CPF],"&lt;&gt;",Leads[Data de entrada],"&gt;="&amp;A27,Leads[Data de entrada],"&lt;"&amp;(B27+1),Leads[Tempo de resposta (min)],"&gt;=0",Leads[Tempo de resposta (min)],"&lt;&gt;")</f>
        <v>0</v>
      </c>
      <c r="H27" s="14">
        <f>IFERROR(D27/C27,"")</f>
        <v/>
      </c>
      <c r="I27" s="14">
        <f>IFERROR(E27/D27,"")</f>
        <v/>
      </c>
      <c r="J27" s="14">
        <f>IFERROR(E27/C27,"")</f>
        <v/>
      </c>
    </row>
    <row r="28" spans="1:10">
      <c r="A28" s="6">
        <f>DATE($B$5,17,1)</f>
        <v>0</v>
      </c>
      <c r="B28" s="5">
        <f>DATE(YEAR(A28),MONTH(A28)+1,1)-1</f>
        <v>0</v>
      </c>
      <c r="C28" s="12">
        <f>COUNTIFS(Leads[CPF],"&lt;&gt;",Leads[Data de entrada],"&gt;="&amp;A28,Leads[Data de entrada],"&lt;"&amp;(B28+1))</f>
        <v>0</v>
      </c>
      <c r="D28" s="12">
        <f>COUNTIFS(Leads[CPF],"&lt;&gt;",Leads[Data de entrada],"&gt;="&amp;A28,Leads[Data de entrada],"&lt;"&amp;(B28+1),Leads[Data do agendamento],"&gt;0")</f>
        <v>0</v>
      </c>
      <c r="E28" s="12">
        <f>COUNTIFS(Leads[CPF],"&lt;&gt;",Leads[Data de entrada],"&gt;="&amp;A28,Leads[Data de entrada],"&lt;"&amp;(B28+1),Leads[Data da conversa presencial executada],"&gt;0")</f>
        <v>0</v>
      </c>
      <c r="F28" s="13">
        <f>IFERROR(AVERAGEIFS(Leads[Tempo de resposta (min)],Leads[CPF],"&lt;&gt;",Leads[Data de entrada],"&gt;="&amp;A28,Leads[Data de entrada],"&lt;"&amp;(B28+1),Leads[Tempo de resposta (min)],"&gt;=0",Leads[Tempo de resposta (min)],"&lt;&gt;"),"")</f>
        <v/>
      </c>
      <c r="G28" s="12">
        <f>COUNTIFS(Leads[CPF],"&lt;&gt;",Leads[Data de entrada],"&gt;="&amp;A28,Leads[Data de entrada],"&lt;"&amp;(B28+1),Leads[Tempo de resposta (min)],"&gt;=0",Leads[Tempo de resposta (min)],"&lt;&gt;")</f>
        <v>0</v>
      </c>
      <c r="H28" s="14">
        <f>IFERROR(D28/C28,"")</f>
        <v/>
      </c>
      <c r="I28" s="14">
        <f>IFERROR(E28/D28,"")</f>
        <v/>
      </c>
      <c r="J28" s="14">
        <f>IFERROR(E28/C28,"")</f>
        <v/>
      </c>
    </row>
    <row r="29" spans="1:10">
      <c r="A29" s="6">
        <f>DATE($B$5,18,1)</f>
        <v>0</v>
      </c>
      <c r="B29" s="5">
        <f>DATE(YEAR(A29),MONTH(A29)+1,1)-1</f>
        <v>0</v>
      </c>
      <c r="C29" s="12">
        <f>COUNTIFS(Leads[CPF],"&lt;&gt;",Leads[Data de entrada],"&gt;="&amp;A29,Leads[Data de entrada],"&lt;"&amp;(B29+1))</f>
        <v>0</v>
      </c>
      <c r="D29" s="12">
        <f>COUNTIFS(Leads[CPF],"&lt;&gt;",Leads[Data de entrada],"&gt;="&amp;A29,Leads[Data de entrada],"&lt;"&amp;(B29+1),Leads[Data do agendamento],"&gt;0")</f>
        <v>0</v>
      </c>
      <c r="E29" s="12">
        <f>COUNTIFS(Leads[CPF],"&lt;&gt;",Leads[Data de entrada],"&gt;="&amp;A29,Leads[Data de entrada],"&lt;"&amp;(B29+1),Leads[Data da conversa presencial executada],"&gt;0")</f>
        <v>0</v>
      </c>
      <c r="F29" s="13">
        <f>IFERROR(AVERAGEIFS(Leads[Tempo de resposta (min)],Leads[CPF],"&lt;&gt;",Leads[Data de entrada],"&gt;="&amp;A29,Leads[Data de entrada],"&lt;"&amp;(B29+1),Leads[Tempo de resposta (min)],"&gt;=0",Leads[Tempo de resposta (min)],"&lt;&gt;"),"")</f>
        <v/>
      </c>
      <c r="G29" s="12">
        <f>COUNTIFS(Leads[CPF],"&lt;&gt;",Leads[Data de entrada],"&gt;="&amp;A29,Leads[Data de entrada],"&lt;"&amp;(B29+1),Leads[Tempo de resposta (min)],"&gt;=0",Leads[Tempo de resposta (min)],"&lt;&gt;")</f>
        <v>0</v>
      </c>
      <c r="H29" s="14">
        <f>IFERROR(D29/C29,"")</f>
        <v/>
      </c>
      <c r="I29" s="14">
        <f>IFERROR(E29/D29,"")</f>
        <v/>
      </c>
      <c r="J29" s="14">
        <f>IFERROR(E29/C29,"")</f>
        <v/>
      </c>
    </row>
    <row r="30" spans="1:10">
      <c r="A30" s="6">
        <f>DATE($B$5,19,1)</f>
        <v>0</v>
      </c>
      <c r="B30" s="5">
        <f>DATE(YEAR(A30),MONTH(A30)+1,1)-1</f>
        <v>0</v>
      </c>
      <c r="C30" s="12">
        <f>COUNTIFS(Leads[CPF],"&lt;&gt;",Leads[Data de entrada],"&gt;="&amp;A30,Leads[Data de entrada],"&lt;"&amp;(B30+1))</f>
        <v>0</v>
      </c>
      <c r="D30" s="12">
        <f>COUNTIFS(Leads[CPF],"&lt;&gt;",Leads[Data de entrada],"&gt;="&amp;A30,Leads[Data de entrada],"&lt;"&amp;(B30+1),Leads[Data do agendamento],"&gt;0")</f>
        <v>0</v>
      </c>
      <c r="E30" s="12">
        <f>COUNTIFS(Leads[CPF],"&lt;&gt;",Leads[Data de entrada],"&gt;="&amp;A30,Leads[Data de entrada],"&lt;"&amp;(B30+1),Leads[Data da conversa presencial executada],"&gt;0")</f>
        <v>0</v>
      </c>
      <c r="F30" s="13">
        <f>IFERROR(AVERAGEIFS(Leads[Tempo de resposta (min)],Leads[CPF],"&lt;&gt;",Leads[Data de entrada],"&gt;="&amp;A30,Leads[Data de entrada],"&lt;"&amp;(B30+1),Leads[Tempo de resposta (min)],"&gt;=0",Leads[Tempo de resposta (min)],"&lt;&gt;"),"")</f>
        <v/>
      </c>
      <c r="G30" s="12">
        <f>COUNTIFS(Leads[CPF],"&lt;&gt;",Leads[Data de entrada],"&gt;="&amp;A30,Leads[Data de entrada],"&lt;"&amp;(B30+1),Leads[Tempo de resposta (min)],"&gt;=0",Leads[Tempo de resposta (min)],"&lt;&gt;")</f>
        <v>0</v>
      </c>
      <c r="H30" s="14">
        <f>IFERROR(D30/C30,"")</f>
        <v/>
      </c>
      <c r="I30" s="14">
        <f>IFERROR(E30/D30,"")</f>
        <v/>
      </c>
      <c r="J30" s="14">
        <f>IFERROR(E30/C30,"")</f>
        <v/>
      </c>
    </row>
    <row r="31" spans="1:10">
      <c r="A31" s="6">
        <f>DATE($B$5,20,1)</f>
        <v>0</v>
      </c>
      <c r="B31" s="5">
        <f>DATE(YEAR(A31),MONTH(A31)+1,1)-1</f>
        <v>0</v>
      </c>
      <c r="C31" s="12">
        <f>COUNTIFS(Leads[CPF],"&lt;&gt;",Leads[Data de entrada],"&gt;="&amp;A31,Leads[Data de entrada],"&lt;"&amp;(B31+1))</f>
        <v>0</v>
      </c>
      <c r="D31" s="12">
        <f>COUNTIFS(Leads[CPF],"&lt;&gt;",Leads[Data de entrada],"&gt;="&amp;A31,Leads[Data de entrada],"&lt;"&amp;(B31+1),Leads[Data do agendamento],"&gt;0")</f>
        <v>0</v>
      </c>
      <c r="E31" s="12">
        <f>COUNTIFS(Leads[CPF],"&lt;&gt;",Leads[Data de entrada],"&gt;="&amp;A31,Leads[Data de entrada],"&lt;"&amp;(B31+1),Leads[Data da conversa presencial executada],"&gt;0")</f>
        <v>0</v>
      </c>
      <c r="F31" s="13">
        <f>IFERROR(AVERAGEIFS(Leads[Tempo de resposta (min)],Leads[CPF],"&lt;&gt;",Leads[Data de entrada],"&gt;="&amp;A31,Leads[Data de entrada],"&lt;"&amp;(B31+1),Leads[Tempo de resposta (min)],"&gt;=0",Leads[Tempo de resposta (min)],"&lt;&gt;"),"")</f>
        <v/>
      </c>
      <c r="G31" s="12">
        <f>COUNTIFS(Leads[CPF],"&lt;&gt;",Leads[Data de entrada],"&gt;="&amp;A31,Leads[Data de entrada],"&lt;"&amp;(B31+1),Leads[Tempo de resposta (min)],"&gt;=0",Leads[Tempo de resposta (min)],"&lt;&gt;")</f>
        <v>0</v>
      </c>
      <c r="H31" s="14">
        <f>IFERROR(D31/C31,"")</f>
        <v/>
      </c>
      <c r="I31" s="14">
        <f>IFERROR(E31/D31,"")</f>
        <v/>
      </c>
      <c r="J31" s="14">
        <f>IFERROR(E31/C31,"")</f>
        <v/>
      </c>
    </row>
    <row r="32" spans="1:10">
      <c r="A32" s="6">
        <f>DATE($B$5,21,1)</f>
        <v>0</v>
      </c>
      <c r="B32" s="5">
        <f>DATE(YEAR(A32),MONTH(A32)+1,1)-1</f>
        <v>0</v>
      </c>
      <c r="C32" s="12">
        <f>COUNTIFS(Leads[CPF],"&lt;&gt;",Leads[Data de entrada],"&gt;="&amp;A32,Leads[Data de entrada],"&lt;"&amp;(B32+1))</f>
        <v>0</v>
      </c>
      <c r="D32" s="12">
        <f>COUNTIFS(Leads[CPF],"&lt;&gt;",Leads[Data de entrada],"&gt;="&amp;A32,Leads[Data de entrada],"&lt;"&amp;(B32+1),Leads[Data do agendamento],"&gt;0")</f>
        <v>0</v>
      </c>
      <c r="E32" s="12">
        <f>COUNTIFS(Leads[CPF],"&lt;&gt;",Leads[Data de entrada],"&gt;="&amp;A32,Leads[Data de entrada],"&lt;"&amp;(B32+1),Leads[Data da conversa presencial executada],"&gt;0")</f>
        <v>0</v>
      </c>
      <c r="F32" s="13">
        <f>IFERROR(AVERAGEIFS(Leads[Tempo de resposta (min)],Leads[CPF],"&lt;&gt;",Leads[Data de entrada],"&gt;="&amp;A32,Leads[Data de entrada],"&lt;"&amp;(B32+1),Leads[Tempo de resposta (min)],"&gt;=0",Leads[Tempo de resposta (min)],"&lt;&gt;"),"")</f>
        <v/>
      </c>
      <c r="G32" s="12">
        <f>COUNTIFS(Leads[CPF],"&lt;&gt;",Leads[Data de entrada],"&gt;="&amp;A32,Leads[Data de entrada],"&lt;"&amp;(B32+1),Leads[Tempo de resposta (min)],"&gt;=0",Leads[Tempo de resposta (min)],"&lt;&gt;")</f>
        <v>0</v>
      </c>
      <c r="H32" s="14">
        <f>IFERROR(D32/C32,"")</f>
        <v/>
      </c>
      <c r="I32" s="14">
        <f>IFERROR(E32/D32,"")</f>
        <v/>
      </c>
      <c r="J32" s="14">
        <f>IFERROR(E32/C32,"")</f>
        <v/>
      </c>
    </row>
    <row r="33" spans="1:10">
      <c r="A33" s="6">
        <f>DATE($B$5,22,1)</f>
        <v>0</v>
      </c>
      <c r="B33" s="5">
        <f>DATE(YEAR(A33),MONTH(A33)+1,1)-1</f>
        <v>0</v>
      </c>
      <c r="C33" s="12">
        <f>COUNTIFS(Leads[CPF],"&lt;&gt;",Leads[Data de entrada],"&gt;="&amp;A33,Leads[Data de entrada],"&lt;"&amp;(B33+1))</f>
        <v>0</v>
      </c>
      <c r="D33" s="12">
        <f>COUNTIFS(Leads[CPF],"&lt;&gt;",Leads[Data de entrada],"&gt;="&amp;A33,Leads[Data de entrada],"&lt;"&amp;(B33+1),Leads[Data do agendamento],"&gt;0")</f>
        <v>0</v>
      </c>
      <c r="E33" s="12">
        <f>COUNTIFS(Leads[CPF],"&lt;&gt;",Leads[Data de entrada],"&gt;="&amp;A33,Leads[Data de entrada],"&lt;"&amp;(B33+1),Leads[Data da conversa presencial executada],"&gt;0")</f>
        <v>0</v>
      </c>
      <c r="F33" s="13">
        <f>IFERROR(AVERAGEIFS(Leads[Tempo de resposta (min)],Leads[CPF],"&lt;&gt;",Leads[Data de entrada],"&gt;="&amp;A33,Leads[Data de entrada],"&lt;"&amp;(B33+1),Leads[Tempo de resposta (min)],"&gt;=0",Leads[Tempo de resposta (min)],"&lt;&gt;"),"")</f>
        <v/>
      </c>
      <c r="G33" s="12">
        <f>COUNTIFS(Leads[CPF],"&lt;&gt;",Leads[Data de entrada],"&gt;="&amp;A33,Leads[Data de entrada],"&lt;"&amp;(B33+1),Leads[Tempo de resposta (min)],"&gt;=0",Leads[Tempo de resposta (min)],"&lt;&gt;")</f>
        <v>0</v>
      </c>
      <c r="H33" s="14">
        <f>IFERROR(D33/C33,"")</f>
        <v/>
      </c>
      <c r="I33" s="14">
        <f>IFERROR(E33/D33,"")</f>
        <v/>
      </c>
      <c r="J33" s="14">
        <f>IFERROR(E33/C33,"")</f>
        <v/>
      </c>
    </row>
    <row r="34" spans="1:10">
      <c r="A34" s="6">
        <f>DATE($B$5,23,1)</f>
        <v>0</v>
      </c>
      <c r="B34" s="5">
        <f>DATE(YEAR(A34),MONTH(A34)+1,1)-1</f>
        <v>0</v>
      </c>
      <c r="C34" s="12">
        <f>COUNTIFS(Leads[CPF],"&lt;&gt;",Leads[Data de entrada],"&gt;="&amp;A34,Leads[Data de entrada],"&lt;"&amp;(B34+1))</f>
        <v>0</v>
      </c>
      <c r="D34" s="12">
        <f>COUNTIFS(Leads[CPF],"&lt;&gt;",Leads[Data de entrada],"&gt;="&amp;A34,Leads[Data de entrada],"&lt;"&amp;(B34+1),Leads[Data do agendamento],"&gt;0")</f>
        <v>0</v>
      </c>
      <c r="E34" s="12">
        <f>COUNTIFS(Leads[CPF],"&lt;&gt;",Leads[Data de entrada],"&gt;="&amp;A34,Leads[Data de entrada],"&lt;"&amp;(B34+1),Leads[Data da conversa presencial executada],"&gt;0")</f>
        <v>0</v>
      </c>
      <c r="F34" s="13">
        <f>IFERROR(AVERAGEIFS(Leads[Tempo de resposta (min)],Leads[CPF],"&lt;&gt;",Leads[Data de entrada],"&gt;="&amp;A34,Leads[Data de entrada],"&lt;"&amp;(B34+1),Leads[Tempo de resposta (min)],"&gt;=0",Leads[Tempo de resposta (min)],"&lt;&gt;"),"")</f>
        <v/>
      </c>
      <c r="G34" s="12">
        <f>COUNTIFS(Leads[CPF],"&lt;&gt;",Leads[Data de entrada],"&gt;="&amp;A34,Leads[Data de entrada],"&lt;"&amp;(B34+1),Leads[Tempo de resposta (min)],"&gt;=0",Leads[Tempo de resposta (min)],"&lt;&gt;")</f>
        <v>0</v>
      </c>
      <c r="H34" s="14">
        <f>IFERROR(D34/C34,"")</f>
        <v/>
      </c>
      <c r="I34" s="14">
        <f>IFERROR(E34/D34,"")</f>
        <v/>
      </c>
      <c r="J34" s="14">
        <f>IFERROR(E34/C34,"")</f>
        <v/>
      </c>
    </row>
    <row r="35" spans="1:10">
      <c r="A35" s="6">
        <f>DATE($B$5,24,1)</f>
        <v>0</v>
      </c>
      <c r="B35" s="5">
        <f>DATE(YEAR(A35),MONTH(A35)+1,1)-1</f>
        <v>0</v>
      </c>
      <c r="C35" s="12">
        <f>COUNTIFS(Leads[CPF],"&lt;&gt;",Leads[Data de entrada],"&gt;="&amp;A35,Leads[Data de entrada],"&lt;"&amp;(B35+1))</f>
        <v>0</v>
      </c>
      <c r="D35" s="12">
        <f>COUNTIFS(Leads[CPF],"&lt;&gt;",Leads[Data de entrada],"&gt;="&amp;A35,Leads[Data de entrada],"&lt;"&amp;(B35+1),Leads[Data do agendamento],"&gt;0")</f>
        <v>0</v>
      </c>
      <c r="E35" s="12">
        <f>COUNTIFS(Leads[CPF],"&lt;&gt;",Leads[Data de entrada],"&gt;="&amp;A35,Leads[Data de entrada],"&lt;"&amp;(B35+1),Leads[Data da conversa presencial executada],"&gt;0")</f>
        <v>0</v>
      </c>
      <c r="F35" s="13">
        <f>IFERROR(AVERAGEIFS(Leads[Tempo de resposta (min)],Leads[CPF],"&lt;&gt;",Leads[Data de entrada],"&gt;="&amp;A35,Leads[Data de entrada],"&lt;"&amp;(B35+1),Leads[Tempo de resposta (min)],"&gt;=0",Leads[Tempo de resposta (min)],"&lt;&gt;"),"")</f>
        <v/>
      </c>
      <c r="G35" s="12">
        <f>COUNTIFS(Leads[CPF],"&lt;&gt;",Leads[Data de entrada],"&gt;="&amp;A35,Leads[Data de entrada],"&lt;"&amp;(B35+1),Leads[Tempo de resposta (min)],"&gt;=0",Leads[Tempo de resposta (min)],"&lt;&gt;")</f>
        <v>0</v>
      </c>
      <c r="H35" s="14">
        <f>IFERROR(D35/C35,"")</f>
        <v/>
      </c>
      <c r="I35" s="14">
        <f>IFERROR(E35/D35,"")</f>
        <v/>
      </c>
      <c r="J35" s="14">
        <f>IFERROR(E35/C35,"")</f>
        <v/>
      </c>
    </row>
    <row r="36" spans="1:10">
      <c r="A36" s="6">
        <f>DATE($B$5,25,1)</f>
        <v>0</v>
      </c>
      <c r="B36" s="5">
        <f>DATE(YEAR(A36),MONTH(A36)+1,1)-1</f>
        <v>0</v>
      </c>
      <c r="C36" s="12">
        <f>COUNTIFS(Leads[CPF],"&lt;&gt;",Leads[Data de entrada],"&gt;="&amp;A36,Leads[Data de entrada],"&lt;"&amp;(B36+1))</f>
        <v>0</v>
      </c>
      <c r="D36" s="12">
        <f>COUNTIFS(Leads[CPF],"&lt;&gt;",Leads[Data de entrada],"&gt;="&amp;A36,Leads[Data de entrada],"&lt;"&amp;(B36+1),Leads[Data do agendamento],"&gt;0")</f>
        <v>0</v>
      </c>
      <c r="E36" s="12">
        <f>COUNTIFS(Leads[CPF],"&lt;&gt;",Leads[Data de entrada],"&gt;="&amp;A36,Leads[Data de entrada],"&lt;"&amp;(B36+1),Leads[Data da conversa presencial executada],"&gt;0")</f>
        <v>0</v>
      </c>
      <c r="F36" s="13">
        <f>IFERROR(AVERAGEIFS(Leads[Tempo de resposta (min)],Leads[CPF],"&lt;&gt;",Leads[Data de entrada],"&gt;="&amp;A36,Leads[Data de entrada],"&lt;"&amp;(B36+1),Leads[Tempo de resposta (min)],"&gt;=0",Leads[Tempo de resposta (min)],"&lt;&gt;"),"")</f>
        <v/>
      </c>
      <c r="G36" s="12">
        <f>COUNTIFS(Leads[CPF],"&lt;&gt;",Leads[Data de entrada],"&gt;="&amp;A36,Leads[Data de entrada],"&lt;"&amp;(B36+1),Leads[Tempo de resposta (min)],"&gt;=0",Leads[Tempo de resposta (min)],"&lt;&gt;")</f>
        <v>0</v>
      </c>
      <c r="H36" s="14">
        <f>IFERROR(D36/C36,"")</f>
        <v/>
      </c>
      <c r="I36" s="14">
        <f>IFERROR(E36/D36,"")</f>
        <v/>
      </c>
      <c r="J36" s="14">
        <f>IFERROR(E36/C36,"")</f>
        <v/>
      </c>
    </row>
    <row r="37" spans="1:10">
      <c r="A37" s="6">
        <f>DATE($B$5,26,1)</f>
        <v>0</v>
      </c>
      <c r="B37" s="5">
        <f>DATE(YEAR(A37),MONTH(A37)+1,1)-1</f>
        <v>0</v>
      </c>
      <c r="C37" s="12">
        <f>COUNTIFS(Leads[CPF],"&lt;&gt;",Leads[Data de entrada],"&gt;="&amp;A37,Leads[Data de entrada],"&lt;"&amp;(B37+1))</f>
        <v>0</v>
      </c>
      <c r="D37" s="12">
        <f>COUNTIFS(Leads[CPF],"&lt;&gt;",Leads[Data de entrada],"&gt;="&amp;A37,Leads[Data de entrada],"&lt;"&amp;(B37+1),Leads[Data do agendamento],"&gt;0")</f>
        <v>0</v>
      </c>
      <c r="E37" s="12">
        <f>COUNTIFS(Leads[CPF],"&lt;&gt;",Leads[Data de entrada],"&gt;="&amp;A37,Leads[Data de entrada],"&lt;"&amp;(B37+1),Leads[Data da conversa presencial executada],"&gt;0")</f>
        <v>0</v>
      </c>
      <c r="F37" s="13">
        <f>IFERROR(AVERAGEIFS(Leads[Tempo de resposta (min)],Leads[CPF],"&lt;&gt;",Leads[Data de entrada],"&gt;="&amp;A37,Leads[Data de entrada],"&lt;"&amp;(B37+1),Leads[Tempo de resposta (min)],"&gt;=0",Leads[Tempo de resposta (min)],"&lt;&gt;"),"")</f>
        <v/>
      </c>
      <c r="G37" s="12">
        <f>COUNTIFS(Leads[CPF],"&lt;&gt;",Leads[Data de entrada],"&gt;="&amp;A37,Leads[Data de entrada],"&lt;"&amp;(B37+1),Leads[Tempo de resposta (min)],"&gt;=0",Leads[Tempo de resposta (min)],"&lt;&gt;")</f>
        <v>0</v>
      </c>
      <c r="H37" s="14">
        <f>IFERROR(D37/C37,"")</f>
        <v/>
      </c>
      <c r="I37" s="14">
        <f>IFERROR(E37/D37,"")</f>
        <v/>
      </c>
      <c r="J37" s="14">
        <f>IFERROR(E37/C37,"")</f>
        <v/>
      </c>
    </row>
    <row r="38" spans="1:10">
      <c r="A38" s="6">
        <f>DATE($B$5,27,1)</f>
        <v>0</v>
      </c>
      <c r="B38" s="5">
        <f>DATE(YEAR(A38),MONTH(A38)+1,1)-1</f>
        <v>0</v>
      </c>
      <c r="C38" s="12">
        <f>COUNTIFS(Leads[CPF],"&lt;&gt;",Leads[Data de entrada],"&gt;="&amp;A38,Leads[Data de entrada],"&lt;"&amp;(B38+1))</f>
        <v>0</v>
      </c>
      <c r="D38" s="12">
        <f>COUNTIFS(Leads[CPF],"&lt;&gt;",Leads[Data de entrada],"&gt;="&amp;A38,Leads[Data de entrada],"&lt;"&amp;(B38+1),Leads[Data do agendamento],"&gt;0")</f>
        <v>0</v>
      </c>
      <c r="E38" s="12">
        <f>COUNTIFS(Leads[CPF],"&lt;&gt;",Leads[Data de entrada],"&gt;="&amp;A38,Leads[Data de entrada],"&lt;"&amp;(B38+1),Leads[Data da conversa presencial executada],"&gt;0")</f>
        <v>0</v>
      </c>
      <c r="F38" s="13">
        <f>IFERROR(AVERAGEIFS(Leads[Tempo de resposta (min)],Leads[CPF],"&lt;&gt;",Leads[Data de entrada],"&gt;="&amp;A38,Leads[Data de entrada],"&lt;"&amp;(B38+1),Leads[Tempo de resposta (min)],"&gt;=0",Leads[Tempo de resposta (min)],"&lt;&gt;"),"")</f>
        <v/>
      </c>
      <c r="G38" s="12">
        <f>COUNTIFS(Leads[CPF],"&lt;&gt;",Leads[Data de entrada],"&gt;="&amp;A38,Leads[Data de entrada],"&lt;"&amp;(B38+1),Leads[Tempo de resposta (min)],"&gt;=0",Leads[Tempo de resposta (min)],"&lt;&gt;")</f>
        <v>0</v>
      </c>
      <c r="H38" s="14">
        <f>IFERROR(D38/C38,"")</f>
        <v/>
      </c>
      <c r="I38" s="14">
        <f>IFERROR(E38/D38,"")</f>
        <v/>
      </c>
      <c r="J38" s="14">
        <f>IFERROR(E38/C38,"")</f>
        <v/>
      </c>
    </row>
    <row r="39" spans="1:10">
      <c r="A39" s="6">
        <f>DATE($B$5,28,1)</f>
        <v>0</v>
      </c>
      <c r="B39" s="5">
        <f>DATE(YEAR(A39),MONTH(A39)+1,1)-1</f>
        <v>0</v>
      </c>
      <c r="C39" s="12">
        <f>COUNTIFS(Leads[CPF],"&lt;&gt;",Leads[Data de entrada],"&gt;="&amp;A39,Leads[Data de entrada],"&lt;"&amp;(B39+1))</f>
        <v>0</v>
      </c>
      <c r="D39" s="12">
        <f>COUNTIFS(Leads[CPF],"&lt;&gt;",Leads[Data de entrada],"&gt;="&amp;A39,Leads[Data de entrada],"&lt;"&amp;(B39+1),Leads[Data do agendamento],"&gt;0")</f>
        <v>0</v>
      </c>
      <c r="E39" s="12">
        <f>COUNTIFS(Leads[CPF],"&lt;&gt;",Leads[Data de entrada],"&gt;="&amp;A39,Leads[Data de entrada],"&lt;"&amp;(B39+1),Leads[Data da conversa presencial executada],"&gt;0")</f>
        <v>0</v>
      </c>
      <c r="F39" s="13">
        <f>IFERROR(AVERAGEIFS(Leads[Tempo de resposta (min)],Leads[CPF],"&lt;&gt;",Leads[Data de entrada],"&gt;="&amp;A39,Leads[Data de entrada],"&lt;"&amp;(B39+1),Leads[Tempo de resposta (min)],"&gt;=0",Leads[Tempo de resposta (min)],"&lt;&gt;"),"")</f>
        <v/>
      </c>
      <c r="G39" s="12">
        <f>COUNTIFS(Leads[CPF],"&lt;&gt;",Leads[Data de entrada],"&gt;="&amp;A39,Leads[Data de entrada],"&lt;"&amp;(B39+1),Leads[Tempo de resposta (min)],"&gt;=0",Leads[Tempo de resposta (min)],"&lt;&gt;")</f>
        <v>0</v>
      </c>
      <c r="H39" s="14">
        <f>IFERROR(D39/C39,"")</f>
        <v/>
      </c>
      <c r="I39" s="14">
        <f>IFERROR(E39/D39,"")</f>
        <v/>
      </c>
      <c r="J39" s="14">
        <f>IFERROR(E39/C39,"")</f>
        <v/>
      </c>
    </row>
    <row r="40" spans="1:10">
      <c r="A40" s="6">
        <f>DATE($B$5,29,1)</f>
        <v>0</v>
      </c>
      <c r="B40" s="5">
        <f>DATE(YEAR(A40),MONTH(A40)+1,1)-1</f>
        <v>0</v>
      </c>
      <c r="C40" s="12">
        <f>COUNTIFS(Leads[CPF],"&lt;&gt;",Leads[Data de entrada],"&gt;="&amp;A40,Leads[Data de entrada],"&lt;"&amp;(B40+1))</f>
        <v>0</v>
      </c>
      <c r="D40" s="12">
        <f>COUNTIFS(Leads[CPF],"&lt;&gt;",Leads[Data de entrada],"&gt;="&amp;A40,Leads[Data de entrada],"&lt;"&amp;(B40+1),Leads[Data do agendamento],"&gt;0")</f>
        <v>0</v>
      </c>
      <c r="E40" s="12">
        <f>COUNTIFS(Leads[CPF],"&lt;&gt;",Leads[Data de entrada],"&gt;="&amp;A40,Leads[Data de entrada],"&lt;"&amp;(B40+1),Leads[Data da conversa presencial executada],"&gt;0")</f>
        <v>0</v>
      </c>
      <c r="F40" s="13">
        <f>IFERROR(AVERAGEIFS(Leads[Tempo de resposta (min)],Leads[CPF],"&lt;&gt;",Leads[Data de entrada],"&gt;="&amp;A40,Leads[Data de entrada],"&lt;"&amp;(B40+1),Leads[Tempo de resposta (min)],"&gt;=0",Leads[Tempo de resposta (min)],"&lt;&gt;"),"")</f>
        <v/>
      </c>
      <c r="G40" s="12">
        <f>COUNTIFS(Leads[CPF],"&lt;&gt;",Leads[Data de entrada],"&gt;="&amp;A40,Leads[Data de entrada],"&lt;"&amp;(B40+1),Leads[Tempo de resposta (min)],"&gt;=0",Leads[Tempo de resposta (min)],"&lt;&gt;")</f>
        <v>0</v>
      </c>
      <c r="H40" s="14">
        <f>IFERROR(D40/C40,"")</f>
        <v/>
      </c>
      <c r="I40" s="14">
        <f>IFERROR(E40/D40,"")</f>
        <v/>
      </c>
      <c r="J40" s="14">
        <f>IFERROR(E40/C40,"")</f>
        <v/>
      </c>
    </row>
    <row r="41" spans="1:10">
      <c r="A41" s="6">
        <f>DATE($B$5,30,1)</f>
        <v>0</v>
      </c>
      <c r="B41" s="5">
        <f>DATE(YEAR(A41),MONTH(A41)+1,1)-1</f>
        <v>0</v>
      </c>
      <c r="C41" s="12">
        <f>COUNTIFS(Leads[CPF],"&lt;&gt;",Leads[Data de entrada],"&gt;="&amp;A41,Leads[Data de entrada],"&lt;"&amp;(B41+1))</f>
        <v>0</v>
      </c>
      <c r="D41" s="12">
        <f>COUNTIFS(Leads[CPF],"&lt;&gt;",Leads[Data de entrada],"&gt;="&amp;A41,Leads[Data de entrada],"&lt;"&amp;(B41+1),Leads[Data do agendamento],"&gt;0")</f>
        <v>0</v>
      </c>
      <c r="E41" s="12">
        <f>COUNTIFS(Leads[CPF],"&lt;&gt;",Leads[Data de entrada],"&gt;="&amp;A41,Leads[Data de entrada],"&lt;"&amp;(B41+1),Leads[Data da conversa presencial executada],"&gt;0")</f>
        <v>0</v>
      </c>
      <c r="F41" s="13">
        <f>IFERROR(AVERAGEIFS(Leads[Tempo de resposta (min)],Leads[CPF],"&lt;&gt;",Leads[Data de entrada],"&gt;="&amp;A41,Leads[Data de entrada],"&lt;"&amp;(B41+1),Leads[Tempo de resposta (min)],"&gt;=0",Leads[Tempo de resposta (min)],"&lt;&gt;"),"")</f>
        <v/>
      </c>
      <c r="G41" s="12">
        <f>COUNTIFS(Leads[CPF],"&lt;&gt;",Leads[Data de entrada],"&gt;="&amp;A41,Leads[Data de entrada],"&lt;"&amp;(B41+1),Leads[Tempo de resposta (min)],"&gt;=0",Leads[Tempo de resposta (min)],"&lt;&gt;")</f>
        <v>0</v>
      </c>
      <c r="H41" s="14">
        <f>IFERROR(D41/C41,"")</f>
        <v/>
      </c>
      <c r="I41" s="14">
        <f>IFERROR(E41/D41,"")</f>
        <v/>
      </c>
      <c r="J41" s="14">
        <f>IFERROR(E41/C41,"")</f>
        <v/>
      </c>
    </row>
    <row r="42" spans="1:10">
      <c r="A42" s="6">
        <f>DATE($B$5,31,1)</f>
        <v>0</v>
      </c>
      <c r="B42" s="5">
        <f>DATE(YEAR(A42),MONTH(A42)+1,1)-1</f>
        <v>0</v>
      </c>
      <c r="C42" s="12">
        <f>COUNTIFS(Leads[CPF],"&lt;&gt;",Leads[Data de entrada],"&gt;="&amp;A42,Leads[Data de entrada],"&lt;"&amp;(B42+1))</f>
        <v>0</v>
      </c>
      <c r="D42" s="12">
        <f>COUNTIFS(Leads[CPF],"&lt;&gt;",Leads[Data de entrada],"&gt;="&amp;A42,Leads[Data de entrada],"&lt;"&amp;(B42+1),Leads[Data do agendamento],"&gt;0")</f>
        <v>0</v>
      </c>
      <c r="E42" s="12">
        <f>COUNTIFS(Leads[CPF],"&lt;&gt;",Leads[Data de entrada],"&gt;="&amp;A42,Leads[Data de entrada],"&lt;"&amp;(B42+1),Leads[Data da conversa presencial executada],"&gt;0")</f>
        <v>0</v>
      </c>
      <c r="F42" s="13">
        <f>IFERROR(AVERAGEIFS(Leads[Tempo de resposta (min)],Leads[CPF],"&lt;&gt;",Leads[Data de entrada],"&gt;="&amp;A42,Leads[Data de entrada],"&lt;"&amp;(B42+1),Leads[Tempo de resposta (min)],"&gt;=0",Leads[Tempo de resposta (min)],"&lt;&gt;"),"")</f>
        <v/>
      </c>
      <c r="G42" s="12">
        <f>COUNTIFS(Leads[CPF],"&lt;&gt;",Leads[Data de entrada],"&gt;="&amp;A42,Leads[Data de entrada],"&lt;"&amp;(B42+1),Leads[Tempo de resposta (min)],"&gt;=0",Leads[Tempo de resposta (min)],"&lt;&gt;")</f>
        <v>0</v>
      </c>
      <c r="H42" s="14">
        <f>IFERROR(D42/C42,"")</f>
        <v/>
      </c>
      <c r="I42" s="14">
        <f>IFERROR(E42/D42,"")</f>
        <v/>
      </c>
      <c r="J42" s="14">
        <f>IFERROR(E42/C42,"")</f>
        <v/>
      </c>
    </row>
    <row r="43" spans="1:10">
      <c r="A43" s="6">
        <f>DATE($B$5,32,1)</f>
        <v>0</v>
      </c>
      <c r="B43" s="5">
        <f>DATE(YEAR(A43),MONTH(A43)+1,1)-1</f>
        <v>0</v>
      </c>
      <c r="C43" s="12">
        <f>COUNTIFS(Leads[CPF],"&lt;&gt;",Leads[Data de entrada],"&gt;="&amp;A43,Leads[Data de entrada],"&lt;"&amp;(B43+1))</f>
        <v>0</v>
      </c>
      <c r="D43" s="12">
        <f>COUNTIFS(Leads[CPF],"&lt;&gt;",Leads[Data de entrada],"&gt;="&amp;A43,Leads[Data de entrada],"&lt;"&amp;(B43+1),Leads[Data do agendamento],"&gt;0")</f>
        <v>0</v>
      </c>
      <c r="E43" s="12">
        <f>COUNTIFS(Leads[CPF],"&lt;&gt;",Leads[Data de entrada],"&gt;="&amp;A43,Leads[Data de entrada],"&lt;"&amp;(B43+1),Leads[Data da conversa presencial executada],"&gt;0")</f>
        <v>0</v>
      </c>
      <c r="F43" s="13">
        <f>IFERROR(AVERAGEIFS(Leads[Tempo de resposta (min)],Leads[CPF],"&lt;&gt;",Leads[Data de entrada],"&gt;="&amp;A43,Leads[Data de entrada],"&lt;"&amp;(B43+1),Leads[Tempo de resposta (min)],"&gt;=0",Leads[Tempo de resposta (min)],"&lt;&gt;"),"")</f>
        <v/>
      </c>
      <c r="G43" s="12">
        <f>COUNTIFS(Leads[CPF],"&lt;&gt;",Leads[Data de entrada],"&gt;="&amp;A43,Leads[Data de entrada],"&lt;"&amp;(B43+1),Leads[Tempo de resposta (min)],"&gt;=0",Leads[Tempo de resposta (min)],"&lt;&gt;")</f>
        <v>0</v>
      </c>
      <c r="H43" s="14">
        <f>IFERROR(D43/C43,"")</f>
        <v/>
      </c>
      <c r="I43" s="14">
        <f>IFERROR(E43/D43,"")</f>
        <v/>
      </c>
      <c r="J43" s="14">
        <f>IFERROR(E43/C43,"")</f>
        <v/>
      </c>
    </row>
    <row r="44" spans="1:10">
      <c r="A44" s="6">
        <f>DATE($B$5,33,1)</f>
        <v>0</v>
      </c>
      <c r="B44" s="5">
        <f>DATE(YEAR(A44),MONTH(A44)+1,1)-1</f>
        <v>0</v>
      </c>
      <c r="C44" s="12">
        <f>COUNTIFS(Leads[CPF],"&lt;&gt;",Leads[Data de entrada],"&gt;="&amp;A44,Leads[Data de entrada],"&lt;"&amp;(B44+1))</f>
        <v>0</v>
      </c>
      <c r="D44" s="12">
        <f>COUNTIFS(Leads[CPF],"&lt;&gt;",Leads[Data de entrada],"&gt;="&amp;A44,Leads[Data de entrada],"&lt;"&amp;(B44+1),Leads[Data do agendamento],"&gt;0")</f>
        <v>0</v>
      </c>
      <c r="E44" s="12">
        <f>COUNTIFS(Leads[CPF],"&lt;&gt;",Leads[Data de entrada],"&gt;="&amp;A44,Leads[Data de entrada],"&lt;"&amp;(B44+1),Leads[Data da conversa presencial executada],"&gt;0")</f>
        <v>0</v>
      </c>
      <c r="F44" s="13">
        <f>IFERROR(AVERAGEIFS(Leads[Tempo de resposta (min)],Leads[CPF],"&lt;&gt;",Leads[Data de entrada],"&gt;="&amp;A44,Leads[Data de entrada],"&lt;"&amp;(B44+1),Leads[Tempo de resposta (min)],"&gt;=0",Leads[Tempo de resposta (min)],"&lt;&gt;"),"")</f>
        <v/>
      </c>
      <c r="G44" s="12">
        <f>COUNTIFS(Leads[CPF],"&lt;&gt;",Leads[Data de entrada],"&gt;="&amp;A44,Leads[Data de entrada],"&lt;"&amp;(B44+1),Leads[Tempo de resposta (min)],"&gt;=0",Leads[Tempo de resposta (min)],"&lt;&gt;")</f>
        <v>0</v>
      </c>
      <c r="H44" s="14">
        <f>IFERROR(D44/C44,"")</f>
        <v/>
      </c>
      <c r="I44" s="14">
        <f>IFERROR(E44/D44,"")</f>
        <v/>
      </c>
      <c r="J44" s="14">
        <f>IFERROR(E44/C44,"")</f>
        <v/>
      </c>
    </row>
    <row r="45" spans="1:10">
      <c r="A45" s="6">
        <f>DATE($B$5,34,1)</f>
        <v>0</v>
      </c>
      <c r="B45" s="5">
        <f>DATE(YEAR(A45),MONTH(A45)+1,1)-1</f>
        <v>0</v>
      </c>
      <c r="C45" s="12">
        <f>COUNTIFS(Leads[CPF],"&lt;&gt;",Leads[Data de entrada],"&gt;="&amp;A45,Leads[Data de entrada],"&lt;"&amp;(B45+1))</f>
        <v>0</v>
      </c>
      <c r="D45" s="12">
        <f>COUNTIFS(Leads[CPF],"&lt;&gt;",Leads[Data de entrada],"&gt;="&amp;A45,Leads[Data de entrada],"&lt;"&amp;(B45+1),Leads[Data do agendamento],"&gt;0")</f>
        <v>0</v>
      </c>
      <c r="E45" s="12">
        <f>COUNTIFS(Leads[CPF],"&lt;&gt;",Leads[Data de entrada],"&gt;="&amp;A45,Leads[Data de entrada],"&lt;"&amp;(B45+1),Leads[Data da conversa presencial executada],"&gt;0")</f>
        <v>0</v>
      </c>
      <c r="F45" s="13">
        <f>IFERROR(AVERAGEIFS(Leads[Tempo de resposta (min)],Leads[CPF],"&lt;&gt;",Leads[Data de entrada],"&gt;="&amp;A45,Leads[Data de entrada],"&lt;"&amp;(B45+1),Leads[Tempo de resposta (min)],"&gt;=0",Leads[Tempo de resposta (min)],"&lt;&gt;"),"")</f>
        <v/>
      </c>
      <c r="G45" s="12">
        <f>COUNTIFS(Leads[CPF],"&lt;&gt;",Leads[Data de entrada],"&gt;="&amp;A45,Leads[Data de entrada],"&lt;"&amp;(B45+1),Leads[Tempo de resposta (min)],"&gt;=0",Leads[Tempo de resposta (min)],"&lt;&gt;")</f>
        <v>0</v>
      </c>
      <c r="H45" s="14">
        <f>IFERROR(D45/C45,"")</f>
        <v/>
      </c>
      <c r="I45" s="14">
        <f>IFERROR(E45/D45,"")</f>
        <v/>
      </c>
      <c r="J45" s="14">
        <f>IFERROR(E45/C45,"")</f>
        <v/>
      </c>
    </row>
    <row r="46" spans="1:10">
      <c r="A46" s="6">
        <f>DATE($B$5,35,1)</f>
        <v>0</v>
      </c>
      <c r="B46" s="5">
        <f>DATE(YEAR(A46),MONTH(A46)+1,1)-1</f>
        <v>0</v>
      </c>
      <c r="C46" s="12">
        <f>COUNTIFS(Leads[CPF],"&lt;&gt;",Leads[Data de entrada],"&gt;="&amp;A46,Leads[Data de entrada],"&lt;"&amp;(B46+1))</f>
        <v>0</v>
      </c>
      <c r="D46" s="12">
        <f>COUNTIFS(Leads[CPF],"&lt;&gt;",Leads[Data de entrada],"&gt;="&amp;A46,Leads[Data de entrada],"&lt;"&amp;(B46+1),Leads[Data do agendamento],"&gt;0")</f>
        <v>0</v>
      </c>
      <c r="E46" s="12">
        <f>COUNTIFS(Leads[CPF],"&lt;&gt;",Leads[Data de entrada],"&gt;="&amp;A46,Leads[Data de entrada],"&lt;"&amp;(B46+1),Leads[Data da conversa presencial executada],"&gt;0")</f>
        <v>0</v>
      </c>
      <c r="F46" s="13">
        <f>IFERROR(AVERAGEIFS(Leads[Tempo de resposta (min)],Leads[CPF],"&lt;&gt;",Leads[Data de entrada],"&gt;="&amp;A46,Leads[Data de entrada],"&lt;"&amp;(B46+1),Leads[Tempo de resposta (min)],"&gt;=0",Leads[Tempo de resposta (min)],"&lt;&gt;"),"")</f>
        <v/>
      </c>
      <c r="G46" s="12">
        <f>COUNTIFS(Leads[CPF],"&lt;&gt;",Leads[Data de entrada],"&gt;="&amp;A46,Leads[Data de entrada],"&lt;"&amp;(B46+1),Leads[Tempo de resposta (min)],"&gt;=0",Leads[Tempo de resposta (min)],"&lt;&gt;")</f>
        <v>0</v>
      </c>
      <c r="H46" s="14">
        <f>IFERROR(D46/C46,"")</f>
        <v/>
      </c>
      <c r="I46" s="14">
        <f>IFERROR(E46/D46,"")</f>
        <v/>
      </c>
      <c r="J46" s="14">
        <f>IFERROR(E46/C46,"")</f>
        <v/>
      </c>
    </row>
    <row r="47" spans="1:10">
      <c r="A47" s="6">
        <f>DATE($B$5,36,1)</f>
        <v>0</v>
      </c>
      <c r="B47" s="5">
        <f>DATE(YEAR(A47),MONTH(A47)+1,1)-1</f>
        <v>0</v>
      </c>
      <c r="C47" s="12">
        <f>COUNTIFS(Leads[CPF],"&lt;&gt;",Leads[Data de entrada],"&gt;="&amp;A47,Leads[Data de entrada],"&lt;"&amp;(B47+1))</f>
        <v>0</v>
      </c>
      <c r="D47" s="12">
        <f>COUNTIFS(Leads[CPF],"&lt;&gt;",Leads[Data de entrada],"&gt;="&amp;A47,Leads[Data de entrada],"&lt;"&amp;(B47+1),Leads[Data do agendamento],"&gt;0")</f>
        <v>0</v>
      </c>
      <c r="E47" s="12">
        <f>COUNTIFS(Leads[CPF],"&lt;&gt;",Leads[Data de entrada],"&gt;="&amp;A47,Leads[Data de entrada],"&lt;"&amp;(B47+1),Leads[Data da conversa presencial executada],"&gt;0")</f>
        <v>0</v>
      </c>
      <c r="F47" s="13">
        <f>IFERROR(AVERAGEIFS(Leads[Tempo de resposta (min)],Leads[CPF],"&lt;&gt;",Leads[Data de entrada],"&gt;="&amp;A47,Leads[Data de entrada],"&lt;"&amp;(B47+1),Leads[Tempo de resposta (min)],"&gt;=0",Leads[Tempo de resposta (min)],"&lt;&gt;"),"")</f>
        <v/>
      </c>
      <c r="G47" s="12">
        <f>COUNTIFS(Leads[CPF],"&lt;&gt;",Leads[Data de entrada],"&gt;="&amp;A47,Leads[Data de entrada],"&lt;"&amp;(B47+1),Leads[Tempo de resposta (min)],"&gt;=0",Leads[Tempo de resposta (min)],"&lt;&gt;")</f>
        <v>0</v>
      </c>
      <c r="H47" s="14">
        <f>IFERROR(D47/C47,"")</f>
        <v/>
      </c>
      <c r="I47" s="14">
        <f>IFERROR(E47/D47,"")</f>
        <v/>
      </c>
      <c r="J47" s="14">
        <f>IFERROR(E47/C47,"")</f>
        <v/>
      </c>
    </row>
  </sheetData>
  <autoFilter ref="A11:J47"/>
  <mergeCells count="6">
    <mergeCell ref="A1:J2"/>
    <mergeCell ref="A3:J4"/>
    <mergeCell ref="C5:J5"/>
    <mergeCell ref="A6:J6"/>
    <mergeCell ref="A7:J7"/>
    <mergeCell ref="A8:J8"/>
  </mergeCells>
  <dataValidations count="1">
    <dataValidation type="whole" allowBlank="1" showInputMessage="1" showErrorMessage="1" sqref="B5">
      <formula1>2000</formula1>
      <formula2>2097</formula2>
    </dataValidation>
  </dataValidations>
  <pageMargins left="0.7" right="0.7" top="0.75" bottom="0.75" header="0.3" footer="0.3"/>
  <pageSetup paperSize="9" fitToHeight="0" orientation="landscape"/>
  <headerFooter>
    <oddFooter>&amp;LComercial e Captação WPP&amp;R&amp;P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Registro diário</vt:lpstr>
      <vt:lpstr>Consolidado semanal</vt:lpstr>
      <vt:lpstr>Consolidado mensal</vt:lpstr>
      <vt:lpstr>'Consolidado mensal'!Print_Area</vt:lpstr>
      <vt:lpstr>'Consolidado semanal'!Print_Area</vt:lpstr>
      <vt:lpstr>'Registro diário'!Print_Area</vt:lpstr>
      <vt:lpstr>'Consolidado mensal'!Print_Titles</vt:lpstr>
      <vt:lpstr>'Consolidado semanal'!Print_Titles</vt:lpstr>
      <vt:lpstr>'Registro diário'!Print_Titles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Controle Comercial e Captação WPP</dc:title>
  <dc:creator/>
  <dc:description>Consolidação por safra de entrada do lead.</dc:description>
  <cp:lastModifiedBy/>
  <dcterms:created xsi:type="dcterms:W3CDTF">2026-10-08T01:09:27Z</dcterms:created>
  <dcterms:modified xsi:type="dcterms:W3CDTF">2026-10-08T01:09:27Z</dcterms:modified>
</cp:coreProperties>
</file>